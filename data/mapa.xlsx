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o" sheetId="1" state="visible" r:id="rId1"/>
    <sheet xmlns:r="http://schemas.openxmlformats.org/officeDocument/2006/relationships" name="Perfis" sheetId="2" state="visible" r:id="rId2"/>
    <sheet xmlns:r="http://schemas.openxmlformats.org/officeDocument/2006/relationships" name="Nodes" sheetId="3" state="visible" r:id="rId3"/>
    <sheet xmlns:r="http://schemas.openxmlformats.org/officeDocument/2006/relationships" name="Edges" sheetId="4" state="visible" r:id="rId4"/>
    <sheet xmlns:r="http://schemas.openxmlformats.org/officeDocument/2006/relationships" name="Notes" sheetId="5" state="visible" r:id="rId5"/>
  </sheets>
  <definedNames>
    <definedName name="_xlnm._FilterDatabase" localSheetId="1" hidden="1">'Perfis'!$A$1:$M$31</definedName>
    <definedName name="_xlnm._FilterDatabase" localSheetId="2" hidden="1">'Nodes'!$A$1:$F$58</definedName>
    <definedName name="_xlnm._FilterDatabase" localSheetId="3" hidden="1">'Edges'!$A$1:$F$120</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i val="1"/>
      <color rgb="FF555555"/>
      <sz val="11"/>
    </font>
    <font>
      <name val="Cambria"/>
      <charset val="1"/>
      <family val="0"/>
      <b val="1"/>
      <color rgb="FFFFFFFF"/>
      <sz val="11"/>
    </font>
    <font>
      <name val="Cambria"/>
      <charset val="1"/>
      <family val="0"/>
      <b val="1"/>
      <sz val="11"/>
    </font>
    <font>
      <name val="Calibri"/>
      <family val="2"/>
      <b val="1"/>
      <color rgb="FF000000"/>
      <sz val="18"/>
    </font>
    <font>
      <name val="Calibri"/>
      <family val="2"/>
      <color rgb="FF000000"/>
      <sz val="10"/>
    </font>
    <font>
      <name val="Arial"/>
      <charset val="1"/>
      <family val="0"/>
      <b val="1"/>
      <sz val="10"/>
    </font>
    <font>
      <name val="Arial"/>
      <charset val="1"/>
      <family val="0"/>
      <sz val="10"/>
    </font>
  </fonts>
  <fills count="9">
    <fill>
      <patternFill/>
    </fill>
    <fill>
      <patternFill patternType="gray125"/>
    </fill>
    <fill>
      <patternFill patternType="solid">
        <fgColor rgb="FF2F3B52"/>
        <bgColor rgb="FF003366"/>
      </patternFill>
    </fill>
    <fill>
      <patternFill patternType="solid">
        <fgColor rgb="FFF4B6B6"/>
        <bgColor rgb="FFF8D3A8"/>
      </patternFill>
    </fill>
    <fill>
      <patternFill patternType="solid">
        <fgColor rgb="FFF8D3A8"/>
        <bgColor rgb="FFFBEBA5"/>
      </patternFill>
    </fill>
    <fill>
      <patternFill patternType="solid">
        <fgColor rgb="FFFBEBA5"/>
        <bgColor rgb="FFF8D3A8"/>
      </patternFill>
    </fill>
    <fill>
      <patternFill patternType="solid">
        <fgColor rgb="FFD9E6F5"/>
        <bgColor rgb="FFE5E5E5"/>
      </patternFill>
    </fill>
    <fill>
      <patternFill patternType="solid">
        <fgColor rgb="FFE5E5E5"/>
        <bgColor rgb="FFE7E6E6"/>
      </patternFill>
    </fill>
    <fill>
      <patternFill patternType="solid">
        <fgColor rgb="FFE7E6E6"/>
        <bgColor rgb="FFE5E5E5"/>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4" borderId="0" applyAlignment="1" pivotButton="0" quotePrefix="0" xfId="0">
      <alignment horizontal="general" vertical="bottom"/>
    </xf>
    <xf numFmtId="0" fontId="0" fillId="5" borderId="0" applyAlignment="1" pivotButton="0" quotePrefix="0" xfId="0">
      <alignment horizontal="general" vertical="bottom"/>
    </xf>
    <xf numFmtId="0" fontId="0" fillId="6" borderId="0" applyAlignment="1" pivotButton="0" quotePrefix="0" xfId="0">
      <alignment horizontal="general" vertical="bottom"/>
    </xf>
    <xf numFmtId="0" fontId="0" fillId="7" borderId="0" applyAlignment="1" pivotButton="0" quotePrefix="0" xfId="0">
      <alignment horizontal="general" vertical="bottom"/>
    </xf>
    <xf numFmtId="0" fontId="7" fillId="0" borderId="0" applyAlignment="1" pivotButton="0" quotePrefix="0" xfId="0">
      <alignment horizontal="general" vertical="bottom"/>
    </xf>
    <xf numFmtId="0" fontId="0" fillId="0" borderId="0" applyAlignment="1" pivotButton="0" quotePrefix="0" xfId="0">
      <alignment horizontal="general" vertical="top" wrapText="1"/>
    </xf>
    <xf numFmtId="0" fontId="6" fillId="2" borderId="0" applyAlignment="1" pivotButton="0" quotePrefix="0" xfId="0">
      <alignment horizontal="general" vertical="center" wrapText="1"/>
    </xf>
    <xf numFmtId="0" fontId="0"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4" borderId="1" applyAlignment="1" pivotButton="0" quotePrefix="0" xfId="0">
      <alignment horizontal="general" vertical="top" wrapText="1"/>
    </xf>
    <xf numFmtId="0" fontId="7" fillId="6" borderId="1" applyAlignment="1" pivotButton="0" quotePrefix="0" xfId="0">
      <alignment horizontal="general" vertical="top" wrapText="1"/>
    </xf>
    <xf numFmtId="0" fontId="7" fillId="5" borderId="1" applyAlignment="1" pivotButton="0" quotePrefix="0" xfId="0">
      <alignment horizontal="general" vertical="top" wrapText="1"/>
    </xf>
    <xf numFmtId="0" fontId="7" fillId="7" borderId="1" applyAlignment="1" pivotButton="0" quotePrefix="0" xfId="0">
      <alignment horizontal="general" vertical="top" wrapText="1"/>
    </xf>
    <xf numFmtId="0" fontId="7" fillId="3" borderId="1" applyAlignment="1" pivotButton="0" quotePrefix="0" xfId="0">
      <alignment horizontal="general" vertical="top" wrapText="1"/>
    </xf>
    <xf numFmtId="0" fontId="0" fillId="0" borderId="0" applyAlignment="1" pivotButton="0" quotePrefix="0" xfId="0">
      <alignment horizontal="general" vertical="bottom"/>
    </xf>
    <xf numFmtId="0" fontId="10" fillId="8" borderId="0" applyAlignment="1" pivotButton="0" quotePrefix="0" xfId="0">
      <alignment horizontal="general" vertical="center"/>
    </xf>
    <xf numFmtId="0" fontId="11" fillId="0" borderId="0" applyAlignment="1" pivotButton="0" quotePrefix="0" xfId="0">
      <alignment horizontal="general" vertical="top" wrapText="1"/>
    </xf>
    <xf numFmtId="0" fontId="1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4" borderId="0" applyAlignment="1" pivotButton="0" quotePrefix="0" xfId="0">
      <alignment horizontal="general" vertical="bottom"/>
    </xf>
    <xf numFmtId="0" fontId="0" fillId="5" borderId="0" applyAlignment="1" pivotButton="0" quotePrefix="0" xfId="0">
      <alignment horizontal="general" vertical="bottom"/>
    </xf>
    <xf numFmtId="0" fontId="0" fillId="6" borderId="0" applyAlignment="1" pivotButton="0" quotePrefix="0" xfId="0">
      <alignment horizontal="general" vertical="bottom"/>
    </xf>
    <xf numFmtId="0" fontId="0" fillId="7" borderId="0" applyAlignment="1" pivotButton="0" quotePrefix="0" xfId="0">
      <alignment horizontal="general" vertical="bottom"/>
    </xf>
    <xf numFmtId="0" fontId="7" fillId="0" borderId="0" applyAlignment="1" pivotButton="0" quotePrefix="0" xfId="0">
      <alignment horizontal="general" vertical="bottom"/>
    </xf>
    <xf numFmtId="0" fontId="6" fillId="2" borderId="0" applyAlignment="1" pivotButton="0" quotePrefix="0" xfId="0">
      <alignment horizontal="general" vertical="center" wrapText="1"/>
    </xf>
    <xf numFmtId="0" fontId="0"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4" borderId="1" applyAlignment="1" pivotButton="0" quotePrefix="0" xfId="0">
      <alignment horizontal="general" vertical="top" wrapText="1"/>
    </xf>
    <xf numFmtId="0" fontId="7" fillId="6" borderId="1" applyAlignment="1" pivotButton="0" quotePrefix="0" xfId="0">
      <alignment horizontal="general" vertical="top" wrapText="1"/>
    </xf>
    <xf numFmtId="0" fontId="7" fillId="5" borderId="1" applyAlignment="1" pivotButton="0" quotePrefix="0" xfId="0">
      <alignment horizontal="general" vertical="top" wrapText="1"/>
    </xf>
    <xf numFmtId="0" fontId="7" fillId="7" borderId="1" applyAlignment="1" pivotButton="0" quotePrefix="0" xfId="0">
      <alignment horizontal="general" vertical="top" wrapText="1"/>
    </xf>
    <xf numFmtId="0" fontId="7" fillId="3" borderId="1" applyAlignment="1" pivotButton="0" quotePrefix="0" xfId="0">
      <alignment horizontal="general" vertical="top" wrapText="1"/>
    </xf>
    <xf numFmtId="0" fontId="10" fillId="8" borderId="0" applyAlignment="1" pivotButton="0" quotePrefix="0" xfId="0">
      <alignment horizontal="general" vertical="center"/>
    </xf>
    <xf numFmtId="0" fontId="11" fillId="0" borderId="0" applyAlignment="1" pivotButton="0" quotePrefix="0" xfId="0">
      <alignment horizontal="general" vertical="top" wrapText="1"/>
    </xf>
    <xf numFmtId="0" fontId="1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patternType="solid">
          <fgColor rgb="FF2F3B52"/>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9E6F5"/>
          <bgColor rgb="FF000000"/>
        </patternFill>
      </fill>
    </dxf>
    <dxf>
      <fill>
        <patternFill patternType="solid">
          <fgColor rgb="FFE5E5E5"/>
          <bgColor rgb="FF000000"/>
        </patternFill>
      </fill>
    </dxf>
    <dxf>
      <fill>
        <patternFill patternType="solid">
          <fgColor rgb="FFF4B6B6"/>
          <bgColor rgb="FF000000"/>
        </patternFill>
      </fill>
    </dxf>
    <dxf>
      <fill>
        <patternFill patternType="solid">
          <fgColor rgb="FFF8D3A8"/>
          <bgColor rgb="FF000000"/>
        </patternFill>
      </fill>
    </dxf>
    <dxf>
      <fill>
        <patternFill patternType="solid">
          <fgColor rgb="FFFBEBA5"/>
          <bgColor rgb="FF000000"/>
        </patternFill>
      </fill>
    </dxf>
    <dxf>
      <fill>
        <patternFill patternType="solid">
          <fgColor rgb="FFE7E6E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E7E6E6"/>
      <rgbColor rgb="FFD9E6F5"/>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5E5E5"/>
      <rgbColor rgb="FFFBEBA5"/>
      <rgbColor rgb="FF99CCFF"/>
      <rgbColor rgb="FFF4B6B6"/>
      <rgbColor rgb="FFCC99FF"/>
      <rgbColor rgb="FFF8D3A8"/>
      <rgbColor rgb="FF3366FF"/>
      <rgbColor rgb="FF33CCCC"/>
      <rgbColor rgb="FF99CC00"/>
      <rgbColor rgb="FFFFCC00"/>
      <rgbColor rgb="FFFF9900"/>
      <rgbColor rgb="FFFF6600"/>
      <rgbColor rgb="FF4F81BD"/>
      <rgbColor rgb="FFB3B3B3"/>
      <rgbColor rgb="FF003366"/>
      <rgbColor rgb="FF339966"/>
      <rgbColor rgb="FF003300"/>
      <rgbColor rgb="FF333300"/>
      <rgbColor rgb="FF993300"/>
      <rgbColor rgb="FF993366"/>
      <rgbColor rgb="FF555555"/>
      <rgbColor rgb="FF2F3B5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Pessoas por estágio jurídico</a:t>
            </a:r>
          </a:p>
        </rich>
      </tx>
      <overlay val="0"/>
      <spPr>
        <a:noFill xmlns:a="http://schemas.openxmlformats.org/drawingml/2006/main"/>
        <a:ln xmlns:a="http://schemas.openxmlformats.org/drawingml/2006/main" w="0">
          <a:noFill/>
          <a:prstDash val="solid"/>
        </a:ln>
      </spPr>
    </title>
    <plotArea>
      <barChart>
        <barDir val="bar"/>
        <grouping val="clustered"/>
        <varyColors val="0"/>
        <ser>
          <idx val="0"/>
          <order val="0"/>
          <tx>
            <strRef>
              <f>Resumo!B4</f>
              <strCache>
                <ptCount val="1"/>
                <pt idx="0">
                  <v>Pessoas</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cat>
            <strRef>
              <f>Resumo!$A$5:$A$9</f>
              <strCache>
                <ptCount val="5"/>
                <pt idx="0">
                  <v>Condenado</v>
                </pt>
                <pt idx="1">
                  <v>Preso, sem condenação</v>
                </pt>
                <pt idx="2">
                  <v>Investigado / alvo (sem denúncia)</v>
                </pt>
                <pt idx="3">
                  <v>Citado, sem acusação</v>
                </pt>
                <pt idx="4">
                  <v>Não pesquisado</v>
                </pt>
              </strCache>
            </strRef>
          </cat>
          <val>
            <numRef>
              <f>Resumo!$B$5:$B$9</f>
              <numCache>
                <formatCode>General</formatCode>
                <ptCount val="5"/>
                <pt idx="0">
                  <v>3</v>
                </pt>
                <pt idx="1">
                  <v>4</v>
                </pt>
                <pt idx="2">
                  <v>7</v>
                </pt>
                <pt idx="3">
                  <v>8</v>
                </pt>
                <pt idx="4">
                  <v>8</v>
                </pt>
              </numCache>
            </numRef>
          </val>
        </ser>
        <gapWidth val="150"/>
        <overlap val="0"/>
        <axId val="60663680"/>
        <axId val="27512961"/>
      </barChart>
      <catAx>
        <axId val="60663680"/>
        <scaling>
          <orientation val="minMax"/>
        </scaling>
        <delete val="0"/>
        <axPos val="b"/>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7512961"/>
        <crosses val="autoZero"/>
        <auto val="1"/>
        <lblAlgn val="ctr"/>
        <lblOffset val="100"/>
        <noMultiLvlLbl val="0"/>
      </catAx>
      <valAx>
        <axId val="27512961"/>
        <scaling>
          <orientation val="minMax"/>
        </scaling>
        <delete val="0"/>
        <axPos val="l"/>
        <majorGridlines>
          <spPr>
            <a:ln xmlns:a="http://schemas.openxmlformats.org/drawingml/2006/main" w="0">
              <a:solidFill>
                <a:srgbClr val="b3b3b3"/>
              </a:solidFill>
              <a:prstDash val="solid"/>
            </a:ln>
          </spPr>
        </majorGridlines>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60663680"/>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0</col>
      <colOff>0</colOff>
      <row>9</row>
      <rowOff>33120</rowOff>
    </from>
    <to>
      <col>2</col>
      <colOff>3237480</colOff>
      <row>22</row>
      <rowOff>76320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A1:C3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6" customWidth="1" style="24" min="1" max="1"/>
    <col width="10" customWidth="1" style="24" min="2" max="2"/>
    <col width="110" customWidth="1" style="24" min="3" max="3"/>
  </cols>
  <sheetData>
    <row r="1" ht="17.35" customHeight="1" s="25">
      <c r="A1" s="26" t="inlineStr">
        <is>
          <t>Mapa de envolvidos: situação jurídica por estágio</t>
        </is>
      </c>
    </row>
    <row r="2" ht="15" customHeight="1" s="25">
      <c r="A2" s="27" t="inlineStr">
        <is>
          <t>Pesquisa em fontes públicas, atualizada em 20/10/2026 (revisão 2). Estágio ≠ culpa: só os "Condenado" têm decisão condenatória.</t>
        </is>
      </c>
    </row>
    <row r="4" ht="15" customHeight="1" s="25">
      <c r="A4" s="28" t="inlineStr">
        <is>
          <t>Estágio</t>
        </is>
      </c>
      <c r="B4" s="28" t="inlineStr">
        <is>
          <t>Pessoas</t>
        </is>
      </c>
      <c r="C4" s="28" t="inlineStr">
        <is>
          <t>Quem</t>
        </is>
      </c>
    </row>
    <row r="5" ht="15" customHeight="1" s="25">
      <c r="A5" s="29" t="inlineStr">
        <is>
          <t>Condenado</t>
        </is>
      </c>
      <c r="B5" s="24">
        <f>COUNTIF(Perfis!$H$2:$H$31,A5)</f>
        <v/>
      </c>
      <c r="C5" s="30" t="inlineStr">
        <is>
          <t>Jair Messias Bolsonaro; Alexandre Ramagem; Augusto Heleno</t>
        </is>
      </c>
    </row>
    <row r="6" ht="15" customHeight="1" s="25">
      <c r="A6" s="31" t="inlineStr">
        <is>
          <t>Preso, sem condenação</t>
        </is>
      </c>
      <c r="B6" s="24">
        <f>COUNTIF(Perfis!$H$2:$H$31,A6)</f>
        <v/>
      </c>
      <c r="C6" s="30" t="inlineStr">
        <is>
          <t>Antônio Carlos Camilo Antunes; Alexandre Caetano dos Reis; Daniel Vorcaro; Fabiano Campos Zettel</t>
        </is>
      </c>
    </row>
    <row r="7" ht="28.35" customHeight="1" s="25">
      <c r="A7" s="32" t="inlineStr">
        <is>
          <t>Investigado / alvo (sem denúncia)</t>
        </is>
      </c>
      <c r="B7" s="24">
        <f>COUNTIF(Perfis!$H$2:$H$31,A7)</f>
        <v/>
      </c>
      <c r="C7" s="30" t="inlineStr">
        <is>
          <t>Fábio Luís Lula da Silva; Roberta Moreira Luchsinger; Willer Tomaz; Flávio Bolsonaro; Carlos Bolsonaro; Frederick Wassef; Ciro Nogueira</t>
        </is>
      </c>
    </row>
    <row r="8" ht="28.35" customHeight="1" s="25">
      <c r="A8" s="33" t="inlineStr">
        <is>
          <t>Citado, sem acusação</t>
        </is>
      </c>
      <c r="B8" s="24">
        <f>COUNTIF(Perfis!$H$2:$H$31,A8)</f>
        <v/>
      </c>
      <c r="C8" s="30" t="inlineStr">
        <is>
          <t>Letícia Caetano dos Reis; Lídia Maria Figueiredo Mazelli; Renan Calheiros; Fabrício José Carlos de Queiroz; Richarlison; Kassio Nunes Marques; Kevin Marques; Sergio Fernando Moro</t>
        </is>
      </c>
    </row>
    <row r="9" ht="28.35" customHeight="1" s="25">
      <c r="A9" s="34" t="inlineStr">
        <is>
          <t>Não pesquisado</t>
        </is>
      </c>
      <c r="B9" s="24">
        <f>COUNTIF(Perfis!$H$2:$H$31,A9)</f>
        <v/>
      </c>
      <c r="C9" s="30" t="inlineStr">
        <is>
          <t>Mulher e filhas de Flávio; advogadas de Flávio; diretor jurídico; promoter; mordomo; mulheres das festas; eletricista; Antônio Marcos da Silva (sem fonte pública confirmada)</t>
        </is>
      </c>
    </row>
    <row r="10" ht="15" customHeight="1" s="25">
      <c r="A10" s="35" t="inlineStr">
        <is>
          <t>Total</t>
        </is>
      </c>
      <c r="B10" s="35">
        <f>SUM(B5:B9)</f>
        <v/>
      </c>
    </row>
    <row r="28" ht="15" customHeight="1" s="25">
      <c r="A28" s="35" t="inlineStr">
        <is>
          <t>Notas de método</t>
        </is>
      </c>
    </row>
    <row r="29" ht="30" customHeight="1" s="25">
      <c r="A29" s="30" t="inlineStr">
        <is>
          <t>• Pessoas privadas, menores e não nomeadas (família de Flávio, mulheres das festas, promoter, mordomo, eletricista, advogadas, diretor jurídico) não foram pesquisadas.</t>
        </is>
      </c>
    </row>
    <row r="30" ht="30" customHeight="1" s="25">
      <c r="A30" s="30" t="inlineStr">
        <is>
          <t>• Localização é só cidade/UF noticiada, sem endereço residencial. Vivo/morto reflete as notícias mais recentes que achei; não encontrei registro de morte de ninguém.</t>
        </is>
      </c>
    </row>
    <row r="31" ht="30" customHeight="1" s="25">
      <c r="A31" s="30" t="inlineStr">
        <is>
          <t>• "Milícia": só aparece vínculo apurado no caso Queiroz (transferências de Adriano da Nóbrega). Nenhuma fonte acusa Queiroz de integrar milícia.</t>
        </is>
      </c>
    </row>
    <row r="32" ht="30" customHeight="1" s="25">
      <c r="A32" s="30" t="inlineStr">
        <is>
          <t>• Vários detalhes de 2026 vêm de manchetes ou de reportagens sem confirmação cruzada; marquei como "não confirmado" onde não consegui abrir a fonte.</t>
        </is>
      </c>
    </row>
    <row r="33" ht="30" customHeight="1" s="25">
      <c r="A33" s="30" t="inlineStr">
        <is>
          <t>• Contexto eleitoral (revisão 2): 1º turno em 04/10/2026; Flávio (47,03%) e Lula (45,16%) vão ao 2º turno em 25/10. Moro foi eleito governador do PR e Carlos, senador por SC; Renan perdeu a reeleição.</t>
        </is>
      </c>
    </row>
    <row r="34" ht="30" customHeight="1" s="25">
      <c r="A34" s="30" t="inlineStr">
        <is>
          <t>• Abas Nodes, Edges e Notes originais ficaram intactas.</t>
        </is>
      </c>
    </row>
  </sheetData>
  <mergeCells count="6">
    <mergeCell ref="A33:C33"/>
    <mergeCell ref="A32:C32"/>
    <mergeCell ref="A31:C31"/>
    <mergeCell ref="A30:C30"/>
    <mergeCell ref="A34:C34"/>
    <mergeCell ref="A29:C2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P31"/>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1" customWidth="1" style="24" min="1" max="1"/>
    <col width="26" customWidth="1" style="24" min="2" max="2"/>
    <col width="22" customWidth="1" style="24" min="3" max="3"/>
    <col width="70" customWidth="1" style="24" min="4" max="4"/>
    <col width="34" customWidth="1" style="24" min="5" max="5"/>
    <col width="22" customWidth="1" style="24" min="6" max="6"/>
    <col width="56" customWidth="1" style="24" min="7" max="7"/>
    <col width="24" customWidth="1" style="24" min="8" max="8"/>
    <col width="42" customWidth="1" style="24" min="9" max="9"/>
    <col width="44" customWidth="1" style="24" min="10" max="10"/>
    <col width="70" customWidth="1" style="24" min="11" max="11"/>
    <col width="12" customWidth="1" style="24" min="12" max="12"/>
    <col width="38" customWidth="1" style="24" min="13" max="13"/>
  </cols>
  <sheetData>
    <row r="1" ht="30" customHeight="1" s="25">
      <c r="A1" s="36" t="inlineStr">
        <is>
          <t>Id</t>
        </is>
      </c>
      <c r="B1" s="36" t="inlineStr">
        <is>
          <t>Nome</t>
        </is>
      </c>
      <c r="C1" s="36" t="inlineStr">
        <is>
          <t>Grupo</t>
        </is>
      </c>
      <c r="D1" s="36" t="inlineStr">
        <is>
          <t>Quem é / histórico</t>
        </is>
      </c>
      <c r="E1" s="36" t="inlineStr">
        <is>
          <t>Onde atua ou vive (nível cidade/UF)</t>
        </is>
      </c>
      <c r="F1" s="36" t="inlineStr">
        <is>
          <t>Vivo ou morto</t>
        </is>
      </c>
      <c r="G1" s="36" t="inlineStr">
        <is>
          <t>Situação jurídica</t>
        </is>
      </c>
      <c r="H1" s="36" t="inlineStr">
        <is>
          <t>Estágio</t>
        </is>
      </c>
      <c r="I1" s="36" t="inlineStr">
        <is>
          <t>Milícia?</t>
        </is>
      </c>
      <c r="J1" s="36" t="inlineStr">
        <is>
          <t>Divergências com a planilha / ressalvas</t>
        </is>
      </c>
      <c r="K1" s="36" t="inlineStr">
        <is>
          <t>Fontes</t>
        </is>
      </c>
      <c r="L1" s="36" t="inlineStr">
        <is>
          <t>Checado em</t>
        </is>
      </c>
      <c r="M1" s="36" t="inlineStr">
        <is>
          <t>Mudou nesta revisão</t>
        </is>
      </c>
      <c r="N1" s="24" t="inlineStr">
        <is>
          <t>Foto (arquivo)</t>
        </is>
      </c>
      <c r="O1" s="24" t="inlineStr">
        <is>
          <t>Crédito da foto</t>
        </is>
      </c>
      <c r="P1" s="24" t="inlineStr">
        <is>
          <t>Link da fonte da foto</t>
        </is>
      </c>
    </row>
    <row r="2" ht="135.8" customHeight="1" s="25">
      <c r="A2" s="37" t="inlineStr">
        <is>
          <t>careca</t>
        </is>
      </c>
      <c r="B2" s="38" t="inlineStr">
        <is>
          <t>Antônio Carlos Camilo Antunes ("Careca do INSS")</t>
        </is>
      </c>
      <c r="C2" s="37" t="inlineStr">
        <is>
          <t>Esquema do INSS</t>
        </is>
      </c>
      <c r="D2" s="37" t="inlineStr">
        <is>
          <t>Lobista. Declara-se gerente (renda declarada ~R$ 24,5 mil/mês), mas relatório o aponta como sócio de 22 empresas; pessoas e empresas ligadas a ele receberam ~R$ 53,6 mi. PF diz que mantinha offshore nas Ilhas Virgens Britânicas. Tinha 61 anos em jan/2026. O filho, Romeu, preso em dez/2025, foi solto por Mendonça em 09/09/2026 (tornozeleira, passaporte apreendido, sem sair de Brasília).</t>
        </is>
      </c>
      <c r="E2" s="37" t="inlineStr">
        <is>
          <t>Complexo da Papuda, Brasília (DF), ala de vulneráveis (Bloco V) desde jan/2026</t>
        </is>
      </c>
      <c r="F2" s="37" t="inlineStr">
        <is>
          <t>Vivo (preso; confirmado em 09/09/2026)</t>
        </is>
      </c>
      <c r="G2" s="37" t="inlineStr">
        <is>
          <t>Preso desde 12/09/2025 (STF; Operação Sem Desconto; relator Mendonça), hoje na Papuda. Em jan/2026 Mendonça negou pedido de liberdade (decisão sigilosa), vendo risco de reiteração e de atrapalhar a investigação. Segue preso em set/2026. Em 2026 preparava uma proposta de delação, sem notícia de aceite. Nas fontes não há condenação nem denúncia.</t>
        </is>
      </c>
      <c r="H2" s="39" t="inlineStr">
        <is>
          <t>Preso, sem condenação</t>
        </is>
      </c>
      <c r="I2" s="37" t="inlineStr">
        <is>
          <t>Nada nas fontes.</t>
        </is>
      </c>
      <c r="J2" s="37" t="inlineStr">
        <is>
          <t>—</t>
        </is>
      </c>
      <c r="K2" s="37" t="inlineStr">
        <is>
          <t>CNN Brasil 12/09/2025 https://www.cnnbrasil.com.br/politica/quem-e-o-careca-do-inss-preso-em-operacao-da-pf-nesta-sexta-12/ | Delação (fev/2026) https://portaldeprefeitura.com.br/bastidores-da-politica/policia-federal/careca-do-inss-prepara-proposta-de-delacao-premiada-lulinha/615241/ | Gazeta do Povo https://www.gazetadopovo.com.br/republica/mendonca-mantem-prisao-preventiva-do-careca-do-inss/ | Rondônia ao Vivo 09/09/2026 https://www.rondoniaovivo.com/noticia/geral/2026/09/09/stf-mendonca-manda-soltar-filho-do-careca-do-inss.html | Metrópoles https://www.metropoles.com/colunas/manoela-alcantara/careca-do-inss-e-transferido-para-ala-de-vulneraveis-da-papuda</t>
        </is>
      </c>
      <c r="L2" s="37" t="inlineStr">
        <is>
          <t>20/10/2026</t>
        </is>
      </c>
      <c r="M2" s="37" t="inlineStr">
        <is>
          <t>Confirmado preso em 09/09/2026; local, idade e decisão de jan/2026 adicionados.</t>
        </is>
      </c>
      <c r="N2" s="24" t="inlineStr">
        <is>
          <t>careca.jpg</t>
        </is>
      </c>
      <c r="O2" s="24" t="inlineStr">
        <is>
          <t>Edilson Rodrigues/Agência Senado · CC BY-SA 4.0</t>
        </is>
      </c>
      <c r="P2" s="24" t="inlineStr">
        <is>
          <t>https://commons.wikimedia.org/wiki/File:CPMI_-_INSS_-_Comissão_Parlamentar_Mista_de_Inquérito_do_INSS_-_2025_(54811232041)_(cropped).jpg</t>
        </is>
      </c>
    </row>
    <row r="3" ht="41.75" customHeight="1" s="25">
      <c r="A3" s="37" t="inlineStr">
        <is>
          <t>contador</t>
        </is>
      </c>
      <c r="B3" s="38" t="inlineStr">
        <is>
          <t>Alexandre Caetano dos Reis</t>
        </is>
      </c>
      <c r="C3" s="37" t="inlineStr">
        <is>
          <t>Esquema do INSS</t>
        </is>
      </c>
      <c r="D3" s="37" t="inlineStr">
        <is>
          <t>Contador, dono da Voga Serviços Contábeis; cuida também da contabilidade do escritório de advocacia de Flávio. Segundo reportagem, era sócio do Careca em offshore nas Ilhas Virgens Britânicas.</t>
        </is>
      </c>
      <c r="E3" s="37" t="inlineStr">
        <is>
          <t>Brasília/Águas Claras (DF) – escritório; hoje preso (Papuda, segundo Bahia Notícias)</t>
        </is>
      </c>
      <c r="F3" s="37" t="inlineStr">
        <is>
          <t>Vivo (preso)</t>
        </is>
      </c>
      <c r="G3" s="37" t="inlineStr">
        <is>
          <t>Preso em dez/2025 em desdobramento do caso INSS. Willer Tomaz tem procuração nos autos para defendê-lo. Sem condenação nas fontes.</t>
        </is>
      </c>
      <c r="H3" s="39" t="inlineStr">
        <is>
          <t>Preso, sem condenação</t>
        </is>
      </c>
      <c r="I3" s="37" t="inlineStr">
        <is>
          <t>Nada nas fontes.</t>
        </is>
      </c>
      <c r="J3" s="37" t="inlineStr">
        <is>
          <t>—</t>
        </is>
      </c>
      <c r="K3" s="37" t="inlineStr">
        <is>
          <t>Bahia Notícias https://www.bahianoticias.com.br/noticia/321055-empresas-de-flavio-bolsonaro-e-careca-do-inss-dividem-a-mesma-sala-e-possuem-o-mesmo-contador</t>
        </is>
      </c>
      <c r="L3" s="37" t="inlineStr">
        <is>
          <t>20/10/2026</t>
        </is>
      </c>
      <c r="M3" s="37" t="inlineStr">
        <is>
          <t>—</t>
        </is>
      </c>
    </row>
    <row r="4" ht="41.75" customHeight="1" s="25">
      <c r="A4" s="37" t="inlineStr">
        <is>
          <t>leticia</t>
        </is>
      </c>
      <c r="B4" s="38" t="inlineStr">
        <is>
          <t>Letícia Caetano dos Reis</t>
        </is>
      </c>
      <c r="C4" s="37" t="inlineStr">
        <is>
          <t>Esquema do INSS</t>
        </is>
      </c>
      <c r="D4" s="37" t="inlineStr">
        <is>
          <t>Irmã do contador; administra o escritório de advocacia de Flávio desde 2021. Em entrevista à Agência Pública (2022) disse que chegou ao escritório por indicação de Willer Tomaz.</t>
        </is>
      </c>
      <c r="E4" s="37" t="inlineStr">
        <is>
          <t>Brasília/Águas Claras (DF) – local do escritório</t>
        </is>
      </c>
      <c r="F4" s="37" t="inlineStr">
        <is>
          <t>Vivo (sem registro de morte)</t>
        </is>
      </c>
      <c r="G4" s="37" t="inlineStr">
        <is>
          <t>Sem prisão, acusação ou investigação formal noticiada nas fontes que li. Aparece pelo vínculo familiar e profissional.</t>
        </is>
      </c>
      <c r="H4" s="40" t="inlineStr">
        <is>
          <t>Citado, sem acusação</t>
        </is>
      </c>
      <c r="I4" s="37" t="inlineStr">
        <is>
          <t>Nada nas fontes.</t>
        </is>
      </c>
      <c r="J4" s="37" t="inlineStr">
        <is>
          <t>Pessoa privada: mantive só o papel público no caso.</t>
        </is>
      </c>
      <c r="K4" s="37" t="inlineStr">
        <is>
          <t>Bahia Notícias (link acima)</t>
        </is>
      </c>
      <c r="L4" s="37" t="inlineStr">
        <is>
          <t>20/10/2026</t>
        </is>
      </c>
      <c r="M4" s="37" t="inlineStr">
        <is>
          <t>—</t>
        </is>
      </c>
    </row>
    <row r="5" ht="82.05" customHeight="1" s="25">
      <c r="A5" s="37" t="inlineStr">
        <is>
          <t>lulinha</t>
        </is>
      </c>
      <c r="B5" s="38" t="inlineStr">
        <is>
          <t>Fábio Luís Lula da Silva ("Lulinha")</t>
        </is>
      </c>
      <c r="C5" s="37" t="inlineStr">
        <is>
          <t>Esquema do INSS</t>
        </is>
      </c>
      <c r="D5" s="37" t="inlineStr">
        <is>
          <t>Empresário, filho do presidente Lula. A PF informou ao STF que apura citações a ele no inquérito do INSS (relator Mendonça); uma hipótese é que fosse sócio oculto do Careca (mensagem citando "o filho do rapaz"). Em jan/2026 Mendonça autorizou a quebra do sigilo bancário dele e de Roberta; em 04/03/2026 Dino suspendeu a quebra de sigilo fiscal pedida pela CPMI.</t>
        </is>
      </c>
      <c r="E5" s="37" t="inlineStr">
        <is>
          <t>Não confirmado nas fontes</t>
        </is>
      </c>
      <c r="F5" s="37" t="inlineStr">
        <is>
          <t>Vivo</t>
        </is>
      </c>
      <c r="G5" s="37" t="inlineStr">
        <is>
          <t>Nega ser investigado. Em 17/10/2026 Roberta Luchsinger disse à CNN que pretende fazer delação e citou Lula e Lulinha; a defesa dele (advogado Guilherme Suguimori Santos) chamou as falas de "insinuações", disse que ele pôs sigilos à disposição da Justiça e que não foi indiciado na operação do INSS. Sem indiciamento, denúncia ou condenação.</t>
        </is>
      </c>
      <c r="H5" s="41" t="inlineStr">
        <is>
          <t>Investigado / alvo (sem denúncia)</t>
        </is>
      </c>
      <c r="I5" s="37" t="inlineStr">
        <is>
          <t>Nada nas fontes.</t>
        </is>
      </c>
      <c r="J5" s="37" t="inlineStr">
        <is>
          <t>Planilha diz "3 inquéritos no STF"; nas fontes que li aparece 1 inquérito (INSS) com citações a ele. Vale revisar esse número.</t>
        </is>
      </c>
      <c r="K5" s="37" t="inlineStr">
        <is>
          <t>Brasil Agro https://brasilagro.com.br/conteudo/pf-apura-se-lulinha-foi-socio-oculto-de-careca-do-inss.html | Poder360 https://www.poder360.com.br/poder-justica/amiga-de-lulinha-nega-ter-repassado-valores-do-careca-do-inss-a-pf/ | Gazeta do Povo 17/10/2026 https://www.gazetadopovo.com.br/republica/defesa-de-lulinha-nega-irregularidades-apos-declaracoes-de-lobista-roberta-luchsinger/</t>
        </is>
      </c>
      <c r="L5" s="37" t="inlineStr">
        <is>
          <t>20/10/2026</t>
        </is>
      </c>
      <c r="M5" s="37" t="inlineStr">
        <is>
          <t>Adicionadas as falas de Roberta (17/10/2026) e a resposta da defesa.</t>
        </is>
      </c>
    </row>
    <row r="6" ht="82.05" customHeight="1" s="25">
      <c r="A6" s="37" t="inlineStr">
        <is>
          <t>roberta</t>
        </is>
      </c>
      <c r="B6" s="38" t="inlineStr">
        <is>
          <t>Roberta Moreira Luchsinger</t>
        </is>
      </c>
      <c r="C6" s="37" t="inlineStr">
        <is>
          <t>Esquema do INSS</t>
        </is>
      </c>
      <c r="D6" s="37" t="inlineStr">
        <is>
          <t>Lobista/consultora (RL Consultoria e Intermediações), amiga de Lulinha. PF diz que ela recebeu cerca de R$ 1,5 mi em parcelas do Careca via a Brasília Consultoria Empresarial, que a PF chama de empresa de fachada. Defesa: tratativas de um projeto de canabidiol, sem relação com o INSS. Depôs à PF em 20/05/2026 negando ter repassado valores a Lulinha.</t>
        </is>
      </c>
      <c r="E6" s="37" t="inlineStr">
        <is>
          <t>São Paulo (SP) – alvo de busca em Higienópolis em dez/2025</t>
        </is>
      </c>
      <c r="F6" s="37" t="inlineStr">
        <is>
          <t>Viva</t>
        </is>
      </c>
      <c r="G6" s="37" t="inlineStr">
        <is>
          <t>Segundo a Gazeta do Povo (17/10/2026), é investigada pela PF por suspeita de tráfico de influência envolvendo integrantes do governo federal. Em entrevista à CNN no mesmo dia disse que pretende fazer delação premiada e "não vai poupar ninguém", citando Lula e Lulinha; nenhum acordo firmado nas fontes. Sem denúncia ou condenação.</t>
        </is>
      </c>
      <c r="H6" s="41" t="inlineStr">
        <is>
          <t>Investigado / alvo (sem denúncia)</t>
        </is>
      </c>
      <c r="I6" s="37" t="inlineStr">
        <is>
          <t>Nada nas fontes.</t>
        </is>
      </c>
      <c r="J6" s="37" t="inlineStr">
        <is>
          <t>Planilha diz "~R$ 1 mi"; a PF fala em ordem de R$ 300 mil e ~R$ 1,5 mi no total.</t>
        </is>
      </c>
      <c r="K6" s="37" t="inlineStr">
        <is>
          <t>Poder360 (link acima) | Brasil Agro (link acima) | Gazeta do Povo (link na linha do Lulinha)</t>
        </is>
      </c>
      <c r="L6" s="37" t="inlineStr">
        <is>
          <t>20/10/2026</t>
        </is>
      </c>
      <c r="M6" s="37" t="inlineStr">
        <is>
          <t>Agora investigada por tráfico de influência e anuncia delação (17/10/2026).</t>
        </is>
      </c>
    </row>
    <row r="7" ht="122.35" customHeight="1" s="25">
      <c r="A7" s="37" t="inlineStr">
        <is>
          <t>willer</t>
        </is>
      </c>
      <c r="B7" s="38" t="inlineStr">
        <is>
          <t>Willer Tomaz (planilha: "Tomás")</t>
        </is>
      </c>
      <c r="C7" s="37" t="inlineStr">
        <is>
          <t>Willer Tomás e sua rede</t>
        </is>
      </c>
      <c r="D7" s="37" t="inlineStr">
        <is>
          <t>Advogado em Brasília. Preso em 2017 sob suspeita de tentar interferir na Operação Greenfield (fundos de pensão). Alvo de busca em ago/2026 na Operação Sem Desconto (caso ligado ao senador Weverton Rocha). O inquérito sobre ele e Flávio (suposta lavagem via bets, Rede Loto) chegou ao STF em 08/10/2026 (relator Moraes) e foi revelado em 18–19/10. A PF diz que uma conta dele movimentou ~R$ 130 mi entre mar e mai/2025. Dono de empresas como WT, Alcazar e Cathedral.</t>
        </is>
      </c>
      <c r="E7" s="37" t="inlineStr">
        <is>
          <t>Brasília (DF)</t>
        </is>
      </c>
      <c r="F7" s="37" t="inlineStr">
        <is>
          <t>Vivo</t>
        </is>
      </c>
      <c r="G7" s="37" t="inlineStr">
        <is>
          <t>Investigado; nega irregularidades e fala em "pescaria probatória". Nas fontes não há denúncia nem condenação.</t>
        </is>
      </c>
      <c r="H7" s="41" t="inlineStr">
        <is>
          <t>Investigado / alvo (sem denúncia)</t>
        </is>
      </c>
      <c r="I7" s="37" t="inlineStr">
        <is>
          <t>Nada nas fontes.</t>
        </is>
      </c>
      <c r="J7" s="37" t="inlineStr">
        <is>
          <t>Grafia na imprensa é "Tomaz".</t>
        </is>
      </c>
      <c r="K7" s="37" t="inlineStr">
        <is>
          <t>A Tarde https://atarde.com.br/eleicoes/quem-e-willer-tomaz-advogado-suspeito-de-ligacao-com-flavio-bolsonaro-1406358 | Tribuna do Sertão 19/10/2026 https://www.tribunadosertao.com.br/poder-e-governo/2026/10/19/1000284-flavio-bolsonaro-e-investigado-pela-pf-por-suspeita-de-lavagem-de-dinheiro-com-advogado-willer-tomaz | CartaCapital 18/10/2026 https://www.cartacapital.com.br/politica/flavio-bolsonaro-e-alvo-de-segundo-inquerito-no-stf-por-suspeita-de-lavagem-de-dinheiro/ | CNN Brasil https://www.cnnbrasil.com.br/politica/advogado-amigo-de-flavio-movimentou-r-130-milhoes-em-tres-meses-diz-pf/</t>
        </is>
      </c>
      <c r="L7" s="37" t="inlineStr">
        <is>
          <t>20/10/2026</t>
        </is>
      </c>
      <c r="M7" s="37" t="inlineStr">
        <is>
          <t>Data de entrada no STF (08/10/2026), valores e confirmação da busca de ago/2026.</t>
        </is>
      </c>
      <c r="N7" s="24" t="inlineStr">
        <is>
          <t>willer.jpg</t>
        </is>
      </c>
      <c r="O7" s="24" t="inlineStr">
        <is>
          <t>Agência Senado · CC BY 2.0</t>
        </is>
      </c>
      <c r="P7" s="24" t="inlineStr">
        <is>
          <t>https://commons.wikimedia.org/wiki/File:Willer_Tomaz_de_Souza.jpg</t>
        </is>
      </c>
    </row>
    <row r="8" ht="82.05" customHeight="1" s="25">
      <c r="A8" s="37" t="inlineStr">
        <is>
          <t>lidia</t>
        </is>
      </c>
      <c r="B8" s="38" t="inlineStr">
        <is>
          <t>Lídia Maria Figueiredo Mazelli</t>
        </is>
      </c>
      <c r="C8" s="37" t="inlineStr">
        <is>
          <t>Willer Tomás e sua rede</t>
        </is>
      </c>
      <c r="D8" s="37" t="inlineStr">
        <is>
          <t>61 anos. Dirigente formal de 14 empresas ligadas a Willer (WT, Jet Line, Friponor, RioPag, Ícaro Aviation etc.); assinou a escritura da mansão de Angra. Teve vínculo formal com o escritório de Willer entre mar/2019 e set/2020. Ao ser abordada disse ser doméstica; depois afirmou nunca ter sido empregada doméstica e que respondeu assim por medo. A defesa de Willer diz que é administradora de empresas.</t>
        </is>
      </c>
      <c r="E8" s="37" t="inlineStr">
        <is>
          <t>Não informado</t>
        </is>
      </c>
      <c r="F8" s="37" t="inlineStr">
        <is>
          <t>Viva</t>
        </is>
      </c>
      <c r="G8" s="37" t="inlineStr">
        <is>
          <t>A reportagem não a acusa nem a apresenta como investigada; ela diz não ser investigada. Suspeitas recaem sobre Willer e as empresas (ex.: Loterj acusa a RioPag de não repassar R$ 20,9 mi ao estado).</t>
        </is>
      </c>
      <c r="H8" s="40" t="inlineStr">
        <is>
          <t>Citado, sem acusação</t>
        </is>
      </c>
      <c r="I8" s="37" t="inlineStr">
        <is>
          <t>Nada nas fontes.</t>
        </is>
      </c>
      <c r="J8" s="37" t="inlineStr">
        <is>
          <t>Planilha diz "diz ser doméstica": ela depois desmentiu isso. Hipótese de "laranja" é da reportagem, não está comprovada.</t>
        </is>
      </c>
      <c r="K8" s="37" t="inlineStr">
        <is>
          <t>ICL Notícias https://iclnoticias.com.br/domestica-preside-empresas-fraude-flavio/</t>
        </is>
      </c>
      <c r="L8" s="37" t="inlineStr">
        <is>
          <t>20/10/2026</t>
        </is>
      </c>
      <c r="M8" s="37" t="inlineStr">
        <is>
          <t>—</t>
        </is>
      </c>
    </row>
    <row r="9" ht="95.5" customHeight="1" s="25">
      <c r="A9" s="37" t="inlineStr">
        <is>
          <t>renan</t>
        </is>
      </c>
      <c r="B9" s="38" t="inlineStr">
        <is>
          <t>Renan Calheiros</t>
        </is>
      </c>
      <c r="C9" s="37" t="inlineStr">
        <is>
          <t>Willer Tomás e sua rede</t>
        </is>
      </c>
      <c r="D9" s="37" t="inlineStr">
        <is>
          <t>Senador (MDB-AL), relator da CPI da Pandemia. Perdeu a reeleição em 04/10/2026 e deixará o Senado após 32 anos (mandato vai até jan/2027). Inquérito sobre favorecimento à Hypermarcas foi arquivado por Fachin em out/2024; Dino mandou a PF concluir em 90 dias outro inquérito (Postalis, lobista Milton Lyra), sem data na fonte.</t>
        </is>
      </c>
      <c r="E9" s="37" t="inlineStr">
        <is>
          <t>Alagoas (AL)</t>
        </is>
      </c>
      <c r="F9" s="37" t="inlineStr">
        <is>
          <t>Vivo</t>
        </is>
      </c>
      <c r="G9" s="37" t="inlineStr">
        <is>
          <t>Sem condenação nas fontes; inquérito Postalis com status não confirmado. Resultado eleitoral baseado nos títulos de Poder360 e O Tempo (o corpo da matéria não abriu).</t>
        </is>
      </c>
      <c r="H9" s="40" t="inlineStr">
        <is>
          <t>Citado, sem acusação</t>
        </is>
      </c>
      <c r="I9" s="37" t="inlineStr">
        <is>
          <t>Nada nas fontes.</t>
        </is>
      </c>
      <c r="J9" s="37" t="inlineStr">
        <is>
          <t>Não achei notícia de 2026 sobre os inquéritos; só sobre a eleição.</t>
        </is>
      </c>
      <c r="K9" s="37" t="inlineStr">
        <is>
          <t>Portal de Prefeitura (Fachin) https://portaldeprefeitura.com.br/bastidores-da-politica/fachin-arquiva-investigacao-contra-renan-calheiros-e-eduardo-braga-por/582759/ | Poder360 https://www.poder360.com.br/poder-eleicoes-2026/renan-calheiros-perde-eleicao-e-deixara-o-senado-apos-32-anos/ | O Tempo https://www.otempo.com.br/eleicoes/2026/2026/10/4/renan-calheiros-perde-eleicao-e-deixara-senado-apos-32-anos</t>
        </is>
      </c>
      <c r="L9" s="37" t="inlineStr">
        <is>
          <t>20/10/2026</t>
        </is>
      </c>
      <c r="M9" s="37" t="inlineStr">
        <is>
          <t>Perdeu a reeleição em 04/10/2026.</t>
        </is>
      </c>
      <c r="N9" s="24" t="inlineStr">
        <is>
          <t>renan.jpg</t>
        </is>
      </c>
      <c r="O9" s="24" t="inlineStr">
        <is>
          <t>Agência Senado · uso livre</t>
        </is>
      </c>
      <c r="P9" s="24" t="inlineStr">
        <is>
          <t>https://commons.wikimedia.org/wiki/File:Senador_Renan_Calheiros_MDB_-_AL.jpg</t>
        </is>
      </c>
    </row>
    <row r="10" ht="162.65" customHeight="1" s="25">
      <c r="A10" s="37" t="inlineStr">
        <is>
          <t>flavio</t>
        </is>
      </c>
      <c r="B10" s="38" t="inlineStr">
        <is>
          <t>Flávio Bolsonaro</t>
        </is>
      </c>
      <c r="C10" s="37" t="inlineStr">
        <is>
          <t>Flávio e família</t>
        </is>
      </c>
      <c r="D10" s="37" t="inlineStr">
        <is>
          <t>Nascido em 30/04/1981, Resende (RJ). Advogado e empresário; deputado estadual desde 2003, senador pelo RJ desde 2019. Candidato do PL à Presidência: no 1º turno (04/10/2026) teve 47,03% dos votos válidos contra 45,16% de Lula; o 2º turno é em 25/10/2026. Rachadinha: denunciado pelo MPRJ em out/2020 com Queiroz e outros 15; provas anuladas pelo STJ/STF em nov/2021; denúncia rejeitada e caso arquivado em 2022. Hoje há dois inquéritos no STF: (1) Dark Horse, autorizado por Mendonça em 23/07/2026 (~US$ 24 mi negociados; Coaf/piauí apontam ~US$ 12,3 mi repassados por Vorcaro ao fundo Havengate); em 10/09 a PF fez a Operação Make Up (49 mandados; alvos incluem a produtora Karina Gama e o deputado Mário Frias). (2) lavagem com Willer Tomaz, chegou ao STF em 08/10/2026 (relator Moraes). Em 12/10 Moraes liberou as visitas dele ao pai, suspensas desde julho por ele ter publicado uma carta de Jair.</t>
        </is>
      </c>
      <c r="E10" s="37" t="inlineStr">
        <is>
          <t>RJ (base eleitoral); mandato em Brasília</t>
        </is>
      </c>
      <c r="F10" s="37" t="inlineStr">
        <is>
          <t>Vivo</t>
        </is>
      </c>
      <c r="G10" s="37" t="inlineStr">
        <is>
          <t>Nega: chama o 2º inquérito de politicamente motivado e a relação com Willer de amizade entre famílias; diz que o filme foi patrocínio. Sem denúncia nova nem condenação.</t>
        </is>
      </c>
      <c r="H10" s="41" t="inlineStr">
        <is>
          <t>Investigado / alvo (sem denúncia)</t>
        </is>
      </c>
      <c r="I10" s="37" t="inlineStr">
        <is>
          <t>Sem acusação de milícia. Mãe e ex-esposa de Adriano da Nóbrega (miliciano) constavam como funcionárias do gabinete dele; Flávio atribuiu as contratações a Queiroz.</t>
        </is>
      </c>
      <c r="J10" s="37" t="inlineStr">
        <is>
          <t>—</t>
        </is>
      </c>
      <c r="K10" s="37" t="inlineStr">
        <is>
          <t>Wikipedia pt https://pt.wikipedia.org/wiki/Fl%C3%A1vio_Bolsonaro | Tribuna do Sertão (link acima) | O Povo 23/07/2026 https://www.opovo.com.br/noticias/politica/2026/07/23/amp/andre-mendonca-autoriza-inquerito-sobre-repasses-para-dark-horse-filme-sobre-jair-bolsonaro.html | Resultado do 1º turno https://portaldeprefeitura.com.br/bastidores-da-politica/eleicoes-2026-com-100-das-secoes-totalizadas-flavio-tem-4703-e/633498/ | Wikipedia (Banco Master scandal) https://en.wikipedia.org/wiki/Banco_Master_scandal | JB 12/10/2026 https://www.jb.com.br/brasil/justica/2026/10/1061206-moraes-autoriza-flavio-bolsonaro-a-visitar-jair-bolsonaro-em-prisao-domiciliar.html</t>
        </is>
      </c>
      <c r="L10" s="37" t="inlineStr">
        <is>
          <t>20/10/2026</t>
        </is>
      </c>
      <c r="M10" s="37" t="inlineStr">
        <is>
          <t>Resultado do 1º turno; 2º inquérito no STF; Operação Make Up; visitas ao pai liberadas.</t>
        </is>
      </c>
      <c r="N10" s="24" t="inlineStr">
        <is>
          <t>flavio.jpg</t>
        </is>
      </c>
      <c r="O10" s="24" t="inlineStr">
        <is>
          <t>Agência Senado · uso livre</t>
        </is>
      </c>
      <c r="P10" s="24" t="inlineStr">
        <is>
          <t>https://commons.wikimedia.org/wiki/File:Foto_oficial_do_senador_Flávio_Bolsonaro_(v._AgSen)_(3x4).jpg</t>
        </is>
      </c>
    </row>
    <row r="11" ht="28.35" customHeight="1" s="25">
      <c r="A11" s="37" t="inlineStr">
        <is>
          <t>fam</t>
        </is>
      </c>
      <c r="B11" s="38" t="inlineStr">
        <is>
          <t>Mulher e filhas de Flávio</t>
        </is>
      </c>
      <c r="C11" s="37" t="inlineStr">
        <is>
          <t>Flávio e família</t>
        </is>
      </c>
      <c r="D11" s="37" t="inlineStr">
        <is>
          <t>Não pesquisei. Inclui menores de idade e aparecem na planilha só como passageiras do jato em jan/2025.</t>
        </is>
      </c>
      <c r="E11" s="37" t="inlineStr">
        <is>
          <t>—</t>
        </is>
      </c>
      <c r="F11" s="37" t="inlineStr">
        <is>
          <t>—</t>
        </is>
      </c>
      <c r="G11" s="37" t="inlineStr">
        <is>
          <t>—</t>
        </is>
      </c>
      <c r="H11" s="42" t="inlineStr">
        <is>
          <t>Não pesquisado</t>
        </is>
      </c>
      <c r="I11" s="37" t="inlineStr">
        <is>
          <t>—</t>
        </is>
      </c>
      <c r="J11" s="37" t="inlineStr">
        <is>
          <t>Decisão deliberada: sem papel público no caso.</t>
        </is>
      </c>
      <c r="K11" s="37" t="inlineStr">
        <is>
          <t>—</t>
        </is>
      </c>
      <c r="L11" s="37" t="inlineStr">
        <is>
          <t>20/10/2026</t>
        </is>
      </c>
      <c r="M11" s="37" t="inlineStr">
        <is>
          <t>—</t>
        </is>
      </c>
    </row>
    <row r="12" ht="82.05" customHeight="1" s="25">
      <c r="A12" s="37" t="inlineStr">
        <is>
          <t>carlos</t>
        </is>
      </c>
      <c r="B12" s="38" t="inlineStr">
        <is>
          <t>Carlos Bolsonaro</t>
        </is>
      </c>
      <c r="C12" s="37" t="inlineStr">
        <is>
          <t>Flávio e família</t>
        </is>
      </c>
      <c r="D12" s="37" t="inlineStr">
        <is>
          <t>Nascido em 07/12/1982, Resende (RJ). Foi vereador do Rio desde 2000 e renunciou em dez/2025. Eleito senador por Santa Catarina em 2026 pelo PL, com 2.041.840 votos (dados do TSE reproduzidos pelo HubPolítico). Citado no relatório da PF de 2022 sobre o "gabinete do ódio"; teve sigilo bancário quebrado (2021) em apuração de rachadinha; alvo de busca em jan/2024 na investigação da Abin paralela. Sócio da Bravo Grafeno.</t>
        </is>
      </c>
      <c r="E12" s="37" t="inlineStr">
        <is>
          <t>Santa Catarina (SC), senador eleito; antes, vereador no Rio (RJ)</t>
        </is>
      </c>
      <c r="F12" s="37" t="inlineStr">
        <is>
          <t>Vivo</t>
        </is>
      </c>
      <c r="G12" s="37" t="inlineStr">
        <is>
          <t>Sem condenação nas fontes que li. Depoimento de porteiro que o ligava ao caso Marielle foi retratado, sem acusação formal a ele.</t>
        </is>
      </c>
      <c r="H12" s="41" t="inlineStr">
        <is>
          <t>Investigado / alvo (sem denúncia)</t>
        </is>
      </c>
      <c r="I12" s="37" t="inlineStr">
        <is>
          <t>Sem acusação de milícia.</t>
        </is>
      </c>
      <c r="J12" s="37" t="inlineStr">
        <is>
          <t>Eleição baseada em página que reproduz dados do TSE; não achei a matéria de apuração.</t>
        </is>
      </c>
      <c r="K12" s="37" t="inlineStr">
        <is>
          <t>Wikipedia https://pt.wikipedia.org/wiki/Carlos_Bolsonaro | HubPolítico https://hubpolitico.com.br/perfil/carlosbolsonaro2/informacoes</t>
        </is>
      </c>
      <c r="L12" s="37" t="inlineStr">
        <is>
          <t>20/10/2026</t>
        </is>
      </c>
      <c r="M12" s="37" t="inlineStr">
        <is>
          <t>Eleito senador por SC; deixou a Câmara de Vereadores.</t>
        </is>
      </c>
      <c r="N12" s="24" t="inlineStr">
        <is>
          <t>carlos.jpg</t>
        </is>
      </c>
      <c r="O12" s="24" t="inlineStr">
        <is>
          <t>Wikimedia Commons · CC BY 2.0</t>
        </is>
      </c>
      <c r="P12" s="24" t="inlineStr">
        <is>
          <t>https://commons.wikimedia.org/wiki/File:Carlos_Bolsonaro_durante_Encontro_Brasil-Rússia_em_2022.jpg</t>
        </is>
      </c>
    </row>
    <row r="13" ht="122.35" customHeight="1" s="25">
      <c r="A13" s="37" t="inlineStr">
        <is>
          <t>jair</t>
        </is>
      </c>
      <c r="B13" s="38" t="inlineStr">
        <is>
          <t>Jair Messias Bolsonaro</t>
        </is>
      </c>
      <c r="C13" s="37" t="inlineStr">
        <is>
          <t>Flávio e família</t>
        </is>
      </c>
      <c r="D13" s="37" t="inlineStr">
        <is>
          <t>Nascido em 21/03/1955 (Glicério/Campinas, SP). Ex-capitão do Exército, deputado federal por quase 30 anos e presidente (2019–2022). Inelegível por 8 anos (TSE, jun/2023). Condenado pelo STF por tentativa de golpe: 27 anos e 3 meses. Também investigado no caso das joias.</t>
        </is>
      </c>
      <c r="E13" s="37" t="inlineStr">
        <is>
          <t>Brasília (DF) – em prisão domiciliar humanitária (endereço não informado)</t>
        </is>
      </c>
      <c r="F13" s="37" t="inlineStr">
        <is>
          <t>Vivo</t>
        </is>
      </c>
      <c r="G13" s="37" t="inlineStr">
        <is>
          <t>Preso desde nov/2025; em mar/2026 passou à domiciliar humanitária após broncopneumonia; Moraes decidiu mantê-la em jul/2026. Em 12/10/2026 ainda cumpre em casa, depois de uma cirurgia e da recuperação de pneumonia bacteriana. Está proibido de usar redes sociais, inclusive por terceiros. Moraes liberou as visitas de Flávio (sem fins eleitorais), suspensas desde julho por uma carta publicada em apoio à candidatura. Uma domiciliar anterior caiu depois de ele danificar a tornozeleira.</t>
        </is>
      </c>
      <c r="H13" s="43" t="inlineStr">
        <is>
          <t>Condenado</t>
        </is>
      </c>
      <c r="I13" s="37" t="inlineStr">
        <is>
          <t>Sem acusação de milícia.</t>
        </is>
      </c>
      <c r="J13" s="37" t="inlineStr">
        <is>
          <t>Planilha diz "hoje preso": desde mar/2026 cumpre em casa (domiciliar humanitária).</t>
        </is>
      </c>
      <c r="K13" s="37" t="inlineStr">
        <is>
          <t>Tribuna do Sertão 03/07/2026 https://tribunadosertao.com.br/poder-e-governo/2026/07/03/933954-moraes-prorroga-prisao-domiciliar-de-bolsonaro | Congresso em Foco https://www.congressoemfoco.com.br/noticia/119918/defesa-de-bolsonaro-pede-ao-stf-prorrogacao-da-prisao-domiciliar | JB 12/10/2026 https://www.jb.com.br/brasil/justica/2026/10/1061206-moraes-autoriza-flavio-bolsonaro-a-visitar-jair-bolsonaro-em-prisao-domiciliar.html | Agência Brasil jul/2026 https://agenciabrasil.ebc.com.br/justica/noticia/2026-07/alexandre-de-moraes-decide-manter-bolsonaro-em-prisao-domiciliar</t>
        </is>
      </c>
      <c r="L13" s="37" t="inlineStr">
        <is>
          <t>20/10/2026</t>
        </is>
      </c>
      <c r="M13" s="37" t="inlineStr">
        <is>
          <t>Domiciliar confirmada em 12/10/2026; motivo e visitas de Flávio.</t>
        </is>
      </c>
      <c r="N13" s="24" t="inlineStr">
        <is>
          <t>jair.jpg</t>
        </is>
      </c>
      <c r="O13" s="24" t="inlineStr">
        <is>
          <t>Wikimedia Commons · CC BY 2.0</t>
        </is>
      </c>
      <c r="P13" s="24" t="inlineStr">
        <is>
          <t>https://commons.wikimedia.org/wiki/File:Jair_Bolsonaro_2019_Portrait_(3x4_cropped_center).jpg</t>
        </is>
      </c>
    </row>
    <row r="14" ht="95.5" customHeight="1" s="25">
      <c r="A14" s="37" t="inlineStr">
        <is>
          <t>wassef</t>
        </is>
      </c>
      <c r="B14" s="38" t="inlineStr">
        <is>
          <t>Frederick Wassef (planilha: "Frederico")</t>
        </is>
      </c>
      <c r="C14" s="37" t="inlineStr">
        <is>
          <t>Flávio e família</t>
        </is>
      </c>
      <c r="D14" s="37" t="inlineStr">
        <is>
          <t>Nascido em 1965, São Paulo. Advogado criminalista, amigo da família Bolsonaro desde ~2014. Queiroz foi preso em 18/06/2020 numa casa em Atibaia ligada a ele. Alvo de busca em ago/2023 no caso das joias (recompra de um Rolex). A PF o indiciou; em 04/03/2026 a PGR recomendou arquivar o inquérito, e Moraes mandou a PGR analisar o relatório final da PF. Em 30/06/2026 Moraes mandou abrir apuração sigilosa separada a partir de "eventos fortuitos" no celular dele (PGR com 15 dias para opinar). Nega e diz que a busca foi nula.</t>
        </is>
      </c>
      <c r="E14" s="37" t="inlineStr">
        <is>
          <t>São Paulo (SP) – não confirmei domicílio atual</t>
        </is>
      </c>
      <c r="F14" s="37" t="inlineStr">
        <is>
          <t>Vivo</t>
        </is>
      </c>
      <c r="G14" s="37" t="inlineStr">
        <is>
          <t>Indiciado pela PF no inquérito das joias e alvo formal de nova apuração sigilosa. Sem denúncia nem condenação noticiada.</t>
        </is>
      </c>
      <c r="H14" s="41" t="inlineStr">
        <is>
          <t>Investigado / alvo (sem denúncia)</t>
        </is>
      </c>
      <c r="I14" s="37" t="inlineStr">
        <is>
          <t>Nada nas fontes. Um site cita um advogado que conecta Wassef ao defensor de Queiroz e de Adriano (não verifiquei).</t>
        </is>
      </c>
      <c r="J14" s="37" t="inlineStr">
        <is>
          <t>Grafia correta é "Frederick". Não confirmei a resposta da PGR após julho.</t>
        </is>
      </c>
      <c r="K14" s="37" t="inlineStr">
        <is>
          <t>CartaCapital 19/03/2026 https://www.cartacapital.com.br/justica/moraes-manda-pgr-analisar-dados-de-wassef-no-caso-das-joias-de-bolsonaro/ | NC News 04/07/2026 https://ncnews.com.br/2026/07/04/moraes-manda-abrir-nova-apuracao-sigilosa-sobre-celular-de-wassef/ | Wikipedia en https://en.wikipedia.org/wiki/Frederick_Wassef</t>
        </is>
      </c>
      <c r="L14" s="37" t="inlineStr">
        <is>
          <t>20/10/2026</t>
        </is>
      </c>
      <c r="M14" s="37" t="inlineStr">
        <is>
          <t>Indiciamento confirmado e nova apuração sigilosa (30/06/2026).</t>
        </is>
      </c>
      <c r="N14" s="24" t="inlineStr">
        <is>
          <t>wassef.jpg</t>
        </is>
      </c>
      <c r="O14" s="24" t="inlineStr">
        <is>
          <t>Agência Senado · CC BY 2.0</t>
        </is>
      </c>
      <c r="P14" s="24" t="inlineStr">
        <is>
          <t>https://commons.wikimedia.org/wiki/File:Frederick_Wassef_(cropped).jpg</t>
        </is>
      </c>
    </row>
    <row r="15" ht="135.8" customHeight="1" s="25">
      <c r="A15" s="37" t="inlineStr">
        <is>
          <t>queiroz</t>
        </is>
      </c>
      <c r="B15" s="38" t="inlineStr">
        <is>
          <t>Fabrício José Carlos de Queiroz</t>
        </is>
      </c>
      <c r="C15" s="37" t="inlineStr">
        <is>
          <t>Flávio e família</t>
        </is>
      </c>
      <c r="D15" s="37" t="inlineStr">
        <is>
          <t>Ex-subtenente da PM do Rio, ex-assessor de Flávio na Alerj, apontado como operador da rachadinha (relatório do Coaf de 2018: R$ 1,2 mi movimentados). Preso em 18/06/2020 em Atibaia; domiciliar em jul/2020 (tratava câncer); em mar/2021 o STJ revogou a ordem de prisão por excesso de prazo e ele foi solto. A investigação foi anulada (STJ/STF, 2021) e o caso arquivado em 2022. Em 2022 teve ~6,7 mil votos para deputado estadual (não eleito); em 2024, 588 votos para vereador de Saquarema (suplente). Em mar/2026 era subsecretário de Segurança Pública e Ordem Pública de Saquarema e dizia só disputar 2026 com apoio da família Bolsonaro; não há registro de candidatura formalizada em 2026. Em set/2026 se reuniu com Flávio em Brasília.</t>
        </is>
      </c>
      <c r="E15" s="37" t="inlineStr">
        <is>
          <t>Saquarema (RJ)</t>
        </is>
      </c>
      <c r="F15" s="37" t="inlineStr">
        <is>
          <t>Vivo (ativo em set/2026)</t>
        </is>
      </c>
      <c r="G15" s="37" t="inlineStr">
        <is>
          <t>Sem condenação. Hoje sem processo ativo nas fontes que li.</t>
        </is>
      </c>
      <c r="H15" s="40" t="inlineStr">
        <is>
          <t>Citado, sem acusação</t>
        </is>
      </c>
      <c r="I15" s="37" t="inlineStr">
        <is>
          <t>MP-RJ estimou que Adriano da Nóbrega (chefe do Escritório do Crime, miliciano, morto em fev/2020) transferiu mais de R$ 400 mil a contas ligadas a Queiroz. Queiroz o chama de amigo e ex-colega da PM. Nas fontes ele não é acusado de integrar milícia.</t>
        </is>
      </c>
      <c r="J15" s="37" t="inlineStr">
        <is>
          <t>Planilha diz "19 meses sem depor": não consegui verificar. Candidatura em 2026: sem registro de que tenha sido formalizada (conforme a usuária; em mar/2026 ele só cogitava).</t>
        </is>
      </c>
      <c r="K15" s="37" t="inlineStr">
        <is>
          <t>Bahia Notícias https://www.bahianoticias.com.br/noticia/249931-miliciano-adriano-da-nobrega-transferiu-r-400-mil-para-fabricio-queiroz | Mais Goiás https://www.maisgoias.com.br/brasil/gilmar-mendes-da-aval-para-soltar-queiroz-apos-stj-revogar-prisao-domiciliar/ | Portal de Prefeitura https://portaldeprefeitura.com.br/bastidores-da-politica/flavio-bolsonaro-pede-votos-para-fabricio-queiroz-pivo-em-suposto/579564/ | Metrópoles 24/03/2026 https://www.metropoles.com/colunas/igor-gadelha/a-condicao-de-queiroz-para-ser-candidato-em-2026 | JB set/2026 https://www.jb.com.br/brasil/politica/2026/09/1060896-flavio-bolsonaro-e-fabricio-queiroz-se-reuniram-em-brasilia-apos-insistencia.html</t>
        </is>
      </c>
      <c r="L15" s="37" t="inlineStr">
        <is>
          <t>20/10/2026</t>
        </is>
      </c>
      <c r="M15" s="37" t="inlineStr">
        <is>
          <t>Sem candidatura formalizada em 2026 (confirmado pela usuária); cargo público e encontro com Flávio em set/2026.</t>
        </is>
      </c>
    </row>
    <row r="16" ht="15" customHeight="1" s="25">
      <c r="A16" s="37" t="inlineStr">
        <is>
          <t>advflavio</t>
        </is>
      </c>
      <c r="B16" s="38" t="inlineStr">
        <is>
          <t>Advogadas de Flávio (2)</t>
        </is>
      </c>
      <c r="C16" s="37" t="inlineStr">
        <is>
          <t>Flávio e família</t>
        </is>
      </c>
      <c r="D16" s="37" t="inlineStr">
        <is>
          <t>Não pesquisei: não são nomeadas na planilha e são pessoas privadas.</t>
        </is>
      </c>
      <c r="E16" s="37" t="inlineStr">
        <is>
          <t>—</t>
        </is>
      </c>
      <c r="F16" s="37" t="inlineStr">
        <is>
          <t>—</t>
        </is>
      </c>
      <c r="G16" s="37" t="inlineStr">
        <is>
          <t>—</t>
        </is>
      </c>
      <c r="H16" s="42" t="inlineStr">
        <is>
          <t>Não pesquisado</t>
        </is>
      </c>
      <c r="I16" s="37" t="inlineStr">
        <is>
          <t>—</t>
        </is>
      </c>
      <c r="J16" s="37" t="inlineStr">
        <is>
          <t>—</t>
        </is>
      </c>
      <c r="K16" s="37" t="inlineStr">
        <is>
          <t>—</t>
        </is>
      </c>
      <c r="L16" s="37" t="inlineStr">
        <is>
          <t>20/10/2026</t>
        </is>
      </c>
      <c r="M16" s="37" t="inlineStr">
        <is>
          <t>—</t>
        </is>
      </c>
    </row>
    <row r="17" ht="135.8" customHeight="1" s="25">
      <c r="A17" s="37" t="inlineStr">
        <is>
          <t>vorcaro</t>
        </is>
      </c>
      <c r="B17" s="38" t="inlineStr">
        <is>
          <t>Daniel Vorcaro</t>
        </is>
      </c>
      <c r="C17" s="37" t="inlineStr">
        <is>
          <t>Vorcaro e o Banco Master</t>
        </is>
      </c>
      <c r="D17" s="37" t="inlineStr">
        <is>
          <t>Nascido em 06/10/1983, Belo Horizonte. Administrador com MBA no Ibmec; comprou o Banco Máxima em 2018 e o renomeou Master em 2021. Banco liquidado em 18/11/2025 (rombo estimado de R$ 41 bi ao FGC). Família ligada à Igreja Batista da Lagoinha.</t>
        </is>
      </c>
      <c r="E17" s="37" t="inlineStr">
        <is>
          <t>Papudinha, Brasília (DF); vinha de Belo Horizonte (MG)</t>
        </is>
      </c>
      <c r="F17" s="37" t="inlineStr">
        <is>
          <t>Vivo</t>
        </is>
      </c>
      <c r="G17" s="37" t="inlineStr">
        <is>
          <t>Preso em 17/11/2025 em Guarulhos; solto em 28/11 pelo TRF; nova prisão decretada pelo STF em 04/03/2026; está na Papudinha desde 25/06/2026, depois que PF e PGR rejeitaram duas propostas de delação dele. Mendonça é o relator (Toffoli saiu em fev/2026). Em set/2026 mensagens do celular dele atingiram ministros e autoridades, e o plenário do STF ia discutir a validade dessas provas em 15/09; não confirmei o resultado. Em 20/10/2026 a PGR defendeu manter as prisões do pai, de um primo e do cunhado. As fontes não mostram condenação nem denúncia formal.</t>
        </is>
      </c>
      <c r="H17" s="39" t="inlineStr">
        <is>
          <t>Preso, sem condenação</t>
        </is>
      </c>
      <c r="I17" s="37" t="inlineStr">
        <is>
          <t>Nada nas fontes.</t>
        </is>
      </c>
      <c r="J17" s="37" t="inlineStr">
        <is>
          <t>—</t>
        </is>
      </c>
      <c r="K17" s="37" t="inlineStr">
        <is>
          <t>Wikipedia en https://en.wikipedia.org/wiki/Daniel_Vorcaro | Times Brasil https://timesbrasil.com.br/brasil/pgr-defende-manutencao-das-prisoes-de-vorcaro-pai-e-investigados-do-caso-master/ | Wikipedia (Banco Master scandal) https://en.wikipedia.org/wiki/Banco_Master_scandal | Mateus Oliver 20/10/2026 https://www.mateusoliverreporter.com.br/2026/10/20/pgr-defende-manutencao-de-prisoes-no-caso-banco-master-e-permanencia-de-fachin-a-frente-de-decisoes-no-stf/</t>
        </is>
      </c>
      <c r="L17" s="37" t="inlineStr">
        <is>
          <t>20/10/2026</t>
        </is>
      </c>
      <c r="M17" s="37" t="inlineStr">
        <is>
          <t>Preso na Papudinha desde 25/06/2026; delações rejeitadas; situação das provas no STF.</t>
        </is>
      </c>
      <c r="N17" s="24" t="inlineStr">
        <is>
          <t>vorcaro.jpg</t>
        </is>
      </c>
      <c r="O17" s="24" t="inlineStr">
        <is>
          <t>Márcio Gustavo Vasconcelos · CC0</t>
        </is>
      </c>
      <c r="P17" s="24" t="inlineStr">
        <is>
          <t>https://commons.wikimedia.org/wiki/File:Daniel_Vorcaro_-_2024_(cropped).jpg</t>
        </is>
      </c>
    </row>
    <row r="18" ht="82.05" customHeight="1" s="25">
      <c r="A18" s="37" t="inlineStr">
        <is>
          <t>zetel</t>
        </is>
      </c>
      <c r="B18" s="38" t="inlineStr">
        <is>
          <t>Fabiano Campos Zettel (planilha: "Zetel")</t>
        </is>
      </c>
      <c r="C18" s="37" t="inlineStr">
        <is>
          <t>Vorcaro e o Banco Master</t>
        </is>
      </c>
      <c r="D18" s="37" t="inlineStr">
        <is>
          <t>Pastor evangélico, empresário e doador político; lidera a Igreja Batista da Lagoinha (BH); casado com Natália Vorcaro, irmã de Daniel. Para a PF era "operador financeiro" do grupo do Master (contratos usados para justificar transferências, pagamentos ao grupo "A Turma").</t>
        </is>
      </c>
      <c r="E18" s="37" t="inlineStr">
        <is>
          <t>Belo Horizonte (MG) pela igreja; residência não informada</t>
        </is>
      </c>
      <c r="F18" s="37" t="inlineStr">
        <is>
          <t>Vivo (preso; confirmado em 20/10/2026)</t>
        </is>
      </c>
      <c r="G18" s="37" t="inlineStr">
        <is>
          <t>Preso preventivamente em 04/03/2026 (3ª fase da Operação Compliance Zero; ordem de Mendonça). Em 20/10/2026 a PGR se opôs a revogar a prisão dele, do pai e de um primo de Vorcaro, por falta de mudança nas circunstâncias. Manchetes de jan/2026 dizem que já fora detido ao tentar embarcar para Dubai e solto horas depois. Sem condenação.</t>
        </is>
      </c>
      <c r="H18" s="39" t="inlineStr">
        <is>
          <t>Preso, sem condenação</t>
        </is>
      </c>
      <c r="I18" s="37" t="inlineStr">
        <is>
          <t>Nada nas fontes.</t>
        </is>
      </c>
      <c r="J18" s="37" t="inlineStr">
        <is>
          <t>Grafia na imprensa: "Zettel". Não achei a venda do apartamento à WT nas fontes que abri.</t>
        </is>
      </c>
      <c r="K18" s="37" t="inlineStr">
        <is>
          <t>Congresso em Foco https://www.congressoemfoco.com.br/noticia/116929/pf-prende-cunhado-de-vorcaro-suspeito-de-operar-esquema-do-master | Mateus Oliver (link na linha do Vorcaro)</t>
        </is>
      </c>
      <c r="L18" s="37" t="inlineStr">
        <is>
          <t>20/10/2026</t>
        </is>
      </c>
      <c r="M18" s="37" t="inlineStr">
        <is>
          <t>Segue preso em 20/10/2026 (PGR contra soltura).</t>
        </is>
      </c>
      <c r="N18" s="24" t="inlineStr">
        <is>
          <t>zetel.jpg</t>
        </is>
      </c>
      <c r="O18" s="24" t="inlineStr">
        <is>
          <t>Wikimedia Commons · CC BY-SA 2.0</t>
        </is>
      </c>
      <c r="P18" s="24" t="inlineStr">
        <is>
          <t>https://commons.wikimedia.org/wiki/File:Fabiano_Zettel.jpg</t>
        </is>
      </c>
    </row>
    <row r="19" ht="28.35" customHeight="1" s="25">
      <c r="A19" s="37" t="inlineStr">
        <is>
          <t>dirjur</t>
        </is>
      </c>
      <c r="B19" s="38" t="inlineStr">
        <is>
          <t>Diretor jurídico do Master</t>
        </is>
      </c>
      <c r="C19" s="37" t="inlineStr">
        <is>
          <t>Vorcaro e o Banco Master</t>
        </is>
      </c>
      <c r="D19" s="37" t="inlineStr">
        <is>
          <t>Não pesquisado: não nomeado na planilha.</t>
        </is>
      </c>
      <c r="E19" s="37" t="inlineStr">
        <is>
          <t>—</t>
        </is>
      </c>
      <c r="F19" s="37" t="inlineStr">
        <is>
          <t>—</t>
        </is>
      </c>
      <c r="G19" s="37" t="inlineStr">
        <is>
          <t>—</t>
        </is>
      </c>
      <c r="H19" s="42" t="inlineStr">
        <is>
          <t>Não pesquisado</t>
        </is>
      </c>
      <c r="I19" s="37" t="inlineStr">
        <is>
          <t>—</t>
        </is>
      </c>
      <c r="J19" s="37" t="inlineStr">
        <is>
          <t>—</t>
        </is>
      </c>
      <c r="K19" s="37" t="inlineStr">
        <is>
          <t>—</t>
        </is>
      </c>
      <c r="L19" s="37" t="inlineStr">
        <is>
          <t>20/10/2026</t>
        </is>
      </c>
      <c r="M19" s="37" t="inlineStr">
        <is>
          <t>—</t>
        </is>
      </c>
    </row>
    <row r="20" ht="28.35" customHeight="1" s="25">
      <c r="A20" s="37" t="inlineStr">
        <is>
          <t>promoter</t>
        </is>
      </c>
      <c r="B20" s="38" t="inlineStr">
        <is>
          <t>Promoter</t>
        </is>
      </c>
      <c r="C20" s="37" t="inlineStr">
        <is>
          <t>Vorcaro e o Banco Master</t>
        </is>
      </c>
      <c r="D20" s="37" t="inlineStr">
        <is>
          <t>Não pesquisado: pessoa privada e não nomeada.</t>
        </is>
      </c>
      <c r="E20" s="37" t="inlineStr">
        <is>
          <t>—</t>
        </is>
      </c>
      <c r="F20" s="37" t="inlineStr">
        <is>
          <t>—</t>
        </is>
      </c>
      <c r="G20" s="37" t="inlineStr">
        <is>
          <t>—</t>
        </is>
      </c>
      <c r="H20" s="42" t="inlineStr">
        <is>
          <t>Não pesquisado</t>
        </is>
      </c>
      <c r="I20" s="37" t="inlineStr">
        <is>
          <t>—</t>
        </is>
      </c>
      <c r="J20" s="37" t="inlineStr">
        <is>
          <t>—</t>
        </is>
      </c>
      <c r="K20" s="37" t="inlineStr">
        <is>
          <t>—</t>
        </is>
      </c>
      <c r="L20" s="37" t="inlineStr">
        <is>
          <t>20/10/2026</t>
        </is>
      </c>
      <c r="M20" s="37" t="inlineStr">
        <is>
          <t>—</t>
        </is>
      </c>
    </row>
    <row r="21" ht="28.35" customHeight="1" s="25">
      <c r="A21" s="37" t="inlineStr">
        <is>
          <t>mordomo</t>
        </is>
      </c>
      <c r="B21" s="38" t="inlineStr">
        <is>
          <t>Mordomo do triplex</t>
        </is>
      </c>
      <c r="C21" s="37" t="inlineStr">
        <is>
          <t>Vorcaro e o Banco Master</t>
        </is>
      </c>
      <c r="D21" s="37" t="inlineStr">
        <is>
          <t>Não pesquisado: pessoa privada e não nomeada.</t>
        </is>
      </c>
      <c r="E21" s="37" t="inlineStr">
        <is>
          <t>—</t>
        </is>
      </c>
      <c r="F21" s="37" t="inlineStr">
        <is>
          <t>—</t>
        </is>
      </c>
      <c r="G21" s="37" t="inlineStr">
        <is>
          <t>—</t>
        </is>
      </c>
      <c r="H21" s="42" t="inlineStr">
        <is>
          <t>Não pesquisado</t>
        </is>
      </c>
      <c r="I21" s="37" t="inlineStr">
        <is>
          <t>—</t>
        </is>
      </c>
      <c r="J21" s="37" t="inlineStr">
        <is>
          <t>—</t>
        </is>
      </c>
      <c r="K21" s="37" t="inlineStr">
        <is>
          <t>—</t>
        </is>
      </c>
      <c r="L21" s="37" t="inlineStr">
        <is>
          <t>20/10/2026</t>
        </is>
      </c>
      <c r="M21" s="37" t="inlineStr">
        <is>
          <t>—</t>
        </is>
      </c>
    </row>
    <row r="22" ht="28.35" customHeight="1" s="25">
      <c r="A22" s="37" t="inlineStr">
        <is>
          <t>mulheres</t>
        </is>
      </c>
      <c r="B22" s="38" t="inlineStr">
        <is>
          <t>Mulheres das festas</t>
        </is>
      </c>
      <c r="C22" s="37" t="inlineStr">
        <is>
          <t>Vorcaro e o Banco Master</t>
        </is>
      </c>
      <c r="D22" s="37" t="inlineStr">
        <is>
          <t>Não pesquisado: pessoas privadas, não nomeadas, incluindo uma de 19 anos. Não faz sentido (nem é seguro) montar perfil.</t>
        </is>
      </c>
      <c r="E22" s="37" t="inlineStr">
        <is>
          <t>—</t>
        </is>
      </c>
      <c r="F22" s="37" t="inlineStr">
        <is>
          <t>—</t>
        </is>
      </c>
      <c r="G22" s="37" t="inlineStr">
        <is>
          <t>—</t>
        </is>
      </c>
      <c r="H22" s="42" t="inlineStr">
        <is>
          <t>Não pesquisado</t>
        </is>
      </c>
      <c r="I22" s="37" t="inlineStr">
        <is>
          <t>—</t>
        </is>
      </c>
      <c r="J22" s="37" t="inlineStr">
        <is>
          <t>—</t>
        </is>
      </c>
      <c r="K22" s="37" t="inlineStr">
        <is>
          <t>—</t>
        </is>
      </c>
      <c r="L22" s="37" t="inlineStr">
        <is>
          <t>20/10/2026</t>
        </is>
      </c>
      <c r="M22" s="37" t="inlineStr">
        <is>
          <t>—</t>
        </is>
      </c>
    </row>
    <row r="23" ht="15" customHeight="1" s="25">
      <c r="A23" s="37" t="inlineStr">
        <is>
          <t>eletricista</t>
        </is>
      </c>
      <c r="B23" s="38" t="inlineStr">
        <is>
          <t>Eletricista</t>
        </is>
      </c>
      <c r="C23" s="37" t="inlineStr">
        <is>
          <t>Flávio e família</t>
        </is>
      </c>
      <c r="D23" s="37" t="inlineStr">
        <is>
          <t>Não pesquisado: pessoa privada e não nomeada.</t>
        </is>
      </c>
      <c r="E23" s="37" t="inlineStr">
        <is>
          <t>—</t>
        </is>
      </c>
      <c r="F23" s="37" t="inlineStr">
        <is>
          <t>—</t>
        </is>
      </c>
      <c r="G23" s="37" t="inlineStr">
        <is>
          <t>—</t>
        </is>
      </c>
      <c r="H23" s="42" t="inlineStr">
        <is>
          <t>Não pesquisado</t>
        </is>
      </c>
      <c r="I23" s="37" t="inlineStr">
        <is>
          <t>—</t>
        </is>
      </c>
      <c r="J23" s="37" t="inlineStr">
        <is>
          <t>—</t>
        </is>
      </c>
      <c r="K23" s="37" t="inlineStr">
        <is>
          <t>—</t>
        </is>
      </c>
      <c r="L23" s="37" t="inlineStr">
        <is>
          <t>20/10/2026</t>
        </is>
      </c>
      <c r="M23" s="37" t="inlineStr">
        <is>
          <t>—</t>
        </is>
      </c>
    </row>
    <row r="24" ht="68.65000000000001" customHeight="1" s="25">
      <c r="A24" s="37" t="inlineStr">
        <is>
          <t>richarlison</t>
        </is>
      </c>
      <c r="B24" s="38" t="inlineStr">
        <is>
          <t>Richarlison</t>
        </is>
      </c>
      <c r="C24" s="37" t="inlineStr">
        <is>
          <t>Casas e ativos</t>
        </is>
      </c>
      <c r="D24" s="37" t="inlineStr">
        <is>
          <t>Jogador de futebol (seleção brasileira). Via a empresa Sport 70 comprou em 2020 a mansão da Ilha Comprida (Angra dos Reis); diz ter investido ~R$ 10 mi. Em maio/2022 houve reintegração de posse em favor de M Locadora/WT. Em maio/2025 o STJ manteve a decisão favorável à WT de Willer Tomaz. Flávio foi arrolado como testemunha (nega envolvimento).</t>
        </is>
      </c>
      <c r="E24" s="37" t="inlineStr">
        <is>
          <t>Atua no futebol; residência não pesquisada</t>
        </is>
      </c>
      <c r="F24" s="37" t="inlineStr">
        <is>
          <t>Vivo</t>
        </is>
      </c>
      <c r="G24" s="37" t="inlineStr">
        <is>
          <t>Parte lesada na disputa civil; não é investigado.</t>
        </is>
      </c>
      <c r="H24" s="40" t="inlineStr">
        <is>
          <t>Citado, sem acusação</t>
        </is>
      </c>
      <c r="I24" s="37" t="inlineStr">
        <is>
          <t>Nada nas fontes.</t>
        </is>
      </c>
      <c r="J24" s="37" t="inlineStr">
        <is>
          <t>Em jun/2026 uma advogada publicou e retirou um vídeo sobre o caso, retratando-se por imprecisões.</t>
        </is>
      </c>
      <c r="K24" s="37" t="inlineStr">
        <is>
          <t>Poder360 https://www.poder360.com.br/justica/richarlison-briga-na-justica-com-amigo-de-flavio-bolsonaro/ | Congresso em Foco https://www.congressoemfoco.com.br/noticia/120171/disputa-por-mansao-de-r-10-mi-envolve-richarlison-e-flavio-bolsonaro</t>
        </is>
      </c>
      <c r="L24" s="37" t="inlineStr">
        <is>
          <t>20/10/2026</t>
        </is>
      </c>
      <c r="M24" s="37" t="inlineStr">
        <is>
          <t>—</t>
        </is>
      </c>
      <c r="N24" s="24" t="inlineStr">
        <is>
          <t>richarlison.jpg</t>
        </is>
      </c>
      <c r="O24" s="24" t="inlineStr">
        <is>
          <t>ALES · CC BY 2.0</t>
        </is>
      </c>
      <c r="P24" s="24" t="inlineStr">
        <is>
          <t>https://commons.wikimedia.org/wiki/File:Richarlison_é_homenageado_na_ALES_(10.July.2019)_12_(cropped2).jpg</t>
        </is>
      </c>
    </row>
    <row r="25" ht="41.75" customHeight="1" s="25">
      <c r="A25" s="37" t="inlineStr">
        <is>
          <t>dono</t>
        </is>
      </c>
      <c r="B25" s="38" t="inlineStr">
        <is>
          <t>Antônio Marcos da Silva</t>
        </is>
      </c>
      <c r="C25" s="37" t="inlineStr">
        <is>
          <t>Casas e ativos</t>
        </is>
      </c>
      <c r="D25" s="37" t="inlineStr">
        <is>
          <t>Não consegui confirmar o nome nem o papel em fonte pública. As matérias que abri chamam o ex-possuidor apenas de "o então possuidor" e não dizem que ele ouviu Flávio chamar Willer de sócio. Pessoa privada; não aprofundei.</t>
        </is>
      </c>
      <c r="E25" s="37" t="inlineStr">
        <is>
          <t>—</t>
        </is>
      </c>
      <c r="F25" s="37" t="inlineStr">
        <is>
          <t>—</t>
        </is>
      </c>
      <c r="G25" s="37" t="inlineStr">
        <is>
          <t>—</t>
        </is>
      </c>
      <c r="H25" s="42" t="inlineStr">
        <is>
          <t>Não pesquisado</t>
        </is>
      </c>
      <c r="I25" s="37" t="inlineStr">
        <is>
          <t>—</t>
        </is>
      </c>
      <c r="J25" s="37" t="inlineStr">
        <is>
          <t>Afirmação da planilha não confirmada nas minhas fontes. Vale conferir a origem (vídeo do canal Revelando).</t>
        </is>
      </c>
      <c r="K25" s="37" t="inlineStr">
        <is>
          <t>—</t>
        </is>
      </c>
      <c r="L25" s="37" t="inlineStr">
        <is>
          <t>20/10/2026</t>
        </is>
      </c>
      <c r="M25" s="37" t="inlineStr">
        <is>
          <t>—</t>
        </is>
      </c>
    </row>
    <row r="26" ht="82.05" customHeight="1" s="25">
      <c r="A26" s="37" t="inlineStr">
        <is>
          <t>nunes</t>
        </is>
      </c>
      <c r="B26" s="38" t="inlineStr">
        <is>
          <t>Kassio Nunes Marques</t>
        </is>
      </c>
      <c r="C26" s="37" t="inlineStr">
        <is>
          <t>Poder e Justiça</t>
        </is>
      </c>
      <c r="D26" s="37" t="inlineStr">
        <is>
          <t>Ministro do STF, indicado por Jair Bolsonaro em 2020; eleito presidente do TSE em 14/04/2026 para mandato de 2 anos (vice: André Mendonça). PF/Coaf: a Consult Inteligência Tributária recebeu R$ 6,6 mi do Master (ago/2024–jul/2025), valor incompatível com o faturamento declarado; suspeita de triangulação até o filho. Em sessão do STF ele negou ter votado processos do Master e negou que o filho tenha recebido valores. Deputados pediram investigação.</t>
        </is>
      </c>
      <c r="E26" s="37" t="inlineStr">
        <is>
          <t>Brasília (DF)</t>
        </is>
      </c>
      <c r="F26" s="37" t="inlineStr">
        <is>
          <t>Vivo</t>
        </is>
      </c>
      <c r="G26" s="37" t="inlineStr">
        <is>
          <t>Não há processo contra ele nas fontes que li.</t>
        </is>
      </c>
      <c r="H26" s="40" t="inlineStr">
        <is>
          <t>Citado, sem acusação</t>
        </is>
      </c>
      <c r="I26" s="37" t="inlineStr">
        <is>
          <t>Nada nas fontes.</t>
        </is>
      </c>
      <c r="J26" s="37" t="inlineStr">
        <is>
          <t>—</t>
        </is>
      </c>
      <c r="K26" s="37" t="inlineStr">
        <is>
          <t>Gazeta do Povo https://www.gazetadopovo.com.br/republica/filho-nunes-marques-teria-recebido-500-mil-master-aponta-pf/ | Times Brasil https://timesbrasil.com.br/brasil/deputados-pedem-investigacao-sobre-nunes-marques-e-master/ | Agência Brasil https://agenciabrasil.ebc.com.br/justica/noticia/2026-04/nunes-marques-e-eleito-presidente-do-tse</t>
        </is>
      </c>
      <c r="L26" s="37" t="inlineStr">
        <is>
          <t>20/10/2026</t>
        </is>
      </c>
      <c r="M26" s="37" t="inlineStr">
        <is>
          <t>Presidente do TSE confirmado (eleito em 14/04/2026).</t>
        </is>
      </c>
      <c r="N26" s="24" t="inlineStr">
        <is>
          <t>nunes.jpg</t>
        </is>
      </c>
      <c r="O26" s="24" t="inlineStr">
        <is>
          <t>Secom/TSE · domínio público</t>
        </is>
      </c>
      <c r="P26" s="24" t="inlineStr">
        <is>
          <t>https://commons.wikimedia.org/wiki/File:Nunes_Marques,_February_2025_(cropped).jpg</t>
        </is>
      </c>
    </row>
    <row r="27" ht="55.2" customHeight="1" s="25">
      <c r="A27" s="37" t="inlineStr">
        <is>
          <t>kevin</t>
        </is>
      </c>
      <c r="B27" s="38" t="inlineStr">
        <is>
          <t>Kevin Marques</t>
        </is>
      </c>
      <c r="C27" s="37" t="inlineStr">
        <is>
          <t>Poder e Justiça</t>
        </is>
      </c>
      <c r="D27" s="37" t="inlineStr">
        <is>
          <t>Advogado, filho de Nunes Marques. Mensagens do celular de Vorcaro sugerem pagamento mensal de R$ 500 mil (planilha enviada por Luiz Rennó em out/2024; reaviso em jul/2025). Ele nega ter prestado serviço ao Master; a defesa diz que recebeu R$ 281,6 mil da Consult por advocacia tributária.</t>
        </is>
      </c>
      <c r="E27" s="37" t="inlineStr">
        <is>
          <t>Não informado</t>
        </is>
      </c>
      <c r="F27" s="37" t="inlineStr">
        <is>
          <t>Vivo</t>
        </is>
      </c>
      <c r="G27" s="37" t="inlineStr">
        <is>
          <t>As fontes não mostram indiciamento nem denúncia.</t>
        </is>
      </c>
      <c r="H27" s="40" t="inlineStr">
        <is>
          <t>Citado, sem acusação</t>
        </is>
      </c>
      <c r="I27" s="37" t="inlineStr">
        <is>
          <t>Nada nas fontes.</t>
        </is>
      </c>
      <c r="J27" s="37" t="inlineStr">
        <is>
          <t>Planilha diz "~R$ 300 mil": as fontes trazem R$ 500 mil/mês (suspeita da PF) e R$ 281,6 mil (versão da defesa).</t>
        </is>
      </c>
      <c r="K27" s="37" t="inlineStr">
        <is>
          <t>Gazeta do Povo (link acima)</t>
        </is>
      </c>
      <c r="L27" s="37" t="inlineStr">
        <is>
          <t>20/10/2026</t>
        </is>
      </c>
      <c r="M27" s="37" t="inlineStr">
        <is>
          <t>—</t>
        </is>
      </c>
    </row>
    <row r="28" ht="82.05" customHeight="1" s="25">
      <c r="A28" s="37" t="inlineStr">
        <is>
          <t>ramagem</t>
        </is>
      </c>
      <c r="B28" s="38" t="inlineStr">
        <is>
          <t>Alexandre Ramagem</t>
        </is>
      </c>
      <c r="C28" s="37" t="inlineStr">
        <is>
          <t>Poder e Justiça</t>
        </is>
      </c>
      <c r="D28" s="37" t="inlineStr">
        <is>
          <t>Nascido em 08/05/1972, Rio de Janeiro. Delegado da PF, diretor-geral da Abin (2019–2022), deputado federal pelo PL (mandato terminou em dez/2025 após a condenação). Condenado pela 1ª Turma do STF em 11/09/2025 (4 a 1) a 16 anos, 1 mês e 15 dias por tentativa de golpe, organização criminosa armada e outros crimes. Prisão preventiva decretada em 21/11/2025. Fugiu via Roraima/Guiana e chegou aos EUA em 11/09/2025.</t>
        </is>
      </c>
      <c r="E28" s="37" t="inlineStr">
        <is>
          <t>Estados Unidos (Flórida); em 05/07/2026 estava em Nova Jersey para um jogo do Brasil. Paradeiro atual não informado</t>
        </is>
      </c>
      <c r="F28" s="37" t="inlineStr">
        <is>
          <t>Vivo</t>
        </is>
      </c>
      <c r="G28" s="37" t="inlineStr">
        <is>
          <t>Foragido da Justiça brasileira. Em 13/04/2026 foi preso pelo ICE em Orlando e solto dois dias depois, sem fiança; o pedido de asilo aguarda análise. Em 05/07/2026 disse à CNN que a extradição "não vai acontecer" e ligou seu retorno ao Brasil às eleições com Flávio candidato. A CNN afirma que um processo de extradição pedido pelo Brasil tramita em paralelo.</t>
        </is>
      </c>
      <c r="H28" s="43" t="inlineStr">
        <is>
          <t>Condenado</t>
        </is>
      </c>
      <c r="I28" s="37" t="inlineStr">
        <is>
          <t>Nada nas fontes.</t>
        </is>
      </c>
      <c r="J28" s="37" t="inlineStr">
        <is>
          <t>Divergência entre fontes resolvida: a CNN (jul/2026) confirma processo de extradição; a Pública (29/09) apenas não menciona.</t>
        </is>
      </c>
      <c r="K28" s="37" t="inlineStr">
        <is>
          <t>Agência Pública 29/09/2026 https://apublica.org/2026/09/familia-de-condenado-por-garimpo-na-terra-yanomami-bancou-vida-de-ramagem-nos-eua/ | Wikipedia en https://en.wikipedia.org/wiki/Alexandre_Ramagem | CNN Brasil 05/07/2026 https://www.cnnbrasil.com.br/politica/nos-eua-ramagem-diz-que-extradicao-nao-acontecera-e-cita-volta-ao-brasil/</t>
        </is>
      </c>
      <c r="L28" s="37" t="inlineStr">
        <is>
          <t>20/10/2026</t>
        </is>
      </c>
      <c r="M28" s="37" t="inlineStr">
        <is>
          <t>Entrevista de 05/07/2026; asilo pendente; processo de extradição em paralelo.</t>
        </is>
      </c>
      <c r="N28" s="24" t="inlineStr">
        <is>
          <t>ramagem.jpg</t>
        </is>
      </c>
      <c r="O28" s="24" t="inlineStr">
        <is>
          <t>Câmara dos Deputados · CC BY 3.0</t>
        </is>
      </c>
      <c r="P28" s="24" t="inlineStr">
        <is>
          <t>https://commons.wikimedia.org/wiki/File:Delegado_Ramagem_(PL_-_RJ)_(cropped).jpg</t>
        </is>
      </c>
    </row>
    <row r="29" ht="82.05" customHeight="1" s="25">
      <c r="A29" s="37" t="inlineStr">
        <is>
          <t>heleno</t>
        </is>
      </c>
      <c r="B29" s="38" t="inlineStr">
        <is>
          <t>Augusto Heleno</t>
        </is>
      </c>
      <c r="C29" s="37" t="inlineStr">
        <is>
          <t>Poder e Justiça</t>
        </is>
      </c>
      <c r="D29" s="37" t="inlineStr">
        <is>
          <t>General do Exército, ex-ministro-chefe do GSI de Bolsonaro, 78 anos. Condenado a 21 anos em regime fechado (organização criminosa armada e tentativa de golpe). Em 22/12/2025 Moraes concedeu prisão domiciliar humanitária: perícia da PF apontou demência mista (Alzheimer e vascular), em estágio inicial mas de rápida progressão.</t>
        </is>
      </c>
      <c r="E29" s="37" t="inlineStr">
        <is>
          <t>Brasília (DF) para atendimento médico; cidade da domiciliar não confirmada</t>
        </is>
      </c>
      <c r="F29" s="37" t="inlineStr">
        <is>
          <t>Vivo (confirmado em 16/10/2026)</t>
        </is>
      </c>
      <c r="G29" s="37" t="inlineStr">
        <is>
          <t>Condenado a 21 anos; em domiciliar humanitária desde 22/12/2025. Em 14–16/10/2026 Moraes autorizou visitas médicas diárias, uma saída em 22/10 para o Hospital das Forças Armadas e internação urgente sem nova decisão. A perícia da PF aponta demência mista (Alzheimer e vascular), "progressiva e irreversível", além de osteoartrose avançada e risco de queda.</t>
        </is>
      </c>
      <c r="H29" s="43" t="inlineStr">
        <is>
          <t>Condenado</t>
        </is>
      </c>
      <c r="I29" s="37" t="inlineStr">
        <is>
          <t>Nada nas fontes.</t>
        </is>
      </c>
      <c r="J29" s="37" t="inlineStr">
        <is>
          <t>—</t>
        </is>
      </c>
      <c r="K29" s="37" t="inlineStr">
        <is>
          <t>Conjur 22/12/2025 https://www.conjur.com.br/2025-dez-22/alexandre-de-moraes-concede-prisao-domiciliar-humanitaria-a-augusto-heleno//?print=1 | Tribuna do Sertão 16/10/2026 https://www.tribunadosertao.com.br/poder-e-governo/2026/10/16/998671-moraes-autoriza-que-heleno-deixe-prisao-domiciliar-para-atendimento-medico-em-brasilia</t>
        </is>
      </c>
      <c r="L29" s="37" t="inlineStr">
        <is>
          <t>20/10/2026</t>
        </is>
      </c>
      <c r="M29" s="37" t="inlineStr">
        <is>
          <t>Saúde e autorizações de Moraes em 14–16/10/2026.</t>
        </is>
      </c>
      <c r="N29" s="24" t="inlineStr">
        <is>
          <t>heleno.jpg</t>
        </is>
      </c>
      <c r="O29" s="24" t="inlineStr">
        <is>
          <t>Câmara dos Deputados · CC BY 3.0</t>
        </is>
      </c>
      <c r="P29" s="24" t="inlineStr">
        <is>
          <t>https://commons.wikimedia.org/wiki/File:Augusto_Heleno_(cropped).jpg</t>
        </is>
      </c>
    </row>
    <row r="30" ht="82.05" customHeight="1" s="25">
      <c r="A30" s="37" t="inlineStr">
        <is>
          <t>moro</t>
        </is>
      </c>
      <c r="B30" s="38" t="inlineStr">
        <is>
          <t>Sergio Fernando Moro</t>
        </is>
      </c>
      <c r="C30" s="37" t="inlineStr">
        <is>
          <t>Poder e Justiça</t>
        </is>
      </c>
      <c r="D30" s="37" t="inlineStr">
        <is>
          <t>Nascido em 01/08/1972, Maringá (PR). Juiz federal por mais de 20 anos (Lava Jato, 13ª Vara de Curitiba); condenou Lula em 2017. Em 2021 o STF reconheceu sua suspeição naquele caso. Ministro da Justiça de Bolsonaro (jan/2019–abr/2020) e senador pelo PR desde 2023. Deixou o Senado para disputar o governo do Paraná pelo PL e foi eleito governador no 1º turno em 04/10/2026.</t>
        </is>
      </c>
      <c r="E30" s="37" t="inlineStr">
        <is>
          <t>Curitiba/Paraná (PR), governador eleito</t>
        </is>
      </c>
      <c r="F30" s="37" t="inlineStr">
        <is>
          <t>Vivo</t>
        </is>
      </c>
      <c r="G30" s="37" t="inlineStr">
        <is>
          <t>Sem condenação criminal nas fontes que li.</t>
        </is>
      </c>
      <c r="H30" s="40" t="inlineStr">
        <is>
          <t>Citado, sem acusação</t>
        </is>
      </c>
      <c r="I30" s="37" t="inlineStr">
        <is>
          <t>Nada nas fontes.</t>
        </is>
      </c>
      <c r="J30" s="37" t="inlineStr">
        <is>
          <t>—</t>
        </is>
      </c>
      <c r="K30" s="37" t="inlineStr">
        <is>
          <t>NSC Total https://www.nsctotal.com.br/politica/eleicoes-2026-quem-e-sergio-moro-candidato-do-pl-ao-governo-do-parana | Congresso em Foco https://www.congressoemfoco.com.br/noticia/122688/sergio-moro-e-eleito-governador-do-parana | Tribuna do Sertão 04/10/2026 https://tribunadosertao.com.br/politica/2026/10/04/990712-sergio-moro-e-eleito-governador-do-parana-no-1o-turno</t>
        </is>
      </c>
      <c r="L30" s="37" t="inlineStr">
        <is>
          <t>20/10/2026</t>
        </is>
      </c>
      <c r="M30" s="37" t="inlineStr">
        <is>
          <t>Eleito governador do Paraná no 1º turno (04/10/2026).</t>
        </is>
      </c>
      <c r="N30" s="24" t="inlineStr">
        <is>
          <t>moro.jpg</t>
        </is>
      </c>
      <c r="O30" s="24" t="inlineStr">
        <is>
          <t>Domínio público</t>
        </is>
      </c>
      <c r="P30" s="24" t="inlineStr">
        <is>
          <t>https://commons.wikimedia.org/wiki/File:Senador_da_República_Sérgio_Moro.jpg</t>
        </is>
      </c>
    </row>
    <row r="31" ht="68.65000000000001" customHeight="1" s="25">
      <c r="A31" s="37" t="inlineStr">
        <is>
          <t>ciro</t>
        </is>
      </c>
      <c r="B31" s="38" t="inlineStr">
        <is>
          <t>Ciro Nogueira</t>
        </is>
      </c>
      <c r="C31" s="37" t="inlineStr">
        <is>
          <t>Poder e Justiça</t>
        </is>
      </c>
      <c r="D31" s="37" t="inlineStr">
        <is>
          <t>Senador (PP-PI) e presidente nacional do Progressistas. Alvo da 5ª fase da Operação Compliance Zero (maio/2026, ordem de Mendonça): suposta ponte entre Vorcaro e o Congresso, com participação societária avaliada em ~R$ 13 mi comprada por R$ 1 mi e mesada de R$ 300 mil (relatos falam em R$ 500 mil). Proibido de contato com investigados; o irmão deve usar tornozeleira.</t>
        </is>
      </c>
      <c r="E31" s="37" t="inlineStr">
        <is>
          <t>Piauí (PI); mandato em Brasília</t>
        </is>
      </c>
      <c r="F31" s="37" t="inlineStr">
        <is>
          <t>Vivo</t>
        </is>
      </c>
      <c r="G31" s="37" t="inlineStr">
        <is>
          <t>Alvo de operação, sem denúncia. A defesa nega qualquer participação em atividades ilícitas.</t>
        </is>
      </c>
      <c r="H31" s="41" t="inlineStr">
        <is>
          <t>Investigado / alvo (sem denúncia)</t>
        </is>
      </c>
      <c r="I31" s="37" t="inlineStr">
        <is>
          <t>Nada nas fontes.</t>
        </is>
      </c>
      <c r="J31" s="37" t="inlineStr">
        <is>
          <t>Identificação confirmada: o "Círio Nogueira" da transcrição é o senador Ciro Nogueira, investigado no caso Master (busca em 07/05/2026). A aba Notes original ainda diz "inferida".</t>
        </is>
      </c>
      <c r="K31" s="37" t="inlineStr">
        <is>
          <t>Correio da Manhã 07/05/2026 https://www.correiodamanha.com.br/politica/2026/05/283952-ciro-nogueira-receberia-mesada-do-master-diz-investigacao.html | Wikipedia (Banco Master scandal) https://en.wikipedia.org/wiki/Banco_Master_scandal</t>
        </is>
      </c>
      <c r="L31" s="37" t="inlineStr">
        <is>
          <t>20/10/2026</t>
        </is>
      </c>
      <c r="M31" s="37" t="inlineStr">
        <is>
          <t>Identificação tratada como confirmada (antes: inferida); busca em 07/05/2026.</t>
        </is>
      </c>
      <c r="N31" s="24" t="inlineStr">
        <is>
          <t>ciro.jpg</t>
        </is>
      </c>
      <c r="O31" s="24" t="inlineStr">
        <is>
          <t>Wikimedia Commons · CC BY-SA 4.0</t>
        </is>
      </c>
      <c r="P31" s="24" t="inlineStr">
        <is>
          <t>https://commons.wikimedia.org/wiki/File:Senador739.jpg</t>
        </is>
      </c>
    </row>
  </sheetData>
  <autoFilter ref="A1:M3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24" min="1" max="1"/>
    <col width="32" customWidth="1" style="24" min="2" max="2"/>
    <col width="20" customWidth="1" style="24" min="3" max="3"/>
    <col width="26" customWidth="1" style="24" min="4" max="4"/>
    <col width="70" customWidth="1" style="24" min="5" max="5"/>
    <col width="10" customWidth="1" style="24" min="6" max="6"/>
  </cols>
  <sheetData>
    <row r="1" ht="15" customHeight="1" s="25">
      <c r="A1" s="44" t="inlineStr">
        <is>
          <t>Id</t>
        </is>
      </c>
      <c r="B1" s="44" t="inlineStr">
        <is>
          <t>Label</t>
        </is>
      </c>
      <c r="C1" s="44" t="inlineStr">
        <is>
          <t>Type</t>
        </is>
      </c>
      <c r="D1" s="44" t="inlineStr">
        <is>
          <t>Group</t>
        </is>
      </c>
      <c r="E1" s="44" t="inlineStr">
        <is>
          <t>Description</t>
        </is>
      </c>
      <c r="F1" s="44" t="inlineStr">
        <is>
          <t>Degree</t>
        </is>
      </c>
      <c r="G1" t="inlineStr">
        <is>
          <t>Foto (arquivo)</t>
        </is>
      </c>
      <c r="H1" t="inlineStr">
        <is>
          <t>Crédito da foto</t>
        </is>
      </c>
      <c r="I1" t="inlineStr">
        <is>
          <t>Link da fonte da foto</t>
        </is>
      </c>
      <c r="J1" t="inlineStr">
        <is>
          <t>Nota da foto (opcional)</t>
        </is>
      </c>
    </row>
    <row r="2" ht="15" customHeight="1" s="25">
      <c r="A2" s="45" t="inlineStr">
        <is>
          <t>assoc</t>
        </is>
      </c>
      <c r="B2" s="45" t="inlineStr">
        <is>
          <t>Associações de aposentados</t>
        </is>
      </c>
      <c r="C2" s="45" t="inlineStr">
        <is>
          <t>Instituição ou caso</t>
        </is>
      </c>
      <c r="D2" s="45" t="inlineStr">
        <is>
          <t>Esquema do INSS</t>
        </is>
      </c>
      <c r="E2" s="45" t="inlineStr">
        <is>
          <t>Descontos sem autorização: mais de R$ 6 bi em 5 anos</t>
        </is>
      </c>
      <c r="F2" s="45">
        <f>COUNTIF(Edges!$A$2:$A$120,A2)+COUNTIF(Edges!$B$2:$B$120,A2)</f>
        <v/>
      </c>
    </row>
    <row r="3" ht="23.25" customHeight="1" s="25">
      <c r="A3" s="45" t="inlineStr">
        <is>
          <t>careca</t>
        </is>
      </c>
      <c r="B3" s="45" t="inlineStr">
        <is>
          <t>Careca do INSS</t>
        </is>
      </c>
      <c r="C3" s="45" t="inlineStr">
        <is>
          <t>Pessoa</t>
        </is>
      </c>
      <c r="D3" s="45" t="inlineStr">
        <is>
          <t>Esquema do INSS</t>
        </is>
      </c>
      <c r="E3" s="45" t="inlineStr">
        <is>
          <t>Lobista Antônio C. Camilo Antunes; preso; apontado pela PF como centro do esquema</t>
        </is>
      </c>
      <c r="F3" s="45">
        <f>COUNTIF(Edges!$A$2:$A$120,A3)+COUNTIF(Edges!$B$2:$B$120,A3)</f>
        <v/>
      </c>
    </row>
    <row r="4" ht="15" customHeight="1" s="25">
      <c r="A4" s="45" t="inlineStr">
        <is>
          <t>contador</t>
        </is>
      </c>
      <c r="B4" s="45" t="inlineStr">
        <is>
          <t>Alexandre Caetano dos Reis</t>
        </is>
      </c>
      <c r="C4" s="45" t="inlineStr">
        <is>
          <t>Pessoa</t>
        </is>
      </c>
      <c r="D4" s="45" t="inlineStr">
        <is>
          <t>Esquema do INSS</t>
        </is>
      </c>
      <c r="E4" s="45" t="inlineStr">
        <is>
          <t>Contador do Careca e do escritório de Flávio; preso</t>
        </is>
      </c>
      <c r="F4" s="45">
        <f>COUNTIF(Edges!$A$2:$A$120,A4)+COUNTIF(Edges!$B$2:$B$120,A4)</f>
        <v/>
      </c>
    </row>
    <row r="5" ht="15" customHeight="1" s="25">
      <c r="A5" s="45" t="inlineStr">
        <is>
          <t>leticia</t>
        </is>
      </c>
      <c r="B5" s="45" t="inlineStr">
        <is>
          <t>Letícia Caetano dos Reis</t>
        </is>
      </c>
      <c r="C5" s="45" t="inlineStr">
        <is>
          <t>Pessoa</t>
        </is>
      </c>
      <c r="D5" s="45" t="inlineStr">
        <is>
          <t>Esquema do INSS</t>
        </is>
      </c>
      <c r="E5" s="45" t="inlineStr">
        <is>
          <t>Irmã do contador; administra o escritório de Flávio</t>
        </is>
      </c>
      <c r="F5" s="45">
        <f>COUNTIF(Edges!$A$2:$A$120,A5)+COUNTIF(Edges!$B$2:$B$120,A5)</f>
        <v/>
      </c>
    </row>
    <row r="6" ht="15" customHeight="1" s="25">
      <c r="A6" s="45" t="inlineStr">
        <is>
          <t>lulinha</t>
        </is>
      </c>
      <c r="B6" s="45" t="inlineStr">
        <is>
          <t>Lulinha</t>
        </is>
      </c>
      <c r="C6" s="45" t="inlineStr">
        <is>
          <t>Pessoa</t>
        </is>
      </c>
      <c r="D6" s="45" t="inlineStr">
        <is>
          <t>Esquema do INSS</t>
        </is>
      </c>
      <c r="E6" s="45" t="inlineStr">
        <is>
          <t>3 inquéritos no STF; nega; sem indiciamento</t>
        </is>
      </c>
      <c r="F6" s="45">
        <f>COUNTIF(Edges!$A$2:$A$120,A6)+COUNTIF(Edges!$B$2:$B$120,A6)</f>
        <v/>
      </c>
    </row>
    <row r="7" ht="15" customHeight="1" s="25">
      <c r="A7" s="45" t="inlineStr">
        <is>
          <t>roberta</t>
        </is>
      </c>
      <c r="B7" s="45" t="inlineStr">
        <is>
          <t>Roberta (lobista)</t>
        </is>
      </c>
      <c r="C7" s="45" t="inlineStr">
        <is>
          <t>Pessoa</t>
        </is>
      </c>
      <c r="D7" s="45" t="inlineStr">
        <is>
          <t>Esquema do INSS</t>
        </is>
      </c>
      <c r="E7" s="45" t="inlineStr">
        <is>
          <t>Amiga de Lulinha; recebeu ~R$ 1 mi de empresa de fachada do Careca</t>
        </is>
      </c>
      <c r="F7" s="45">
        <f>COUNTIF(Edges!$A$2:$A$120,A7)+COUNTIF(Edges!$B$2:$B$120,A7)</f>
        <v/>
      </c>
    </row>
    <row r="8" ht="15" customHeight="1" s="25">
      <c r="A8" s="45" t="inlineStr">
        <is>
          <t>sala</t>
        </is>
      </c>
      <c r="B8" s="45" t="inlineStr">
        <is>
          <t>Sala em Águas Claras (DF)</t>
        </is>
      </c>
      <c r="C8" s="45" t="inlineStr">
        <is>
          <t>Casa ou ativo</t>
        </is>
      </c>
      <c r="D8" s="45" t="inlineStr">
        <is>
          <t>Esquema do INSS</t>
        </is>
      </c>
      <c r="E8" s="45" t="inlineStr">
        <is>
          <t>Endereço de Bravo Grafeno e de 16 empresas do Careca</t>
        </is>
      </c>
      <c r="F8" s="45">
        <f>COUNTIF(Edges!$A$2:$A$120,A8)+COUNTIF(Edges!$B$2:$B$120,A8)</f>
        <v/>
      </c>
    </row>
    <row r="9" ht="15" customHeight="1" s="25">
      <c r="A9" s="45" t="inlineStr">
        <is>
          <t>bravo</t>
        </is>
      </c>
      <c r="B9" s="45" t="inlineStr">
        <is>
          <t>Bravo Grafeno</t>
        </is>
      </c>
      <c r="C9" s="45" t="inlineStr">
        <is>
          <t>Empresa</t>
        </is>
      </c>
      <c r="D9" s="45" t="inlineStr">
        <is>
          <t>Esquema do INSS</t>
        </is>
      </c>
      <c r="E9" s="45" t="inlineStr">
        <is>
          <t>Fábrica de capacetes de Flávio e Carlos</t>
        </is>
      </c>
      <c r="F9" s="45">
        <f>COUNTIF(Edges!$A$2:$A$120,A9)+COUNTIF(Edges!$B$2:$B$120,A9)</f>
        <v/>
      </c>
    </row>
    <row r="10" ht="15" customHeight="1" s="25">
      <c r="A10" s="45" t="inlineStr">
        <is>
          <t>willer</t>
        </is>
      </c>
      <c r="B10" s="45" t="inlineStr">
        <is>
          <t>Willer Tomás</t>
        </is>
      </c>
      <c r="C10" s="45" t="inlineStr">
        <is>
          <t>Pessoa</t>
        </is>
      </c>
      <c r="D10" s="45" t="inlineStr">
        <is>
          <t>Willer Tomás e sua rede</t>
        </is>
      </c>
      <c r="E10" s="45" t="inlineStr">
        <is>
          <t>Advogado em Brasília; investigado por lavagem; nega</t>
        </is>
      </c>
      <c r="F10" s="45">
        <f>COUNTIF(Edges!$A$2:$A$120,A10)+COUNTIF(Edges!$B$2:$B$120,A10)</f>
        <v/>
      </c>
    </row>
    <row r="11" ht="15" customHeight="1" s="25">
      <c r="A11" s="45" t="inlineStr">
        <is>
          <t>escw</t>
        </is>
      </c>
      <c r="B11" s="45" t="inlineStr">
        <is>
          <t>Escritório de Willer</t>
        </is>
      </c>
      <c r="C11" s="45" t="inlineStr">
        <is>
          <t>Casa ou ativo</t>
        </is>
      </c>
      <c r="D11" s="45" t="inlineStr">
        <is>
          <t>Willer Tomás e sua rede</t>
        </is>
      </c>
      <c r="E11" s="45" t="inlineStr">
        <is>
          <t>PF achou máquina de contar e dinheiro em livros-cofre</t>
        </is>
      </c>
      <c r="F11" s="45">
        <f>COUNTIF(Edges!$A$2:$A$120,A11)+COUNTIF(Edges!$B$2:$B$120,A11)</f>
        <v/>
      </c>
    </row>
    <row r="12" ht="15" customHeight="1" s="25">
      <c r="A12" s="45" t="inlineStr">
        <is>
          <t>bets</t>
        </is>
      </c>
      <c r="B12" s="45" t="inlineStr">
        <is>
          <t>Blaze e sites de apostas</t>
        </is>
      </c>
      <c r="C12" s="45" t="inlineStr">
        <is>
          <t>Empresa</t>
        </is>
      </c>
      <c r="D12" s="45" t="inlineStr">
        <is>
          <t>Willer Tomás e sua rede</t>
        </is>
      </c>
      <c r="E12" s="45" t="inlineStr">
        <is>
          <t>~R$ 5 bi movimentados em 2025; PF vê possível lavagem</t>
        </is>
      </c>
      <c r="F12" s="45">
        <f>COUNTIF(Edges!$A$2:$A$120,A12)+COUNTIF(Edges!$B$2:$B$120,A12)</f>
        <v/>
      </c>
    </row>
    <row r="13" ht="15" customHeight="1" s="25">
      <c r="A13" s="45" t="inlineStr">
        <is>
          <t>lidia</t>
        </is>
      </c>
      <c r="B13" s="45" t="inlineStr">
        <is>
          <t>Lídia Mazelli</t>
        </is>
      </c>
      <c r="C13" s="45" t="inlineStr">
        <is>
          <t>Pessoa</t>
        </is>
      </c>
      <c r="D13" s="45" t="inlineStr">
        <is>
          <t>Willer Tomás e sua rede</t>
        </is>
      </c>
      <c r="E13" s="45" t="inlineStr">
        <is>
          <t>61 anos; diz ser doméstica; figura à frente de 14 empresas</t>
        </is>
      </c>
      <c r="F13" s="45">
        <f>COUNTIF(Edges!$A$2:$A$120,A13)+COUNTIF(Edges!$B$2:$B$120,A13)</f>
        <v/>
      </c>
    </row>
    <row r="14" ht="15" customHeight="1" s="25">
      <c r="A14" s="45" t="inlineStr">
        <is>
          <t>wt</t>
        </is>
      </c>
      <c r="B14" s="45" t="inlineStr">
        <is>
          <t>WT (e outras 13 empresas)</t>
        </is>
      </c>
      <c r="C14" s="45" t="inlineStr">
        <is>
          <t>Empresa</t>
        </is>
      </c>
      <c r="D14" s="45" t="inlineStr">
        <is>
          <t>Willer Tomás e sua rede</t>
        </is>
      </c>
      <c r="E14" s="45" t="inlineStr">
        <is>
          <t>Empresa da “doméstica”; dona de mansão e apartamento</t>
        </is>
      </c>
      <c r="F14" s="45">
        <f>COUNTIF(Edges!$A$2:$A$120,A14)+COUNTIF(Edges!$B$2:$B$120,A14)</f>
        <v/>
      </c>
    </row>
    <row r="15" ht="15" customHeight="1" s="25">
      <c r="A15" s="45" t="inlineStr">
        <is>
          <t>alcazar</t>
        </is>
      </c>
      <c r="B15" s="45" t="inlineStr">
        <is>
          <t>Alcazar Holdings</t>
        </is>
      </c>
      <c r="C15" s="45" t="inlineStr">
        <is>
          <t>Empresa</t>
        </is>
      </c>
      <c r="D15" s="45" t="inlineStr">
        <is>
          <t>Willer Tomás e sua rede</t>
        </is>
      </c>
      <c r="E15" s="45" t="inlineStr">
        <is>
          <t>Empresa ligada a Willer; conta no Santander</t>
        </is>
      </c>
      <c r="F15" s="45">
        <f>COUNTIF(Edges!$A$2:$A$120,A15)+COUNTIF(Edges!$B$2:$B$120,A15)</f>
        <v/>
      </c>
    </row>
    <row r="16" ht="15" customHeight="1" s="25">
      <c r="A16" s="45" t="inlineStr">
        <is>
          <t>santander</t>
        </is>
      </c>
      <c r="B16" s="45" t="inlineStr">
        <is>
          <t>Santander</t>
        </is>
      </c>
      <c r="C16" s="45" t="inlineStr">
        <is>
          <t>Empresa</t>
        </is>
      </c>
      <c r="D16" s="45" t="inlineStr">
        <is>
          <t>Willer Tomás e sua rede</t>
        </is>
      </c>
      <c r="E16" s="45" t="inlineStr">
        <is>
          <t>Conta da Alcazar com Flávio como “usuário master”</t>
        </is>
      </c>
      <c r="F16" s="45">
        <f>COUNTIF(Edges!$A$2:$A$120,A16)+COUNTIF(Edges!$B$2:$B$120,A16)</f>
        <v/>
      </c>
    </row>
    <row r="17" ht="15" customHeight="1" s="25">
      <c r="A17" s="45" t="inlineStr">
        <is>
          <t>cpi</t>
        </is>
      </c>
      <c r="B17" s="45" t="inlineStr">
        <is>
          <t>CPI da pandemia (Covaxin)</t>
        </is>
      </c>
      <c r="C17" s="45" t="inlineStr">
        <is>
          <t>Instituição ou caso</t>
        </is>
      </c>
      <c r="D17" s="45" t="inlineStr">
        <is>
          <t>Willer Tomás e sua rede</t>
        </is>
      </c>
      <c r="E17" s="45" t="inlineStr">
        <is>
          <t>Quebra de sigilo de Willer pedida e depois cancelada</t>
        </is>
      </c>
      <c r="F17" s="45">
        <f>COUNTIF(Edges!$A$2:$A$120,A17)+COUNTIF(Edges!$B$2:$B$120,A17)</f>
        <v/>
      </c>
    </row>
    <row r="18" ht="15" customHeight="1" s="25">
      <c r="A18" s="45" t="inlineStr">
        <is>
          <t>renan</t>
        </is>
      </c>
      <c r="B18" s="45" t="inlineStr">
        <is>
          <t>Renan Calheiros</t>
        </is>
      </c>
      <c r="C18" s="45" t="inlineStr">
        <is>
          <t>Pessoa</t>
        </is>
      </c>
      <c r="D18" s="45" t="inlineStr">
        <is>
          <t>Willer Tomás e sua rede</t>
        </is>
      </c>
      <c r="E18" s="45" t="inlineStr">
        <is>
          <t>Relator da CPI; pediu a quebra de sigilo</t>
        </is>
      </c>
      <c r="F18" s="45">
        <f>COUNTIF(Edges!$A$2:$A$120,A18)+COUNTIF(Edges!$B$2:$B$120,A18)</f>
        <v/>
      </c>
    </row>
    <row r="19" ht="15" customHeight="1" s="25">
      <c r="A19" s="45" t="inlineStr">
        <is>
          <t>flavio</t>
        </is>
      </c>
      <c r="B19" s="45" t="inlineStr">
        <is>
          <t>Flávio Bolsonaro</t>
        </is>
      </c>
      <c r="C19" s="45" t="inlineStr">
        <is>
          <t>Pessoa</t>
        </is>
      </c>
      <c r="D19" s="45" t="inlineStr">
        <is>
          <t>Flávio e família</t>
        </is>
      </c>
      <c r="E19" s="45" t="inlineStr">
        <is>
          <t>Senador e candidato a presidente; nega irregularidades</t>
        </is>
      </c>
      <c r="F19" s="45">
        <f>COUNTIF(Edges!$A$2:$A$120,A19)+COUNTIF(Edges!$B$2:$B$120,A19)</f>
        <v/>
      </c>
    </row>
    <row r="20" ht="15" customHeight="1" s="25">
      <c r="A20" s="45" t="inlineStr">
        <is>
          <t>fam</t>
        </is>
      </c>
      <c r="B20" s="45" t="inlineStr">
        <is>
          <t>Mulher e filhas de Flávio</t>
        </is>
      </c>
      <c r="C20" s="45" t="inlineStr">
        <is>
          <t>Pessoa</t>
        </is>
      </c>
      <c r="D20" s="45" t="inlineStr">
        <is>
          <t>Flávio e família</t>
        </is>
      </c>
      <c r="E20" s="45" t="inlineStr">
        <is>
          <t>Voaram no jato em jan/2025</t>
        </is>
      </c>
      <c r="F20" s="45">
        <f>COUNTIF(Edges!$A$2:$A$120,A20)+COUNTIF(Edges!$B$2:$B$120,A20)</f>
        <v/>
      </c>
    </row>
    <row r="21" ht="15" customHeight="1" s="25">
      <c r="A21" s="45" t="inlineStr">
        <is>
          <t>carlos</t>
        </is>
      </c>
      <c r="B21" s="45" t="inlineStr">
        <is>
          <t>Carlos Bolsonaro</t>
        </is>
      </c>
      <c r="C21" s="45" t="inlineStr">
        <is>
          <t>Pessoa</t>
        </is>
      </c>
      <c r="D21" s="45" t="inlineStr">
        <is>
          <t>Flávio e família</t>
        </is>
      </c>
      <c r="E21" s="45" t="inlineStr">
        <is>
          <t>Irmão; sócio na Bravo Grafeno</t>
        </is>
      </c>
      <c r="F21" s="45">
        <f>COUNTIF(Edges!$A$2:$A$120,A21)+COUNTIF(Edges!$B$2:$B$120,A21)</f>
        <v/>
      </c>
    </row>
    <row r="22" ht="15" customHeight="1" s="25">
      <c r="A22" s="45" t="inlineStr">
        <is>
          <t>escf</t>
        </is>
      </c>
      <c r="B22" s="45" t="inlineStr">
        <is>
          <t>Escritório de advocacia de Flávio</t>
        </is>
      </c>
      <c r="C22" s="45" t="inlineStr">
        <is>
          <t>Empresa</t>
        </is>
      </c>
      <c r="D22" s="45" t="inlineStr">
        <is>
          <t>Flávio e família</t>
        </is>
      </c>
      <c r="E22" s="45" t="inlineStr">
        <is>
          <t>Aberto em 2021</t>
        </is>
      </c>
      <c r="F22" s="45">
        <f>COUNTIF(Edges!$A$2:$A$120,A22)+COUNTIF(Edges!$B$2:$B$120,A22)</f>
        <v/>
      </c>
    </row>
    <row r="23" ht="15" customHeight="1" s="25">
      <c r="A23" s="45" t="inlineStr">
        <is>
          <t>ong</t>
        </is>
      </c>
      <c r="B23" s="45" t="inlineStr">
        <is>
          <t>ONG e produtora do filme</t>
        </is>
      </c>
      <c r="C23" s="45" t="inlineStr">
        <is>
          <t>Empresa</t>
        </is>
      </c>
      <c r="D23" s="45" t="inlineStr">
        <is>
          <t>Flávio e família</t>
        </is>
      </c>
      <c r="E23" s="45" t="inlineStr">
        <is>
          <t>Filme sobre Jair; ~US$ 24 mi negociados com Vorcaro</t>
        </is>
      </c>
      <c r="F23" s="45">
        <f>COUNTIF(Edges!$A$2:$A$120,A23)+COUNTIF(Edges!$B$2:$B$120,A23)</f>
        <v/>
      </c>
    </row>
    <row r="24" ht="15" customHeight="1" s="25">
      <c r="A24" s="45" t="inlineStr">
        <is>
          <t>eletricista</t>
        </is>
      </c>
      <c r="B24" s="45" t="inlineStr">
        <is>
          <t>Eletricista</t>
        </is>
      </c>
      <c r="C24" s="45" t="inlineStr">
        <is>
          <t>Pessoa</t>
        </is>
      </c>
      <c r="D24" s="45" t="inlineStr">
        <is>
          <t>Flávio e família</t>
        </is>
      </c>
      <c r="E24" s="45" t="inlineStr">
        <is>
          <t>Tesoureiro no papel; diz que só emprestou o nome</t>
        </is>
      </c>
      <c r="F24" s="45">
        <f>COUNTIF(Edges!$A$2:$A$120,A24)+COUNTIF(Edges!$B$2:$B$120,A24)</f>
        <v/>
      </c>
    </row>
    <row r="25" ht="15" customHeight="1" s="25">
      <c r="A25" s="45" t="inlineStr">
        <is>
          <t>jair</t>
        </is>
      </c>
      <c r="B25" s="45" t="inlineStr">
        <is>
          <t>Jair Bolsonaro</t>
        </is>
      </c>
      <c r="C25" s="45" t="inlineStr">
        <is>
          <t>Pessoa</t>
        </is>
      </c>
      <c r="D25" s="45" t="inlineStr">
        <is>
          <t>Flávio e família</t>
        </is>
      </c>
      <c r="E25" s="45" t="inlineStr">
        <is>
          <t>Pai; ex-presidente; hoje preso</t>
        </is>
      </c>
      <c r="F25" s="45">
        <f>COUNTIF(Edges!$A$2:$A$120,A25)+COUNTIF(Edges!$B$2:$B$120,A25)</f>
        <v/>
      </c>
    </row>
    <row r="26" ht="15" customHeight="1" s="25">
      <c r="A26" s="45" t="inlineStr">
        <is>
          <t>wassef</t>
        </is>
      </c>
      <c r="B26" s="45" t="inlineStr">
        <is>
          <t>Frederico Wassef</t>
        </is>
      </c>
      <c r="C26" s="45" t="inlineStr">
        <is>
          <t>Pessoa</t>
        </is>
      </c>
      <c r="D26" s="45" t="inlineStr">
        <is>
          <t>Flávio e família</t>
        </is>
      </c>
      <c r="E26" s="45" t="inlineStr">
        <is>
          <t>Advogado da família Bolsonaro</t>
        </is>
      </c>
      <c r="F26" s="45">
        <f>COUNTIF(Edges!$A$2:$A$120,A26)+COUNTIF(Edges!$B$2:$B$120,A26)</f>
        <v/>
      </c>
    </row>
    <row r="27" ht="15" customHeight="1" s="25">
      <c r="A27" s="45" t="inlineStr">
        <is>
          <t>queiroz</t>
        </is>
      </c>
      <c r="B27" s="45" t="inlineStr">
        <is>
          <t>Fabrício Queiroz</t>
        </is>
      </c>
      <c r="C27" s="45" t="inlineStr">
        <is>
          <t>Pessoa</t>
        </is>
      </c>
      <c r="D27" s="45" t="inlineStr">
        <is>
          <t>Flávio e família</t>
        </is>
      </c>
      <c r="E27" s="45" t="inlineStr">
        <is>
          <t>Operador da rachadinha; 19 meses sem depor</t>
        </is>
      </c>
      <c r="F27" s="45">
        <f>COUNTIF(Edges!$A$2:$A$120,A27)+COUNTIF(Edges!$B$2:$B$120,A27)</f>
        <v/>
      </c>
    </row>
    <row r="28" ht="15" customHeight="1" s="25">
      <c r="A28" s="45" t="inlineStr">
        <is>
          <t>advflavio</t>
        </is>
      </c>
      <c r="B28" s="45" t="inlineStr">
        <is>
          <t>Advogadas de Flávio (2)</t>
        </is>
      </c>
      <c r="C28" s="45" t="inlineStr">
        <is>
          <t>Pessoa</t>
        </is>
      </c>
      <c r="D28" s="45" t="inlineStr">
        <is>
          <t>Flávio e família</t>
        </is>
      </c>
      <c r="E28" s="45" t="inlineStr">
        <is>
          <t>Na reunião de 2020 no Planalto sobre como derrubar a investigação</t>
        </is>
      </c>
      <c r="F28" s="45">
        <f>COUNTIF(Edges!$A$2:$A$120,A28)+COUNTIF(Edges!$B$2:$B$120,A28)</f>
        <v/>
      </c>
    </row>
    <row r="29" ht="15" customHeight="1" s="25">
      <c r="A29" s="45" t="inlineStr">
        <is>
          <t>vorcaro</t>
        </is>
      </c>
      <c r="B29" s="45" t="inlineStr">
        <is>
          <t>Daniel Vorcaro</t>
        </is>
      </c>
      <c r="C29" s="45" t="inlineStr">
        <is>
          <t>Pessoa</t>
        </is>
      </c>
      <c r="D29" s="45" t="inlineStr">
        <is>
          <t>Vorcaro e o Banco Master</t>
        </is>
      </c>
      <c r="E29" s="45" t="inlineStr">
        <is>
          <t>Dono do Banco Master; preso</t>
        </is>
      </c>
      <c r="F29" s="45">
        <f>COUNTIF(Edges!$A$2:$A$120,A29)+COUNTIF(Edges!$B$2:$B$120,A29)</f>
        <v/>
      </c>
    </row>
    <row r="30" ht="15" customHeight="1" s="25">
      <c r="A30" s="45" t="inlineStr">
        <is>
          <t>master</t>
        </is>
      </c>
      <c r="B30" s="45" t="inlineStr">
        <is>
          <t>Banco Master</t>
        </is>
      </c>
      <c r="C30" s="45" t="inlineStr">
        <is>
          <t>Empresa</t>
        </is>
      </c>
      <c r="D30" s="45" t="inlineStr">
        <is>
          <t>Vorcaro e o Banco Master</t>
        </is>
      </c>
      <c r="E30" s="45" t="inlineStr">
        <is>
          <t>Pagou R$ 6,6 mi à consultoria do amigo de Nunes</t>
        </is>
      </c>
      <c r="F30" s="45">
        <f>COUNTIF(Edges!$A$2:$A$120,A30)+COUNTIF(Edges!$B$2:$B$120,A30)</f>
        <v/>
      </c>
    </row>
    <row r="31" ht="15" customHeight="1" s="25">
      <c r="A31" s="45" t="inlineStr">
        <is>
          <t>zetel</t>
        </is>
      </c>
      <c r="B31" s="45" t="inlineStr">
        <is>
          <t>Fabiano Zetel</t>
        </is>
      </c>
      <c r="C31" s="45" t="inlineStr">
        <is>
          <t>Pessoa</t>
        </is>
      </c>
      <c r="D31" s="45" t="inlineStr">
        <is>
          <t>Vorcaro e o Banco Master</t>
        </is>
      </c>
      <c r="E31" s="45" t="inlineStr">
        <is>
          <t>Cunhado de Vorcaro; preso</t>
        </is>
      </c>
      <c r="F31" s="45">
        <f>COUNTIF(Edges!$A$2:$A$120,A31)+COUNTIF(Edges!$B$2:$B$120,A31)</f>
        <v/>
      </c>
    </row>
    <row r="32" ht="15" customHeight="1" s="25">
      <c r="A32" s="45" t="inlineStr">
        <is>
          <t>dirjur</t>
        </is>
      </c>
      <c r="B32" s="45" t="inlineStr">
        <is>
          <t>Diretor jurídico do Master</t>
        </is>
      </c>
      <c r="C32" s="45" t="inlineStr">
        <is>
          <t>Pessoa</t>
        </is>
      </c>
      <c r="D32" s="45" t="inlineStr">
        <is>
          <t>Vorcaro e o Banco Master</t>
        </is>
      </c>
      <c r="E32" s="45" t="inlineStr">
        <is>
          <t>Mandou o placar do voto ao Vorcaro: “Dominado aqui”</t>
        </is>
      </c>
      <c r="F32" s="45">
        <f>COUNTIF(Edges!$A$2:$A$120,A32)+COUNTIF(Edges!$B$2:$B$120,A32)</f>
        <v/>
      </c>
    </row>
    <row r="33" ht="15" customHeight="1" s="25">
      <c r="A33" s="45" t="inlineStr">
        <is>
          <t>primeu</t>
        </is>
      </c>
      <c r="B33" s="45" t="inlineStr">
        <is>
          <t>Prime U</t>
        </is>
      </c>
      <c r="C33" s="45" t="inlineStr">
        <is>
          <t>Empresa</t>
        </is>
      </c>
      <c r="D33" s="45" t="inlineStr">
        <is>
          <t>Vorcaro e o Banco Master</t>
        </is>
      </c>
      <c r="E33" s="45" t="inlineStr">
        <is>
          <t>Bens de luxo; Vorcaro sócio; pagou passagens das mulheres</t>
        </is>
      </c>
      <c r="F33" s="45">
        <f>COUNTIF(Edges!$A$2:$A$120,A33)+COUNTIF(Edges!$B$2:$B$120,A33)</f>
        <v/>
      </c>
    </row>
    <row r="34" ht="15" customHeight="1" s="25">
      <c r="A34" s="45" t="inlineStr">
        <is>
          <t>luri</t>
        </is>
      </c>
      <c r="B34" s="45" t="inlineStr">
        <is>
          <t>Luri Eventos</t>
        </is>
      </c>
      <c r="C34" s="45" t="inlineStr">
        <is>
          <t>Empresa</t>
        </is>
      </c>
      <c r="D34" s="45" t="inlineStr">
        <is>
          <t>Vorcaro e o Banco Master</t>
        </is>
      </c>
      <c r="E34" s="45" t="inlineStr">
        <is>
          <t>Agência que recrutava as mulheres das festas</t>
        </is>
      </c>
      <c r="F34" s="45">
        <f>COUNTIF(Edges!$A$2:$A$120,A34)+COUNTIF(Edges!$B$2:$B$120,A34)</f>
        <v/>
      </c>
    </row>
    <row r="35" ht="23.25" customHeight="1" s="25">
      <c r="A35" s="45" t="inlineStr">
        <is>
          <t>promoter</t>
        </is>
      </c>
      <c r="B35" s="45" t="inlineStr">
        <is>
          <t>Promoter</t>
        </is>
      </c>
      <c r="C35" s="45" t="inlineStr">
        <is>
          <t>Pessoa</t>
        </is>
      </c>
      <c r="D35" s="45" t="inlineStr">
        <is>
          <t>Vorcaro e o Banco Master</t>
        </is>
      </c>
      <c r="E35" s="45" t="inlineStr">
        <is>
          <t>Levava as mulheres às festas; valor mensal citado na transcrição é impreciso (~R$ 60 mil)</t>
        </is>
      </c>
      <c r="F35" s="45">
        <f>COUNTIF(Edges!$A$2:$A$120,A35)+COUNTIF(Edges!$B$2:$B$120,A35)</f>
        <v/>
      </c>
    </row>
    <row r="36" ht="15" customHeight="1" s="25">
      <c r="A36" s="45" t="inlineStr">
        <is>
          <t>mordomo</t>
        </is>
      </c>
      <c r="B36" s="45" t="inlineStr">
        <is>
          <t>Mordomo do triplex</t>
        </is>
      </c>
      <c r="C36" s="45" t="inlineStr">
        <is>
          <t>Pessoa</t>
        </is>
      </c>
      <c r="D36" s="45" t="inlineStr">
        <is>
          <t>Vorcaro e o Banco Master</t>
        </is>
      </c>
      <c r="E36" s="45" t="inlineStr">
        <is>
          <t>Mandava mensagens a Vorcaro sobre as festas</t>
        </is>
      </c>
      <c r="F36" s="45">
        <f>COUNTIF(Edges!$A$2:$A$120,A36)+COUNTIF(Edges!$B$2:$B$120,A36)</f>
        <v/>
      </c>
    </row>
    <row r="37" ht="15" customHeight="1" s="25">
      <c r="A37" s="45" t="inlineStr">
        <is>
          <t>mulheres</t>
        </is>
      </c>
      <c r="B37" s="45" t="inlineStr">
        <is>
          <t>Mulheres das festas</t>
        </is>
      </c>
      <c r="C37" s="45" t="inlineStr">
        <is>
          <t>Pessoa</t>
        </is>
      </c>
      <c r="D37" s="45" t="inlineStr">
        <is>
          <t>Vorcaro e o Banco Master</t>
        </is>
      </c>
      <c r="E37" s="45" t="inlineStr">
        <is>
          <t>Agenciadas; entre elas uma ucraniana de 19 anos</t>
        </is>
      </c>
      <c r="F37" s="45">
        <f>COUNTIF(Edges!$A$2:$A$120,A37)+COUNTIF(Edges!$B$2:$B$120,A37)</f>
        <v/>
      </c>
    </row>
    <row r="38" ht="15" customHeight="1" s="25">
      <c r="A38" s="45" t="inlineStr">
        <is>
          <t>angra</t>
        </is>
      </c>
      <c r="B38" s="45" t="inlineStr">
        <is>
          <t>Mansão em Angra dos Reis</t>
        </is>
      </c>
      <c r="C38" s="45" t="inlineStr">
        <is>
          <t>Casa ou ativo</t>
        </is>
      </c>
      <c r="D38" s="45" t="inlineStr">
        <is>
          <t>Casas e ativos</t>
        </is>
      </c>
      <c r="E38" s="45" t="inlineStr">
        <is>
          <t>Era do Richarlison; hoje da WT; festa da filha de Flávio</t>
        </is>
      </c>
      <c r="F38" s="45">
        <f>COUNTIF(Edges!$A$2:$A$120,A38)+COUNTIF(Edges!$B$2:$B$120,A38)</f>
        <v/>
      </c>
    </row>
    <row r="39" ht="15" customHeight="1" s="25">
      <c r="A39" s="45" t="inlineStr">
        <is>
          <t>aptosp</t>
        </is>
      </c>
      <c r="B39" s="45" t="inlineStr">
        <is>
          <t>Apartamento de luxo em SP</t>
        </is>
      </c>
      <c r="C39" s="45" t="inlineStr">
        <is>
          <t>Casa ou ativo</t>
        </is>
      </c>
      <c r="D39" s="45" t="inlineStr">
        <is>
          <t>Casas e ativos</t>
        </is>
      </c>
      <c r="E39" s="45" t="inlineStr">
        <is>
          <t>Zetel vendeu à WT com R$ 2 mi de prejuízo; Flávio usou na campanha</t>
        </is>
      </c>
      <c r="F39" s="45">
        <f>COUNTIF(Edges!$A$2:$A$120,A39)+COUNTIF(Edges!$B$2:$B$120,A39)</f>
        <v/>
      </c>
    </row>
    <row r="40" ht="15" customHeight="1" s="25">
      <c r="A40" s="45" t="inlineStr">
        <is>
          <t>triplex</t>
        </is>
      </c>
      <c r="B40" s="45" t="inlineStr">
        <is>
          <t>Triplex de Vorcaro</t>
        </is>
      </c>
      <c r="C40" s="45" t="inlineStr">
        <is>
          <t>Casa ou ativo</t>
        </is>
      </c>
      <c r="D40" s="45" t="inlineStr">
        <is>
          <t>Casas e ativos</t>
        </is>
      </c>
      <c r="E40" s="45" t="inlineStr">
        <is>
          <t>Palco das festas</t>
        </is>
      </c>
      <c r="F40" s="45">
        <f>COUNTIF(Edges!$A$2:$A$120,A40)+COUNTIF(Edges!$B$2:$B$120,A40)</f>
        <v/>
      </c>
    </row>
    <row r="41" ht="23.25" customHeight="1" s="25">
      <c r="A41" s="45" t="inlineStr">
        <is>
          <t>jato</t>
        </is>
      </c>
      <c r="B41" s="45" t="inlineStr">
        <is>
          <t>Jato (3 cotistas)</t>
        </is>
      </c>
      <c r="C41" s="45" t="inlineStr">
        <is>
          <t>Casa ou ativo</t>
        </is>
      </c>
      <c r="D41" s="45" t="inlineStr">
        <is>
          <t>Casas e ativos</t>
        </is>
      </c>
      <c r="E41" s="45" t="inlineStr">
        <is>
          <t>Três donos: Alcazar, Prime U e um terceiro não nomeado no vídeo; Flávio voou em jan/2025</t>
        </is>
      </c>
      <c r="F41" s="45">
        <f>COUNTIF(Edges!$A$2:$A$120,A41)+COUNTIF(Edges!$B$2:$B$120,A41)</f>
        <v/>
      </c>
    </row>
    <row r="42" ht="15" customHeight="1" s="25">
      <c r="A42" s="45" t="inlineStr">
        <is>
          <t>atibaia</t>
        </is>
      </c>
      <c r="B42" s="45" t="inlineStr">
        <is>
          <t>Casa de Wassef em Atibaia</t>
        </is>
      </c>
      <c r="C42" s="45" t="inlineStr">
        <is>
          <t>Casa ou ativo</t>
        </is>
      </c>
      <c r="D42" s="45" t="inlineStr">
        <is>
          <t>Casas e ativos</t>
        </is>
      </c>
      <c r="E42" s="45" t="inlineStr">
        <is>
          <t>Onde Queiroz foi achado escondido (jun/2020)</t>
        </is>
      </c>
      <c r="F42" s="45">
        <f>COUNTIF(Edges!$A$2:$A$120,A42)+COUNTIF(Edges!$B$2:$B$120,A42)</f>
        <v/>
      </c>
    </row>
    <row r="43" ht="15" customHeight="1" s="25">
      <c r="A43" s="45" t="inlineStr">
        <is>
          <t>richarlison</t>
        </is>
      </c>
      <c r="B43" s="45" t="inlineStr">
        <is>
          <t>Richarlison</t>
        </is>
      </c>
      <c r="C43" s="45" t="inlineStr">
        <is>
          <t>Pessoa</t>
        </is>
      </c>
      <c r="D43" s="45" t="inlineStr">
        <is>
          <t>Casas e ativos</t>
        </is>
      </c>
      <c r="E43" s="45" t="inlineStr">
        <is>
          <t>Jogador; investiu ~R$ 10 mi na casa e perdeu</t>
        </is>
      </c>
      <c r="F43" s="45">
        <f>COUNTIF(Edges!$A$2:$A$120,A43)+COUNTIF(Edges!$B$2:$B$120,A43)</f>
        <v/>
      </c>
    </row>
    <row r="44" ht="15" customHeight="1" s="25">
      <c r="A44" s="45" t="inlineStr">
        <is>
          <t>dono</t>
        </is>
      </c>
      <c r="B44" s="45" t="inlineStr">
        <is>
          <t>Antônio Marcos da Silva</t>
        </is>
      </c>
      <c r="C44" s="45" t="inlineStr">
        <is>
          <t>Pessoa</t>
        </is>
      </c>
      <c r="D44" s="45" t="inlineStr">
        <is>
          <t>Casas e ativos</t>
        </is>
      </c>
      <c r="E44" s="45" t="inlineStr">
        <is>
          <t>Dono da mansão; ouviu Flávio chamar Willer de sócio</t>
        </is>
      </c>
      <c r="F44" s="45">
        <f>COUNTIF(Edges!$A$2:$A$120,A44)+COUNTIF(Edges!$B$2:$B$120,A44)</f>
        <v/>
      </c>
    </row>
    <row r="45" ht="15" customHeight="1" s="25">
      <c r="A45" s="45" t="inlineStr">
        <is>
          <t>nunes</t>
        </is>
      </c>
      <c r="B45" s="45" t="inlineStr">
        <is>
          <t>Kássio Nunes Marques</t>
        </is>
      </c>
      <c r="C45" s="45" t="inlineStr">
        <is>
          <t>Pessoa</t>
        </is>
      </c>
      <c r="D45" s="45" t="inlineStr">
        <is>
          <t>Poder e Justiça</t>
        </is>
      </c>
      <c r="E45" s="45" t="inlineStr">
        <is>
          <t>Ministro do STF; preside o TSE; nega irregularidades</t>
        </is>
      </c>
      <c r="F45" s="45">
        <f>COUNTIF(Edges!$A$2:$A$120,A45)+COUNTIF(Edges!$B$2:$B$120,A45)</f>
        <v/>
      </c>
    </row>
    <row r="46" ht="15" customHeight="1" s="25">
      <c r="A46" s="45" t="inlineStr">
        <is>
          <t>kevin</t>
        </is>
      </c>
      <c r="B46" s="45" t="inlineStr">
        <is>
          <t>Kevin Marques</t>
        </is>
      </c>
      <c r="C46" s="45" t="inlineStr">
        <is>
          <t>Pessoa</t>
        </is>
      </c>
      <c r="D46" s="45" t="inlineStr">
        <is>
          <t>Poder e Justiça</t>
        </is>
      </c>
      <c r="E46" s="45" t="inlineStr">
        <is>
          <t>Filho de Nunes; ~R$ 300 mil via consultoria</t>
        </is>
      </c>
      <c r="F46" s="45">
        <f>COUNTIF(Edges!$A$2:$A$120,A46)+COUNTIF(Edges!$B$2:$B$120,A46)</f>
        <v/>
      </c>
    </row>
    <row r="47" ht="15" customHeight="1" s="25">
      <c r="A47" s="45" t="inlineStr">
        <is>
          <t>consult</t>
        </is>
      </c>
      <c r="B47" s="45" t="inlineStr">
        <is>
          <t>Consultoria do amigo de Nunes</t>
        </is>
      </c>
      <c r="C47" s="45" t="inlineStr">
        <is>
          <t>Empresa</t>
        </is>
      </c>
      <c r="D47" s="45" t="inlineStr">
        <is>
          <t>Poder e Justiça</t>
        </is>
      </c>
      <c r="E47" s="45" t="inlineStr">
        <is>
          <t>Recebeu R$ 6,6 mi do Master</t>
        </is>
      </c>
      <c r="F47" s="45">
        <f>COUNTIF(Edges!$A$2:$A$120,A47)+COUNTIF(Edges!$B$2:$B$120,A47)</f>
        <v/>
      </c>
    </row>
    <row r="48" ht="15" customHeight="1" s="25">
      <c r="A48" s="45" t="inlineStr">
        <is>
          <t>coaf</t>
        </is>
      </c>
      <c r="B48" s="45" t="inlineStr">
        <is>
          <t>Caso rachadinha / COAF</t>
        </is>
      </c>
      <c r="C48" s="45" t="inlineStr">
        <is>
          <t>Instituição ou caso</t>
        </is>
      </c>
      <c r="D48" s="45" t="inlineStr">
        <is>
          <t>Poder e Justiça</t>
        </is>
      </c>
      <c r="E48" s="45" t="inlineStr">
        <is>
          <t>Relatórios anulados pelo STF (nov/2021)</t>
        </is>
      </c>
      <c r="F48" s="45">
        <f>COUNTIF(Edges!$A$2:$A$120,A48)+COUNTIF(Edges!$B$2:$B$120,A48)</f>
        <v/>
      </c>
    </row>
    <row r="49" ht="15" customHeight="1" s="25">
      <c r="A49" s="45" t="inlineStr">
        <is>
          <t>ramagem</t>
        </is>
      </c>
      <c r="B49" s="45" t="inlineStr">
        <is>
          <t>Alexandre Ramagem</t>
        </is>
      </c>
      <c r="C49" s="45" t="inlineStr">
        <is>
          <t>Pessoa</t>
        </is>
      </c>
      <c r="D49" s="45" t="inlineStr">
        <is>
          <t>Poder e Justiça</t>
        </is>
      </c>
      <c r="E49" s="45" t="inlineStr">
        <is>
          <t>Ex-chefe da Abin; condenado a 16 anos; foragido na Flórida</t>
        </is>
      </c>
      <c r="F49" s="45">
        <f>COUNTIF(Edges!$A$2:$A$120,A49)+COUNTIF(Edges!$B$2:$B$120,A49)</f>
        <v/>
      </c>
    </row>
    <row r="50" ht="15" customHeight="1" s="25">
      <c r="A50" s="45" t="inlineStr">
        <is>
          <t>heleno</t>
        </is>
      </c>
      <c r="B50" s="45" t="inlineStr">
        <is>
          <t>General Heleno</t>
        </is>
      </c>
      <c r="C50" s="45" t="inlineStr">
        <is>
          <t>Pessoa</t>
        </is>
      </c>
      <c r="D50" s="45" t="inlineStr">
        <is>
          <t>Poder e Justiça</t>
        </is>
      </c>
      <c r="E50" s="45" t="inlineStr">
        <is>
          <t>Na reunião de 2020 sobre a rachadinha</t>
        </is>
      </c>
      <c r="F50" s="45">
        <f>COUNTIF(Edges!$A$2:$A$120,A50)+COUNTIF(Edges!$B$2:$B$120,A50)</f>
        <v/>
      </c>
    </row>
    <row r="51" ht="15" customHeight="1" s="25">
      <c r="A51" s="45" t="inlineStr">
        <is>
          <t>moro</t>
        </is>
      </c>
      <c r="B51" s="45" t="inlineStr">
        <is>
          <t>Sérgio Moro</t>
        </is>
      </c>
      <c r="C51" s="45" t="inlineStr">
        <is>
          <t>Pessoa</t>
        </is>
      </c>
      <c r="D51" s="45" t="inlineStr">
        <is>
          <t>Poder e Justiça</t>
        </is>
      </c>
      <c r="E51" s="45" t="inlineStr">
        <is>
          <t>Deixou o Ministério da Justiça (abr/2020)</t>
        </is>
      </c>
      <c r="F51" s="45">
        <f>COUNTIF(Edges!$A$2:$A$120,A51)+COUNTIF(Edges!$B$2:$B$120,A51)</f>
        <v/>
      </c>
    </row>
    <row r="52" ht="15" customHeight="1" s="25">
      <c r="A52" s="45" t="inlineStr">
        <is>
          <t>abin</t>
        </is>
      </c>
      <c r="B52" s="45" t="inlineStr">
        <is>
          <t>Abin</t>
        </is>
      </c>
      <c r="C52" s="45" t="inlineStr">
        <is>
          <t>Instituição ou caso</t>
        </is>
      </c>
      <c r="D52" s="45" t="inlineStr">
        <is>
          <t>Poder e Justiça</t>
        </is>
      </c>
      <c r="E52" s="45" t="inlineStr">
        <is>
          <t>Relatórios para “defender FB”</t>
        </is>
      </c>
      <c r="F52" s="45">
        <f>COUNTIF(Edges!$A$2:$A$120,A52)+COUNTIF(Edges!$B$2:$B$120,A52)</f>
        <v/>
      </c>
    </row>
    <row r="53" ht="15" customHeight="1" s="25">
      <c r="A53" s="45" t="inlineStr">
        <is>
          <t>receita</t>
        </is>
      </c>
      <c r="B53" s="45" t="inlineStr">
        <is>
          <t>Receita Federal</t>
        </is>
      </c>
      <c r="C53" s="45" t="inlineStr">
        <is>
          <t>Instituição ou caso</t>
        </is>
      </c>
      <c r="D53" s="45" t="inlineStr">
        <is>
          <t>Poder e Justiça</t>
        </is>
      </c>
      <c r="E53" s="45" t="inlineStr">
        <is>
          <t>Chefe foi pessoalmente à casa de Flávio</t>
        </is>
      </c>
      <c r="F53" s="45">
        <f>COUNTIF(Edges!$A$2:$A$120,A53)+COUNTIF(Edges!$B$2:$B$120,A53)</f>
        <v/>
      </c>
    </row>
    <row r="54" ht="15" customHeight="1" s="25">
      <c r="A54" s="45" t="inlineStr">
        <is>
          <t>pf</t>
        </is>
      </c>
      <c r="B54" s="45" t="inlineStr">
        <is>
          <t>Polícia Federal</t>
        </is>
      </c>
      <c r="C54" s="45" t="inlineStr">
        <is>
          <t>Instituição ou caso</t>
        </is>
      </c>
      <c r="D54" s="45" t="inlineStr">
        <is>
          <t>Poder e Justiça</t>
        </is>
      </c>
      <c r="E54" s="45" t="inlineStr">
        <is>
          <t>Investiga Willer e o Careca; diretor é indicado pelo presidente</t>
        </is>
      </c>
      <c r="F54" s="45">
        <f>COUNTIF(Edges!$A$2:$A$120,A54)+COUNTIF(Edges!$B$2:$B$120,A54)</f>
        <v/>
      </c>
    </row>
    <row r="55" ht="15" customHeight="1" s="25">
      <c r="A55" s="45" t="inlineStr">
        <is>
          <t>pgr</t>
        </is>
      </c>
      <c r="B55" s="45" t="inlineStr">
        <is>
          <t>Procuradoria-Geral (PGR)</t>
        </is>
      </c>
      <c r="C55" s="45" t="inlineStr">
        <is>
          <t>Instituição ou caso</t>
        </is>
      </c>
      <c r="D55" s="45" t="inlineStr">
        <is>
          <t>Poder e Justiça</t>
        </is>
      </c>
      <c r="E55" s="45" t="inlineStr">
        <is>
          <t>Decide se denuncia Vorcaro; chefe indicado pelo presidente</t>
        </is>
      </c>
      <c r="F55" s="45">
        <f>COUNTIF(Edges!$A$2:$A$120,A55)+COUNTIF(Edges!$B$2:$B$120,A55)</f>
        <v/>
      </c>
    </row>
    <row r="56" ht="23.25" customHeight="1" s="25">
      <c r="A56" s="45" t="inlineStr">
        <is>
          <t>ciro</t>
        </is>
      </c>
      <c r="B56" s="45" t="inlineStr">
        <is>
          <t>Ciro Nogueira</t>
        </is>
      </c>
      <c r="C56" s="45" t="inlineStr">
        <is>
          <t>Pessoa</t>
        </is>
      </c>
      <c r="D56" s="45" t="inlineStr">
        <is>
          <t>Poder e Justiça</t>
        </is>
      </c>
      <c r="E56" s="45" t="inlineStr">
        <is>
          <t>Teria influenciado a escolha de Nunes Marques com Flávio (Folha, set/2020). A transcrição grafa “Círio Nogueira”; identificação inferida</t>
        </is>
      </c>
      <c r="F56" s="45">
        <f>COUNTIF(Edges!$A$2:$A$120,A56)+COUNTIF(Edges!$B$2:$B$120,A56)</f>
        <v/>
      </c>
    </row>
    <row r="57" ht="23.25" customHeight="1" s="25">
      <c r="A57" s="45" t="inlineStr">
        <is>
          <t>stf</t>
        </is>
      </c>
      <c r="B57" s="45" t="inlineStr">
        <is>
          <t>STF</t>
        </is>
      </c>
      <c r="C57" s="45" t="inlineStr">
        <is>
          <t>Instituição ou caso</t>
        </is>
      </c>
      <c r="D57" s="45" t="inlineStr">
        <is>
          <t>Poder e Justiça</t>
        </is>
      </c>
      <c r="E57" s="45" t="inlineStr">
        <is>
          <t>Nunes é ministro; anulou provas da rachadinha; abriu 3 inquéritos de Lulinha; investiga Flávio no caso do filme</t>
        </is>
      </c>
      <c r="F57" s="45">
        <f>COUNTIF(Edges!$A$2:$A$120,A57)+COUNTIF(Edges!$B$2:$B$120,A57)</f>
        <v/>
      </c>
    </row>
    <row r="58" ht="15" customHeight="1" s="25">
      <c r="A58" s="45" t="inlineStr">
        <is>
          <t>tse</t>
        </is>
      </c>
      <c r="B58" s="45" t="inlineStr">
        <is>
          <t>TSE</t>
        </is>
      </c>
      <c r="C58" s="45" t="inlineStr">
        <is>
          <t>Instituição ou caso</t>
        </is>
      </c>
      <c r="D58" s="45" t="inlineStr">
        <is>
          <t>Poder e Justiça</t>
        </is>
      </c>
      <c r="E58" s="45" t="inlineStr">
        <is>
          <t>Presidido por Nunes; suspendeu propaganda sobre o dinheiro do Master</t>
        </is>
      </c>
      <c r="F58" s="45">
        <f>COUNTIF(Edges!$A$2:$A$120,A58)+COUNTIF(Edges!$B$2:$B$120,A58)</f>
        <v/>
      </c>
    </row>
  </sheetData>
  <autoFilter ref="A1:F5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12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24" min="1" max="2"/>
    <col width="60" customWidth="1" style="24" min="3" max="3"/>
    <col width="22" customWidth="1" style="24" min="4" max="4"/>
    <col width="30" customWidth="1" style="24" min="5" max="6"/>
  </cols>
  <sheetData>
    <row r="1" ht="15" customHeight="1" s="25">
      <c r="A1" s="44" t="inlineStr">
        <is>
          <t>Source</t>
        </is>
      </c>
      <c r="B1" s="44" t="inlineStr">
        <is>
          <t>Target</t>
        </is>
      </c>
      <c r="C1" s="44" t="inlineStr">
        <is>
          <t>Label</t>
        </is>
      </c>
      <c r="D1" s="44" t="inlineStr">
        <is>
          <t>Status</t>
        </is>
      </c>
      <c r="E1" s="44" t="inlineStr">
        <is>
          <t>Source name</t>
        </is>
      </c>
      <c r="F1" s="44" t="inlineStr">
        <is>
          <t>Target name</t>
        </is>
      </c>
    </row>
    <row r="2" ht="15" customHeight="1" s="25">
      <c r="A2" s="45" t="inlineStr">
        <is>
          <t>assoc</t>
        </is>
      </c>
      <c r="B2" s="45" t="inlineStr">
        <is>
          <t>careca</t>
        </is>
      </c>
      <c r="C2" s="45" t="inlineStr">
        <is>
          <t>Dinheiro dos descontos passa pelo esquema que a PF atribui a ele</t>
        </is>
      </c>
      <c r="D2" s="45" t="inlineStr">
        <is>
          <t>Documentado</t>
        </is>
      </c>
      <c r="E2" s="45">
        <f>INDEX(Nodes!$B$2:$B$58,MATCH(A2,Nodes!$A$2:$A$58,0))</f>
        <v/>
      </c>
      <c r="F2" s="45">
        <f>INDEX(Nodes!$B$2:$B$58,MATCH(B2,Nodes!$A$2:$A$58,0))</f>
        <v/>
      </c>
    </row>
    <row r="3" ht="15" customHeight="1" s="25">
      <c r="A3" s="45" t="inlineStr">
        <is>
          <t>careca</t>
        </is>
      </c>
      <c r="B3" s="45" t="inlineStr">
        <is>
          <t>contador</t>
        </is>
      </c>
      <c r="C3" s="45" t="inlineStr">
        <is>
          <t>Contador dele</t>
        </is>
      </c>
      <c r="D3" s="45" t="inlineStr">
        <is>
          <t>Documentado</t>
        </is>
      </c>
      <c r="E3" s="45">
        <f>INDEX(Nodes!$B$2:$B$58,MATCH(A3,Nodes!$A$2:$A$58,0))</f>
        <v/>
      </c>
      <c r="F3" s="45">
        <f>INDEX(Nodes!$B$2:$B$58,MATCH(B3,Nodes!$A$2:$A$58,0))</f>
        <v/>
      </c>
    </row>
    <row r="4" ht="15" customHeight="1" s="25">
      <c r="A4" s="45" t="inlineStr">
        <is>
          <t>contador</t>
        </is>
      </c>
      <c r="B4" s="45" t="inlineStr">
        <is>
          <t>leticia</t>
        </is>
      </c>
      <c r="C4" s="45" t="inlineStr">
        <is>
          <t>Irmãos</t>
        </is>
      </c>
      <c r="D4" s="45" t="inlineStr">
        <is>
          <t>Documentado</t>
        </is>
      </c>
      <c r="E4" s="45">
        <f>INDEX(Nodes!$B$2:$B$58,MATCH(A4,Nodes!$A$2:$A$58,0))</f>
        <v/>
      </c>
      <c r="F4" s="45">
        <f>INDEX(Nodes!$B$2:$B$58,MATCH(B4,Nodes!$A$2:$A$58,0))</f>
        <v/>
      </c>
    </row>
    <row r="5" ht="15" customHeight="1" s="25">
      <c r="A5" s="45" t="inlineStr">
        <is>
          <t>leticia</t>
        </is>
      </c>
      <c r="B5" s="45" t="inlineStr">
        <is>
          <t>escf</t>
        </is>
      </c>
      <c r="C5" s="45" t="inlineStr">
        <is>
          <t>Administra desde 2021</t>
        </is>
      </c>
      <c r="D5" s="45" t="inlineStr">
        <is>
          <t>Documentado</t>
        </is>
      </c>
      <c r="E5" s="45">
        <f>INDEX(Nodes!$B$2:$B$58,MATCH(A5,Nodes!$A$2:$A$58,0))</f>
        <v/>
      </c>
      <c r="F5" s="45">
        <f>INDEX(Nodes!$B$2:$B$58,MATCH(B5,Nodes!$A$2:$A$58,0))</f>
        <v/>
      </c>
    </row>
    <row r="6" ht="15" customHeight="1" s="25">
      <c r="A6" s="45" t="inlineStr">
        <is>
          <t>contador</t>
        </is>
      </c>
      <c r="B6" s="45" t="inlineStr">
        <is>
          <t>escf</t>
        </is>
      </c>
      <c r="C6" s="45" t="inlineStr">
        <is>
          <t>Faz a contabilidade</t>
        </is>
      </c>
      <c r="D6" s="45" t="inlineStr">
        <is>
          <t>Documentado</t>
        </is>
      </c>
      <c r="E6" s="45">
        <f>INDEX(Nodes!$B$2:$B$58,MATCH(A6,Nodes!$A$2:$A$58,0))</f>
        <v/>
      </c>
      <c r="F6" s="45">
        <f>INDEX(Nodes!$B$2:$B$58,MATCH(B6,Nodes!$A$2:$A$58,0))</f>
        <v/>
      </c>
    </row>
    <row r="7" ht="15" customHeight="1" s="25">
      <c r="A7" s="45" t="inlineStr">
        <is>
          <t>willer</t>
        </is>
      </c>
      <c r="B7" s="45" t="inlineStr">
        <is>
          <t>leticia</t>
        </is>
      </c>
      <c r="C7" s="45" t="inlineStr">
        <is>
          <t>Teria indicado a irmã ao escritório de Flávio</t>
        </is>
      </c>
      <c r="D7" s="45" t="inlineStr">
        <is>
          <t>Documentado</t>
        </is>
      </c>
      <c r="E7" s="45">
        <f>INDEX(Nodes!$B$2:$B$58,MATCH(A7,Nodes!$A$2:$A$58,0))</f>
        <v/>
      </c>
      <c r="F7" s="45">
        <f>INDEX(Nodes!$B$2:$B$58,MATCH(B7,Nodes!$A$2:$A$58,0))</f>
        <v/>
      </c>
    </row>
    <row r="8" ht="15" customHeight="1" s="25">
      <c r="A8" s="45" t="inlineStr">
        <is>
          <t>willer</t>
        </is>
      </c>
      <c r="B8" s="45" t="inlineStr">
        <is>
          <t>contador</t>
        </is>
      </c>
      <c r="C8" s="45" t="inlineStr">
        <is>
          <t>É o advogado de defesa</t>
        </is>
      </c>
      <c r="D8" s="45" t="inlineStr">
        <is>
          <t>Documentado</t>
        </is>
      </c>
      <c r="E8" s="45">
        <f>INDEX(Nodes!$B$2:$B$58,MATCH(A8,Nodes!$A$2:$A$58,0))</f>
        <v/>
      </c>
      <c r="F8" s="45">
        <f>INDEX(Nodes!$B$2:$B$58,MATCH(B8,Nodes!$A$2:$A$58,0))</f>
        <v/>
      </c>
    </row>
    <row r="9" ht="15" customHeight="1" s="25">
      <c r="A9" s="45" t="inlineStr">
        <is>
          <t>willer</t>
        </is>
      </c>
      <c r="B9" s="45" t="inlineStr">
        <is>
          <t>careca</t>
        </is>
      </c>
      <c r="C9" s="45" t="inlineStr">
        <is>
          <t>Investigado no mesmo esquema do INSS</t>
        </is>
      </c>
      <c r="D9" s="45" t="inlineStr">
        <is>
          <t>Documentado</t>
        </is>
      </c>
      <c r="E9" s="45">
        <f>INDEX(Nodes!$B$2:$B$58,MATCH(A9,Nodes!$A$2:$A$58,0))</f>
        <v/>
      </c>
      <c r="F9" s="45">
        <f>INDEX(Nodes!$B$2:$B$58,MATCH(B9,Nodes!$A$2:$A$58,0))</f>
        <v/>
      </c>
    </row>
    <row r="10" ht="15" customHeight="1" s="25">
      <c r="A10" s="45" t="inlineStr">
        <is>
          <t>pf</t>
        </is>
      </c>
      <c r="B10" s="45" t="inlineStr">
        <is>
          <t>careca</t>
        </is>
      </c>
      <c r="C10" s="45" t="inlineStr">
        <is>
          <t>Investiga</t>
        </is>
      </c>
      <c r="D10" s="45" t="inlineStr">
        <is>
          <t>Documentado</t>
        </is>
      </c>
      <c r="E10" s="45">
        <f>INDEX(Nodes!$B$2:$B$58,MATCH(A10,Nodes!$A$2:$A$58,0))</f>
        <v/>
      </c>
      <c r="F10" s="45">
        <f>INDEX(Nodes!$B$2:$B$58,MATCH(B10,Nodes!$A$2:$A$58,0))</f>
        <v/>
      </c>
    </row>
    <row r="11" ht="15" customHeight="1" s="25">
      <c r="A11" s="45" t="inlineStr">
        <is>
          <t>lulinha</t>
        </is>
      </c>
      <c r="B11" s="45" t="inlineStr">
        <is>
          <t>careca</t>
        </is>
      </c>
      <c r="C11" s="45" t="inlineStr">
        <is>
          <t>Inquéritos por tráfico de influência a favor do Careca</t>
        </is>
      </c>
      <c r="D11" s="45" t="inlineStr">
        <is>
          <t>Alegado ou contestado</t>
        </is>
      </c>
      <c r="E11" s="45">
        <f>INDEX(Nodes!$B$2:$B$58,MATCH(A11,Nodes!$A$2:$A$58,0))</f>
        <v/>
      </c>
      <c r="F11" s="45">
        <f>INDEX(Nodes!$B$2:$B$58,MATCH(B11,Nodes!$A$2:$A$58,0))</f>
        <v/>
      </c>
    </row>
    <row r="12" ht="15" customHeight="1" s="25">
      <c r="A12" s="45" t="inlineStr">
        <is>
          <t>lulinha</t>
        </is>
      </c>
      <c r="B12" s="45" t="inlineStr">
        <is>
          <t>roberta</t>
        </is>
      </c>
      <c r="C12" s="45" t="inlineStr">
        <is>
          <t>Amiga; PF diz que ela podia agir em nome dele</t>
        </is>
      </c>
      <c r="D12" s="45" t="inlineStr">
        <is>
          <t>Alegado ou contestado</t>
        </is>
      </c>
      <c r="E12" s="45">
        <f>INDEX(Nodes!$B$2:$B$58,MATCH(A12,Nodes!$A$2:$A$58,0))</f>
        <v/>
      </c>
      <c r="F12" s="45">
        <f>INDEX(Nodes!$B$2:$B$58,MATCH(B12,Nodes!$A$2:$A$58,0))</f>
        <v/>
      </c>
    </row>
    <row r="13" ht="15" customHeight="1" s="25">
      <c r="A13" s="45" t="inlineStr">
        <is>
          <t>roberta</t>
        </is>
      </c>
      <c r="B13" s="45" t="inlineStr">
        <is>
          <t>careca</t>
        </is>
      </c>
      <c r="C13" s="45" t="inlineStr">
        <is>
          <t>Recebeu ~R$ 1 mi de empresa de fachada</t>
        </is>
      </c>
      <c r="D13" s="45" t="inlineStr">
        <is>
          <t>Documentado</t>
        </is>
      </c>
      <c r="E13" s="45">
        <f>INDEX(Nodes!$B$2:$B$58,MATCH(A13,Nodes!$A$2:$A$58,0))</f>
        <v/>
      </c>
      <c r="F13" s="45">
        <f>INDEX(Nodes!$B$2:$B$58,MATCH(B13,Nodes!$A$2:$A$58,0))</f>
        <v/>
      </c>
    </row>
    <row r="14" ht="15" customHeight="1" s="25">
      <c r="A14" s="45" t="inlineStr">
        <is>
          <t>careca</t>
        </is>
      </c>
      <c r="B14" s="45" t="inlineStr">
        <is>
          <t>sala</t>
        </is>
      </c>
      <c r="C14" s="45" t="inlineStr">
        <is>
          <t>16 empresas dele no endereço</t>
        </is>
      </c>
      <c r="D14" s="45" t="inlineStr">
        <is>
          <t>Documentado</t>
        </is>
      </c>
      <c r="E14" s="45">
        <f>INDEX(Nodes!$B$2:$B$58,MATCH(A14,Nodes!$A$2:$A$58,0))</f>
        <v/>
      </c>
      <c r="F14" s="45">
        <f>INDEX(Nodes!$B$2:$B$58,MATCH(B14,Nodes!$A$2:$A$58,0))</f>
        <v/>
      </c>
    </row>
    <row r="15" ht="15" customHeight="1" s="25">
      <c r="A15" s="45" t="inlineStr">
        <is>
          <t>bravo</t>
        </is>
      </c>
      <c r="B15" s="45" t="inlineStr">
        <is>
          <t>sala</t>
        </is>
      </c>
      <c r="C15" s="45" t="inlineStr">
        <is>
          <t>Registrada no mesmo endereço</t>
        </is>
      </c>
      <c r="D15" s="45" t="inlineStr">
        <is>
          <t>Documentado</t>
        </is>
      </c>
      <c r="E15" s="45">
        <f>INDEX(Nodes!$B$2:$B$58,MATCH(A15,Nodes!$A$2:$A$58,0))</f>
        <v/>
      </c>
      <c r="F15" s="45">
        <f>INDEX(Nodes!$B$2:$B$58,MATCH(B15,Nodes!$A$2:$A$58,0))</f>
        <v/>
      </c>
    </row>
    <row r="16" ht="15" customHeight="1" s="25">
      <c r="A16" s="45" t="inlineStr">
        <is>
          <t>bravo</t>
        </is>
      </c>
      <c r="B16" s="45" t="inlineStr">
        <is>
          <t>flavio</t>
        </is>
      </c>
      <c r="C16" s="45" t="inlineStr">
        <is>
          <t>Fábrica dele e do irmão</t>
        </is>
      </c>
      <c r="D16" s="45" t="inlineStr">
        <is>
          <t>Documentado</t>
        </is>
      </c>
      <c r="E16" s="45">
        <f>INDEX(Nodes!$B$2:$B$58,MATCH(A16,Nodes!$A$2:$A$58,0))</f>
        <v/>
      </c>
      <c r="F16" s="45">
        <f>INDEX(Nodes!$B$2:$B$58,MATCH(B16,Nodes!$A$2:$A$58,0))</f>
        <v/>
      </c>
    </row>
    <row r="17" ht="15" customHeight="1" s="25">
      <c r="A17" s="45" t="inlineStr">
        <is>
          <t>bravo</t>
        </is>
      </c>
      <c r="B17" s="45" t="inlineStr">
        <is>
          <t>carlos</t>
        </is>
      </c>
      <c r="C17" s="45" t="inlineStr">
        <is>
          <t>Sócios</t>
        </is>
      </c>
      <c r="D17" s="45" t="inlineStr">
        <is>
          <t>Documentado</t>
        </is>
      </c>
      <c r="E17" s="45">
        <f>INDEX(Nodes!$B$2:$B$58,MATCH(A17,Nodes!$A$2:$A$58,0))</f>
        <v/>
      </c>
      <c r="F17" s="45">
        <f>INDEX(Nodes!$B$2:$B$58,MATCH(B17,Nodes!$A$2:$A$58,0))</f>
        <v/>
      </c>
    </row>
    <row r="18" ht="15" customHeight="1" s="25">
      <c r="A18" s="45" t="inlineStr">
        <is>
          <t>flavio</t>
        </is>
      </c>
      <c r="B18" s="45" t="inlineStr">
        <is>
          <t>carlos</t>
        </is>
      </c>
      <c r="C18" s="45" t="inlineStr">
        <is>
          <t>Irmãos</t>
        </is>
      </c>
      <c r="D18" s="45" t="inlineStr">
        <is>
          <t>Documentado</t>
        </is>
      </c>
      <c r="E18" s="45">
        <f>INDEX(Nodes!$B$2:$B$58,MATCH(A18,Nodes!$A$2:$A$58,0))</f>
        <v/>
      </c>
      <c r="F18" s="45">
        <f>INDEX(Nodes!$B$2:$B$58,MATCH(B18,Nodes!$A$2:$A$58,0))</f>
        <v/>
      </c>
    </row>
    <row r="19" ht="15" customHeight="1" s="25">
      <c r="A19" s="45" t="inlineStr">
        <is>
          <t>willer</t>
        </is>
      </c>
      <c r="B19" s="45" t="inlineStr">
        <is>
          <t>escw</t>
        </is>
      </c>
      <c r="C19" s="45" t="inlineStr">
        <is>
          <t>PF fez buscas e achou dinheiro em livros-cofre</t>
        </is>
      </c>
      <c r="D19" s="45" t="inlineStr">
        <is>
          <t>Documentado</t>
        </is>
      </c>
      <c r="E19" s="45">
        <f>INDEX(Nodes!$B$2:$B$58,MATCH(A19,Nodes!$A$2:$A$58,0))</f>
        <v/>
      </c>
      <c r="F19" s="45">
        <f>INDEX(Nodes!$B$2:$B$58,MATCH(B19,Nodes!$A$2:$A$58,0))</f>
        <v/>
      </c>
    </row>
    <row r="20" ht="15" customHeight="1" s="25">
      <c r="A20" s="45" t="inlineStr">
        <is>
          <t>willer</t>
        </is>
      </c>
      <c r="B20" s="45" t="inlineStr">
        <is>
          <t>bets</t>
        </is>
      </c>
      <c r="C20" s="45" t="inlineStr">
        <is>
          <t>Movimentou ~R$ 5 bi em apostas</t>
        </is>
      </c>
      <c r="D20" s="45" t="inlineStr">
        <is>
          <t>Documentado</t>
        </is>
      </c>
      <c r="E20" s="45">
        <f>INDEX(Nodes!$B$2:$B$58,MATCH(A20,Nodes!$A$2:$A$58,0))</f>
        <v/>
      </c>
      <c r="F20" s="45">
        <f>INDEX(Nodes!$B$2:$B$58,MATCH(B20,Nodes!$A$2:$A$58,0))</f>
        <v/>
      </c>
    </row>
    <row r="21" ht="15" customHeight="1" s="25">
      <c r="A21" s="45" t="inlineStr">
        <is>
          <t>willer</t>
        </is>
      </c>
      <c r="B21" s="45" t="inlineStr">
        <is>
          <t>lidia</t>
        </is>
      </c>
      <c r="C21" s="45" t="inlineStr">
        <is>
          <t>Ela comanda 14 empresas ligadas a ele</t>
        </is>
      </c>
      <c r="D21" s="45" t="inlineStr">
        <is>
          <t>Documentado</t>
        </is>
      </c>
      <c r="E21" s="45">
        <f>INDEX(Nodes!$B$2:$B$58,MATCH(A21,Nodes!$A$2:$A$58,0))</f>
        <v/>
      </c>
      <c r="F21" s="45">
        <f>INDEX(Nodes!$B$2:$B$58,MATCH(B21,Nodes!$A$2:$A$58,0))</f>
        <v/>
      </c>
    </row>
    <row r="22" ht="15" customHeight="1" s="25">
      <c r="A22" s="45" t="inlineStr">
        <is>
          <t>lidia</t>
        </is>
      </c>
      <c r="B22" s="45" t="inlineStr">
        <is>
          <t>wt</t>
        </is>
      </c>
      <c r="C22" s="45" t="inlineStr">
        <is>
          <t>Aparece à frente da WT</t>
        </is>
      </c>
      <c r="D22" s="45" t="inlineStr">
        <is>
          <t>Documentado</t>
        </is>
      </c>
      <c r="E22" s="45">
        <f>INDEX(Nodes!$B$2:$B$58,MATCH(A22,Nodes!$A$2:$A$58,0))</f>
        <v/>
      </c>
      <c r="F22" s="45">
        <f>INDEX(Nodes!$B$2:$B$58,MATCH(B22,Nodes!$A$2:$A$58,0))</f>
        <v/>
      </c>
    </row>
    <row r="23" ht="15" customHeight="1" s="25">
      <c r="A23" s="45" t="inlineStr">
        <is>
          <t>willer</t>
        </is>
      </c>
      <c r="B23" s="45" t="inlineStr">
        <is>
          <t>alcazar</t>
        </is>
      </c>
      <c r="C23" s="45" t="inlineStr">
        <is>
          <t>Empresa ligada a ele</t>
        </is>
      </c>
      <c r="D23" s="45" t="inlineStr">
        <is>
          <t>Documentado</t>
        </is>
      </c>
      <c r="E23" s="45">
        <f>INDEX(Nodes!$B$2:$B$58,MATCH(A23,Nodes!$A$2:$A$58,0))</f>
        <v/>
      </c>
      <c r="F23" s="45">
        <f>INDEX(Nodes!$B$2:$B$58,MATCH(B23,Nodes!$A$2:$A$58,0))</f>
        <v/>
      </c>
    </row>
    <row r="24" ht="15" customHeight="1" s="25">
      <c r="A24" s="45" t="inlineStr">
        <is>
          <t>alcazar</t>
        </is>
      </c>
      <c r="B24" s="45" t="inlineStr">
        <is>
          <t>santander</t>
        </is>
      </c>
      <c r="C24" s="45" t="inlineStr">
        <is>
          <t>Conta bancária</t>
        </is>
      </c>
      <c r="D24" s="45" t="inlineStr">
        <is>
          <t>Documentado</t>
        </is>
      </c>
      <c r="E24" s="45">
        <f>INDEX(Nodes!$B$2:$B$58,MATCH(A24,Nodes!$A$2:$A$58,0))</f>
        <v/>
      </c>
      <c r="F24" s="45">
        <f>INDEX(Nodes!$B$2:$B$58,MATCH(B24,Nodes!$A$2:$A$58,0))</f>
        <v/>
      </c>
    </row>
    <row r="25" ht="15" customHeight="1" s="25">
      <c r="A25" s="45" t="inlineStr">
        <is>
          <t>santander</t>
        </is>
      </c>
      <c r="B25" s="45" t="inlineStr">
        <is>
          <t>flavio</t>
        </is>
      </c>
      <c r="C25" s="45" t="inlineStr">
        <is>
          <t>Flávio era “usuário master”; excluído após a 1ª operação</t>
        </is>
      </c>
      <c r="D25" s="45" t="inlineStr">
        <is>
          <t>Alegado ou contestado</t>
        </is>
      </c>
      <c r="E25" s="45">
        <f>INDEX(Nodes!$B$2:$B$58,MATCH(A25,Nodes!$A$2:$A$58,0))</f>
        <v/>
      </c>
      <c r="F25" s="45">
        <f>INDEX(Nodes!$B$2:$B$58,MATCH(B25,Nodes!$A$2:$A$58,0))</f>
        <v/>
      </c>
    </row>
    <row r="26" ht="15" customHeight="1" s="25">
      <c r="A26" s="45" t="inlineStr">
        <is>
          <t>alcazar</t>
        </is>
      </c>
      <c r="B26" s="45" t="inlineStr">
        <is>
          <t>flavio</t>
        </is>
      </c>
      <c r="C26" s="45" t="inlineStr">
        <is>
          <t>PF levanta hipótese de sócio de fato; ele nega</t>
        </is>
      </c>
      <c r="D26" s="45" t="inlineStr">
        <is>
          <t>Alegado ou contestado</t>
        </is>
      </c>
      <c r="E26" s="45">
        <f>INDEX(Nodes!$B$2:$B$58,MATCH(A26,Nodes!$A$2:$A$58,0))</f>
        <v/>
      </c>
      <c r="F26" s="45">
        <f>INDEX(Nodes!$B$2:$B$58,MATCH(B26,Nodes!$A$2:$A$58,0))</f>
        <v/>
      </c>
    </row>
    <row r="27" ht="15" customHeight="1" s="25">
      <c r="A27" s="45" t="inlineStr">
        <is>
          <t>willer</t>
        </is>
      </c>
      <c r="B27" s="45" t="inlineStr">
        <is>
          <t>flavio</t>
        </is>
      </c>
      <c r="C27" s="45" t="inlineStr">
        <is>
          <t>Amigo; viagens juntos; PF vê algo além da amizade</t>
        </is>
      </c>
      <c r="D27" s="45" t="inlineStr">
        <is>
          <t>Alegado ou contestado</t>
        </is>
      </c>
      <c r="E27" s="45">
        <f>INDEX(Nodes!$B$2:$B$58,MATCH(A27,Nodes!$A$2:$A$58,0))</f>
        <v/>
      </c>
      <c r="F27" s="45">
        <f>INDEX(Nodes!$B$2:$B$58,MATCH(B27,Nodes!$A$2:$A$58,0))</f>
        <v/>
      </c>
    </row>
    <row r="28" ht="15" customHeight="1" s="25">
      <c r="A28" s="45" t="inlineStr">
        <is>
          <t>cpi</t>
        </is>
      </c>
      <c r="B28" s="45" t="inlineStr">
        <is>
          <t>willer</t>
        </is>
      </c>
      <c r="C28" s="45" t="inlineStr">
        <is>
          <t>Citado na Covaxin; quebra de sigilo cancelada</t>
        </is>
      </c>
      <c r="D28" s="45" t="inlineStr">
        <is>
          <t>Documentado</t>
        </is>
      </c>
      <c r="E28" s="45">
        <f>INDEX(Nodes!$B$2:$B$58,MATCH(A28,Nodes!$A$2:$A$58,0))</f>
        <v/>
      </c>
      <c r="F28" s="45">
        <f>INDEX(Nodes!$B$2:$B$58,MATCH(B28,Nodes!$A$2:$A$58,0))</f>
        <v/>
      </c>
    </row>
    <row r="29" ht="15" customHeight="1" s="25">
      <c r="A29" s="45" t="inlineStr">
        <is>
          <t>renan</t>
        </is>
      </c>
      <c r="B29" s="45" t="inlineStr">
        <is>
          <t>cpi</t>
        </is>
      </c>
      <c r="C29" s="45" t="inlineStr">
        <is>
          <t>Relator</t>
        </is>
      </c>
      <c r="D29" s="45" t="inlineStr">
        <is>
          <t>Documentado</t>
        </is>
      </c>
      <c r="E29" s="45">
        <f>INDEX(Nodes!$B$2:$B$58,MATCH(A29,Nodes!$A$2:$A$58,0))</f>
        <v/>
      </c>
      <c r="F29" s="45">
        <f>INDEX(Nodes!$B$2:$B$58,MATCH(B29,Nodes!$A$2:$A$58,0))</f>
        <v/>
      </c>
    </row>
    <row r="30" ht="15" customHeight="1" s="25">
      <c r="A30" s="45" t="inlineStr">
        <is>
          <t>cpi</t>
        </is>
      </c>
      <c r="B30" s="45" t="inlineStr">
        <is>
          <t>flavio</t>
        </is>
      </c>
      <c r="C30" s="45" t="inlineStr">
        <is>
          <t>Reagiu contra a quebra do sigilo</t>
        </is>
      </c>
      <c r="D30" s="45" t="inlineStr">
        <is>
          <t>Documentado</t>
        </is>
      </c>
      <c r="E30" s="45">
        <f>INDEX(Nodes!$B$2:$B$58,MATCH(A30,Nodes!$A$2:$A$58,0))</f>
        <v/>
      </c>
      <c r="F30" s="45">
        <f>INDEX(Nodes!$B$2:$B$58,MATCH(B30,Nodes!$A$2:$A$58,0))</f>
        <v/>
      </c>
    </row>
    <row r="31" ht="15" customHeight="1" s="25">
      <c r="A31" s="45" t="inlineStr">
        <is>
          <t>willer</t>
        </is>
      </c>
      <c r="B31" s="45" t="inlineStr">
        <is>
          <t>wassef</t>
        </is>
      </c>
      <c r="C31" s="45" t="inlineStr">
        <is>
          <t>Trio “WWF” com Flávio</t>
        </is>
      </c>
      <c r="D31" s="45" t="inlineStr">
        <is>
          <t>Documentado</t>
        </is>
      </c>
      <c r="E31" s="45">
        <f>INDEX(Nodes!$B$2:$B$58,MATCH(A31,Nodes!$A$2:$A$58,0))</f>
        <v/>
      </c>
      <c r="F31" s="45">
        <f>INDEX(Nodes!$B$2:$B$58,MATCH(B31,Nodes!$A$2:$A$58,0))</f>
        <v/>
      </c>
    </row>
    <row r="32" ht="15" customHeight="1" s="25">
      <c r="A32" s="45" t="inlineStr">
        <is>
          <t>wassef</t>
        </is>
      </c>
      <c r="B32" s="45" t="inlineStr">
        <is>
          <t>flavio</t>
        </is>
      </c>
      <c r="C32" s="45" t="inlineStr">
        <is>
          <t>Advogado da família; trio “WWF”</t>
        </is>
      </c>
      <c r="D32" s="45" t="inlineStr">
        <is>
          <t>Documentado</t>
        </is>
      </c>
      <c r="E32" s="45">
        <f>INDEX(Nodes!$B$2:$B$58,MATCH(A32,Nodes!$A$2:$A$58,0))</f>
        <v/>
      </c>
      <c r="F32" s="45">
        <f>INDEX(Nodes!$B$2:$B$58,MATCH(B32,Nodes!$A$2:$A$58,0))</f>
        <v/>
      </c>
    </row>
    <row r="33" ht="15" customHeight="1" s="25">
      <c r="A33" s="45" t="inlineStr">
        <is>
          <t>willer</t>
        </is>
      </c>
      <c r="B33" s="45" t="inlineStr">
        <is>
          <t>nunes</t>
        </is>
      </c>
      <c r="C33" s="45" t="inlineStr">
        <is>
          <t>Teria respaldado a indicação ao STF (2020)</t>
        </is>
      </c>
      <c r="D33" s="45" t="inlineStr">
        <is>
          <t>Alegado ou contestado</t>
        </is>
      </c>
      <c r="E33" s="45">
        <f>INDEX(Nodes!$B$2:$B$58,MATCH(A33,Nodes!$A$2:$A$58,0))</f>
        <v/>
      </c>
      <c r="F33" s="45">
        <f>INDEX(Nodes!$B$2:$B$58,MATCH(B33,Nodes!$A$2:$A$58,0))</f>
        <v/>
      </c>
    </row>
    <row r="34" ht="15" customHeight="1" s="25">
      <c r="A34" s="45" t="inlineStr">
        <is>
          <t>wassef</t>
        </is>
      </c>
      <c r="B34" s="45" t="inlineStr">
        <is>
          <t>nunes</t>
        </is>
      </c>
      <c r="C34" s="45" t="inlineStr">
        <is>
          <t>Teria respaldado a indicação ao STF (2020)</t>
        </is>
      </c>
      <c r="D34" s="45" t="inlineStr">
        <is>
          <t>Alegado ou contestado</t>
        </is>
      </c>
      <c r="E34" s="45">
        <f>INDEX(Nodes!$B$2:$B$58,MATCH(A34,Nodes!$A$2:$A$58,0))</f>
        <v/>
      </c>
      <c r="F34" s="45">
        <f>INDEX(Nodes!$B$2:$B$58,MATCH(B34,Nodes!$A$2:$A$58,0))</f>
        <v/>
      </c>
    </row>
    <row r="35" ht="23.25" customHeight="1" s="25">
      <c r="A35" s="45" t="inlineStr">
        <is>
          <t>flavio</t>
        </is>
      </c>
      <c r="B35" s="45" t="inlineStr">
        <is>
          <t>nunes</t>
        </is>
      </c>
      <c r="C35" s="45" t="inlineStr">
        <is>
          <t>Teria sugerido o nome ao presidente (Folha, 2020); Nunes nega participação do trio</t>
        </is>
      </c>
      <c r="D35" s="45" t="inlineStr">
        <is>
          <t>Alegado ou contestado</t>
        </is>
      </c>
      <c r="E35" s="45">
        <f>INDEX(Nodes!$B$2:$B$58,MATCH(A35,Nodes!$A$2:$A$58,0))</f>
        <v/>
      </c>
      <c r="F35" s="45">
        <f>INDEX(Nodes!$B$2:$B$58,MATCH(B35,Nodes!$A$2:$A$58,0))</f>
        <v/>
      </c>
    </row>
    <row r="36" ht="15" customHeight="1" s="25">
      <c r="A36" s="45" t="inlineStr">
        <is>
          <t>jair</t>
        </is>
      </c>
      <c r="B36" s="45" t="inlineStr">
        <is>
          <t>nunes</t>
        </is>
      </c>
      <c r="C36" s="45" t="inlineStr">
        <is>
          <t>Indicou ao STF em 2020</t>
        </is>
      </c>
      <c r="D36" s="45" t="inlineStr">
        <is>
          <t>Documentado</t>
        </is>
      </c>
      <c r="E36" s="45">
        <f>INDEX(Nodes!$B$2:$B$58,MATCH(A36,Nodes!$A$2:$A$58,0))</f>
        <v/>
      </c>
      <c r="F36" s="45">
        <f>INDEX(Nodes!$B$2:$B$58,MATCH(B36,Nodes!$A$2:$A$58,0))</f>
        <v/>
      </c>
    </row>
    <row r="37" ht="15" customHeight="1" s="25">
      <c r="A37" s="45" t="inlineStr">
        <is>
          <t>willer</t>
        </is>
      </c>
      <c r="B37" s="45" t="inlineStr">
        <is>
          <t>angra</t>
        </is>
      </c>
      <c r="C37" s="45" t="inlineStr">
        <is>
          <t>Mansão ficou com a empresa dele (WT)</t>
        </is>
      </c>
      <c r="D37" s="45" t="inlineStr">
        <is>
          <t>Documentado</t>
        </is>
      </c>
      <c r="E37" s="45">
        <f>INDEX(Nodes!$B$2:$B$58,MATCH(A37,Nodes!$A$2:$A$58,0))</f>
        <v/>
      </c>
      <c r="F37" s="45">
        <f>INDEX(Nodes!$B$2:$B$58,MATCH(B37,Nodes!$A$2:$A$58,0))</f>
        <v/>
      </c>
    </row>
    <row r="38" ht="15" customHeight="1" s="25">
      <c r="A38" s="45" t="inlineStr">
        <is>
          <t>alcazar</t>
        </is>
      </c>
      <c r="B38" s="45" t="inlineStr">
        <is>
          <t>jato</t>
        </is>
      </c>
      <c r="C38" s="45" t="inlineStr">
        <is>
          <t>Cotista</t>
        </is>
      </c>
      <c r="D38" s="45" t="inlineStr">
        <is>
          <t>Documentado</t>
        </is>
      </c>
      <c r="E38" s="45">
        <f>INDEX(Nodes!$B$2:$B$58,MATCH(A38,Nodes!$A$2:$A$58,0))</f>
        <v/>
      </c>
      <c r="F38" s="45">
        <f>INDEX(Nodes!$B$2:$B$58,MATCH(B38,Nodes!$A$2:$A$58,0))</f>
        <v/>
      </c>
    </row>
    <row r="39" ht="15" customHeight="1" s="25">
      <c r="A39" s="45" t="inlineStr">
        <is>
          <t>primeu</t>
        </is>
      </c>
      <c r="B39" s="45" t="inlineStr">
        <is>
          <t>jato</t>
        </is>
      </c>
      <c r="C39" s="45" t="inlineStr">
        <is>
          <t>Cotista</t>
        </is>
      </c>
      <c r="D39" s="45" t="inlineStr">
        <is>
          <t>Documentado</t>
        </is>
      </c>
      <c r="E39" s="45">
        <f>INDEX(Nodes!$B$2:$B$58,MATCH(A39,Nodes!$A$2:$A$58,0))</f>
        <v/>
      </c>
      <c r="F39" s="45">
        <f>INDEX(Nodes!$B$2:$B$58,MATCH(B39,Nodes!$A$2:$A$58,0))</f>
        <v/>
      </c>
    </row>
    <row r="40" ht="15" customHeight="1" s="25">
      <c r="A40" s="45" t="inlineStr">
        <is>
          <t>flavio</t>
        </is>
      </c>
      <c r="B40" s="45" t="inlineStr">
        <is>
          <t>jato</t>
        </is>
      </c>
      <c r="C40" s="45" t="inlineStr">
        <is>
          <t>Voou em jan/2025</t>
        </is>
      </c>
      <c r="D40" s="45" t="inlineStr">
        <is>
          <t>Documentado</t>
        </is>
      </c>
      <c r="E40" s="45">
        <f>INDEX(Nodes!$B$2:$B$58,MATCH(A40,Nodes!$A$2:$A$58,0))</f>
        <v/>
      </c>
      <c r="F40" s="45">
        <f>INDEX(Nodes!$B$2:$B$58,MATCH(B40,Nodes!$A$2:$A$58,0))</f>
        <v/>
      </c>
    </row>
    <row r="41" ht="15" customHeight="1" s="25">
      <c r="A41" s="45" t="inlineStr">
        <is>
          <t>vorcaro</t>
        </is>
      </c>
      <c r="B41" s="45" t="inlineStr">
        <is>
          <t>jato</t>
        </is>
      </c>
      <c r="C41" s="45" t="inlineStr">
        <is>
          <t>Sócio da Prime U, cotista do jato (ligação indireta)</t>
        </is>
      </c>
      <c r="D41" s="45" t="inlineStr">
        <is>
          <t>Documentado</t>
        </is>
      </c>
      <c r="E41" s="45">
        <f>INDEX(Nodes!$B$2:$B$58,MATCH(A41,Nodes!$A$2:$A$58,0))</f>
        <v/>
      </c>
      <c r="F41" s="45">
        <f>INDEX(Nodes!$B$2:$B$58,MATCH(B41,Nodes!$A$2:$A$58,0))</f>
        <v/>
      </c>
    </row>
    <row r="42" ht="15" customHeight="1" s="25">
      <c r="A42" s="45" t="inlineStr">
        <is>
          <t>willer</t>
        </is>
      </c>
      <c r="B42" s="45" t="inlineStr">
        <is>
          <t>jato</t>
        </is>
      </c>
      <c r="C42" s="45" t="inlineStr">
        <is>
          <t>Voou junto</t>
        </is>
      </c>
      <c r="D42" s="45" t="inlineStr">
        <is>
          <t>Documentado</t>
        </is>
      </c>
      <c r="E42" s="45">
        <f>INDEX(Nodes!$B$2:$B$58,MATCH(A42,Nodes!$A$2:$A$58,0))</f>
        <v/>
      </c>
      <c r="F42" s="45">
        <f>INDEX(Nodes!$B$2:$B$58,MATCH(B42,Nodes!$A$2:$A$58,0))</f>
        <v/>
      </c>
    </row>
    <row r="43" ht="15" customHeight="1" s="25">
      <c r="A43" s="45" t="inlineStr">
        <is>
          <t>fam</t>
        </is>
      </c>
      <c r="B43" s="45" t="inlineStr">
        <is>
          <t>jato</t>
        </is>
      </c>
      <c r="C43" s="45" t="inlineStr">
        <is>
          <t>Voou em jan/2025</t>
        </is>
      </c>
      <c r="D43" s="45" t="inlineStr">
        <is>
          <t>Documentado</t>
        </is>
      </c>
      <c r="E43" s="45">
        <f>INDEX(Nodes!$B$2:$B$58,MATCH(A43,Nodes!$A$2:$A$58,0))</f>
        <v/>
      </c>
      <c r="F43" s="45">
        <f>INDEX(Nodes!$B$2:$B$58,MATCH(B43,Nodes!$A$2:$A$58,0))</f>
        <v/>
      </c>
    </row>
    <row r="44" ht="15" customHeight="1" s="25">
      <c r="A44" s="45" t="inlineStr">
        <is>
          <t>flavio</t>
        </is>
      </c>
      <c r="B44" s="45" t="inlineStr">
        <is>
          <t>fam</t>
        </is>
      </c>
      <c r="C44" s="45" t="inlineStr">
        <is>
          <t>Família</t>
        </is>
      </c>
      <c r="D44" s="45" t="inlineStr">
        <is>
          <t>Documentado</t>
        </is>
      </c>
      <c r="E44" s="45">
        <f>INDEX(Nodes!$B$2:$B$58,MATCH(A44,Nodes!$A$2:$A$58,0))</f>
        <v/>
      </c>
      <c r="F44" s="45">
        <f>INDEX(Nodes!$B$2:$B$58,MATCH(B44,Nodes!$A$2:$A$58,0))</f>
        <v/>
      </c>
    </row>
    <row r="45" ht="15" customHeight="1" s="25">
      <c r="A45" s="45" t="inlineStr">
        <is>
          <t>vorcaro</t>
        </is>
      </c>
      <c r="B45" s="45" t="inlineStr">
        <is>
          <t>primeu</t>
        </is>
      </c>
      <c r="C45" s="45" t="inlineStr">
        <is>
          <t>Sócio</t>
        </is>
      </c>
      <c r="D45" s="45" t="inlineStr">
        <is>
          <t>Documentado</t>
        </is>
      </c>
      <c r="E45" s="45">
        <f>INDEX(Nodes!$B$2:$B$58,MATCH(A45,Nodes!$A$2:$A$58,0))</f>
        <v/>
      </c>
      <c r="F45" s="45">
        <f>INDEX(Nodes!$B$2:$B$58,MATCH(B45,Nodes!$A$2:$A$58,0))</f>
        <v/>
      </c>
    </row>
    <row r="46" ht="15" customHeight="1" s="25">
      <c r="A46" s="45" t="inlineStr">
        <is>
          <t>primeu</t>
        </is>
      </c>
      <c r="B46" s="45" t="inlineStr">
        <is>
          <t>mulheres</t>
        </is>
      </c>
      <c r="C46" s="45" t="inlineStr">
        <is>
          <t>Passagens e hotéis delas faturados à Prime U</t>
        </is>
      </c>
      <c r="D46" s="45" t="inlineStr">
        <is>
          <t>Documentado</t>
        </is>
      </c>
      <c r="E46" s="45">
        <f>INDEX(Nodes!$B$2:$B$58,MATCH(A46,Nodes!$A$2:$A$58,0))</f>
        <v/>
      </c>
      <c r="F46" s="45">
        <f>INDEX(Nodes!$B$2:$B$58,MATCH(B46,Nodes!$A$2:$A$58,0))</f>
        <v/>
      </c>
    </row>
    <row r="47" ht="15" customHeight="1" s="25">
      <c r="A47" s="45" t="inlineStr">
        <is>
          <t>primeu</t>
        </is>
      </c>
      <c r="B47" s="45" t="inlineStr">
        <is>
          <t>angra</t>
        </is>
      </c>
      <c r="C47" s="45" t="inlineStr">
        <is>
          <t>Administrava a mansão</t>
        </is>
      </c>
      <c r="D47" s="45" t="inlineStr">
        <is>
          <t>Documentado</t>
        </is>
      </c>
      <c r="E47" s="45">
        <f>INDEX(Nodes!$B$2:$B$58,MATCH(A47,Nodes!$A$2:$A$58,0))</f>
        <v/>
      </c>
      <c r="F47" s="45">
        <f>INDEX(Nodes!$B$2:$B$58,MATCH(B47,Nodes!$A$2:$A$58,0))</f>
        <v/>
      </c>
    </row>
    <row r="48" ht="15" customHeight="1" s="25">
      <c r="A48" s="45" t="inlineStr">
        <is>
          <t>vorcaro</t>
        </is>
      </c>
      <c r="B48" s="45" t="inlineStr">
        <is>
          <t>luri</t>
        </is>
      </c>
      <c r="C48" s="45" t="inlineStr">
        <is>
          <t>Negociou comprar metade</t>
        </is>
      </c>
      <c r="D48" s="45" t="inlineStr">
        <is>
          <t>Documentado</t>
        </is>
      </c>
      <c r="E48" s="45">
        <f>INDEX(Nodes!$B$2:$B$58,MATCH(A48,Nodes!$A$2:$A$58,0))</f>
        <v/>
      </c>
      <c r="F48" s="45">
        <f>INDEX(Nodes!$B$2:$B$58,MATCH(B48,Nodes!$A$2:$A$58,0))</f>
        <v/>
      </c>
    </row>
    <row r="49" ht="15" customHeight="1" s="25">
      <c r="A49" s="45" t="inlineStr">
        <is>
          <t>vorcaro</t>
        </is>
      </c>
      <c r="B49" s="45" t="inlineStr">
        <is>
          <t>triplex</t>
        </is>
      </c>
      <c r="C49" s="45" t="inlineStr">
        <is>
          <t>Festas no triplex</t>
        </is>
      </c>
      <c r="D49" s="45" t="inlineStr">
        <is>
          <t>Documentado</t>
        </is>
      </c>
      <c r="E49" s="45">
        <f>INDEX(Nodes!$B$2:$B$58,MATCH(A49,Nodes!$A$2:$A$58,0))</f>
        <v/>
      </c>
      <c r="F49" s="45">
        <f>INDEX(Nodes!$B$2:$B$58,MATCH(B49,Nodes!$A$2:$A$58,0))</f>
        <v/>
      </c>
    </row>
    <row r="50" ht="15" customHeight="1" s="25">
      <c r="A50" s="45" t="inlineStr">
        <is>
          <t>vorcaro</t>
        </is>
      </c>
      <c r="B50" s="45" t="inlineStr">
        <is>
          <t>master</t>
        </is>
      </c>
      <c r="C50" s="45" t="inlineStr">
        <is>
          <t>Dono</t>
        </is>
      </c>
      <c r="D50" s="45" t="inlineStr">
        <is>
          <t>Documentado</t>
        </is>
      </c>
      <c r="E50" s="45">
        <f>INDEX(Nodes!$B$2:$B$58,MATCH(A50,Nodes!$A$2:$A$58,0))</f>
        <v/>
      </c>
      <c r="F50" s="45">
        <f>INDEX(Nodes!$B$2:$B$58,MATCH(B50,Nodes!$A$2:$A$58,0))</f>
        <v/>
      </c>
    </row>
    <row r="51" ht="15" customHeight="1" s="25">
      <c r="A51" s="45" t="inlineStr">
        <is>
          <t>vorcaro</t>
        </is>
      </c>
      <c r="B51" s="45" t="inlineStr">
        <is>
          <t>zetel</t>
        </is>
      </c>
      <c r="C51" s="45" t="inlineStr">
        <is>
          <t>Cunhado</t>
        </is>
      </c>
      <c r="D51" s="45" t="inlineStr">
        <is>
          <t>Documentado</t>
        </is>
      </c>
      <c r="E51" s="45">
        <f>INDEX(Nodes!$B$2:$B$58,MATCH(A51,Nodes!$A$2:$A$58,0))</f>
        <v/>
      </c>
      <c r="F51" s="45">
        <f>INDEX(Nodes!$B$2:$B$58,MATCH(B51,Nodes!$A$2:$A$58,0))</f>
        <v/>
      </c>
    </row>
    <row r="52" ht="15" customHeight="1" s="25">
      <c r="A52" s="45" t="inlineStr">
        <is>
          <t>zetel</t>
        </is>
      </c>
      <c r="B52" s="45" t="inlineStr">
        <is>
          <t>aptosp</t>
        </is>
      </c>
      <c r="C52" s="45" t="inlineStr">
        <is>
          <t>Vendeu à WT por R$ 2 mi a menos</t>
        </is>
      </c>
      <c r="D52" s="45" t="inlineStr">
        <is>
          <t>Documentado</t>
        </is>
      </c>
      <c r="E52" s="45">
        <f>INDEX(Nodes!$B$2:$B$58,MATCH(A52,Nodes!$A$2:$A$58,0))</f>
        <v/>
      </c>
      <c r="F52" s="45">
        <f>INDEX(Nodes!$B$2:$B$58,MATCH(B52,Nodes!$A$2:$A$58,0))</f>
        <v/>
      </c>
    </row>
    <row r="53" ht="15" customHeight="1" s="25">
      <c r="A53" s="45" t="inlineStr">
        <is>
          <t>wt</t>
        </is>
      </c>
      <c r="B53" s="45" t="inlineStr">
        <is>
          <t>aptosp</t>
        </is>
      </c>
      <c r="C53" s="45" t="inlineStr">
        <is>
          <t>Compradora</t>
        </is>
      </c>
      <c r="D53" s="45" t="inlineStr">
        <is>
          <t>Documentado</t>
        </is>
      </c>
      <c r="E53" s="45">
        <f>INDEX(Nodes!$B$2:$B$58,MATCH(A53,Nodes!$A$2:$A$58,0))</f>
        <v/>
      </c>
      <c r="F53" s="45">
        <f>INDEX(Nodes!$B$2:$B$58,MATCH(B53,Nodes!$A$2:$A$58,0))</f>
        <v/>
      </c>
    </row>
    <row r="54" ht="15" customHeight="1" s="25">
      <c r="A54" s="45" t="inlineStr">
        <is>
          <t>wt</t>
        </is>
      </c>
      <c r="B54" s="45" t="inlineStr">
        <is>
          <t>angra</t>
        </is>
      </c>
      <c r="C54" s="45" t="inlineStr">
        <is>
          <t>Dona</t>
        </is>
      </c>
      <c r="D54" s="45" t="inlineStr">
        <is>
          <t>Documentado</t>
        </is>
      </c>
      <c r="E54" s="45">
        <f>INDEX(Nodes!$B$2:$B$58,MATCH(A54,Nodes!$A$2:$A$58,0))</f>
        <v/>
      </c>
      <c r="F54" s="45">
        <f>INDEX(Nodes!$B$2:$B$58,MATCH(B54,Nodes!$A$2:$A$58,0))</f>
        <v/>
      </c>
    </row>
    <row r="55" ht="15" customHeight="1" s="25">
      <c r="A55" s="45" t="inlineStr">
        <is>
          <t>angra</t>
        </is>
      </c>
      <c r="B55" s="45" t="inlineStr">
        <is>
          <t>richarlison</t>
        </is>
      </c>
      <c r="C55" s="45" t="inlineStr">
        <is>
          <t>Investiu ~R$ 10 mi e perdeu a casa na Justiça</t>
        </is>
      </c>
      <c r="D55" s="45" t="inlineStr">
        <is>
          <t>Documentado</t>
        </is>
      </c>
      <c r="E55" s="45">
        <f>INDEX(Nodes!$B$2:$B$58,MATCH(A55,Nodes!$A$2:$A$58,0))</f>
        <v/>
      </c>
      <c r="F55" s="45">
        <f>INDEX(Nodes!$B$2:$B$58,MATCH(B55,Nodes!$A$2:$A$58,0))</f>
        <v/>
      </c>
    </row>
    <row r="56" ht="15" customHeight="1" s="25">
      <c r="A56" s="45" t="inlineStr">
        <is>
          <t>angra</t>
        </is>
      </c>
      <c r="B56" s="45" t="inlineStr">
        <is>
          <t>dono</t>
        </is>
      </c>
      <c r="C56" s="45" t="inlineStr">
        <is>
          <t>Antigo dono; ouviu Flávio chamar Willer de sócio</t>
        </is>
      </c>
      <c r="D56" s="45" t="inlineStr">
        <is>
          <t>Documentado</t>
        </is>
      </c>
      <c r="E56" s="45">
        <f>INDEX(Nodes!$B$2:$B$58,MATCH(A56,Nodes!$A$2:$A$58,0))</f>
        <v/>
      </c>
      <c r="F56" s="45">
        <f>INDEX(Nodes!$B$2:$B$58,MATCH(B56,Nodes!$A$2:$A$58,0))</f>
        <v/>
      </c>
    </row>
    <row r="57" ht="15" customHeight="1" s="25">
      <c r="A57" s="45" t="inlineStr">
        <is>
          <t>flavio</t>
        </is>
      </c>
      <c r="B57" s="45" t="inlineStr">
        <is>
          <t>angra</t>
        </is>
      </c>
      <c r="C57" s="45" t="inlineStr">
        <is>
          <t>Aniversário da filha na mansão</t>
        </is>
      </c>
      <c r="D57" s="45" t="inlineStr">
        <is>
          <t>Documentado</t>
        </is>
      </c>
      <c r="E57" s="45">
        <f>INDEX(Nodes!$B$2:$B$58,MATCH(A57,Nodes!$A$2:$A$58,0))</f>
        <v/>
      </c>
      <c r="F57" s="45">
        <f>INDEX(Nodes!$B$2:$B$58,MATCH(B57,Nodes!$A$2:$A$58,0))</f>
        <v/>
      </c>
    </row>
    <row r="58" ht="15" customHeight="1" s="25">
      <c r="A58" s="45" t="inlineStr">
        <is>
          <t>flavio</t>
        </is>
      </c>
      <c r="B58" s="45" t="inlineStr">
        <is>
          <t>aptosp</t>
        </is>
      </c>
      <c r="C58" s="45" t="inlineStr">
        <is>
          <t>Usou na campanha</t>
        </is>
      </c>
      <c r="D58" s="45" t="inlineStr">
        <is>
          <t>Documentado</t>
        </is>
      </c>
      <c r="E58" s="45">
        <f>INDEX(Nodes!$B$2:$B$58,MATCH(A58,Nodes!$A$2:$A$58,0))</f>
        <v/>
      </c>
      <c r="F58" s="45">
        <f>INDEX(Nodes!$B$2:$B$58,MATCH(B58,Nodes!$A$2:$A$58,0))</f>
        <v/>
      </c>
    </row>
    <row r="59" ht="15" customHeight="1" s="25">
      <c r="A59" s="45" t="inlineStr">
        <is>
          <t>vorcaro</t>
        </is>
      </c>
      <c r="B59" s="45" t="inlineStr">
        <is>
          <t>flavio</t>
        </is>
      </c>
      <c r="C59" s="45" t="inlineStr">
        <is>
          <t>Mensagem na véspera da prisão: “Irmão, estou e estarei contigo sempre”</t>
        </is>
      </c>
      <c r="D59" s="45" t="inlineStr">
        <is>
          <t>Documentado</t>
        </is>
      </c>
      <c r="E59" s="45">
        <f>INDEX(Nodes!$B$2:$B$58,MATCH(A59,Nodes!$A$2:$A$58,0))</f>
        <v/>
      </c>
      <c r="F59" s="45">
        <f>INDEX(Nodes!$B$2:$B$58,MATCH(B59,Nodes!$A$2:$A$58,0))</f>
        <v/>
      </c>
    </row>
    <row r="60" ht="23.25" customHeight="1" s="25">
      <c r="A60" s="45" t="inlineStr">
        <is>
          <t>vorcaro</t>
        </is>
      </c>
      <c r="B60" s="45" t="inlineStr">
        <is>
          <t>flavio</t>
        </is>
      </c>
      <c r="C60" s="45" t="inlineStr">
        <is>
          <t>~US$ 24 mi negociados para o filme; Flávio cobrava parcelas por áudio e é investigado</t>
        </is>
      </c>
      <c r="D60" s="45" t="inlineStr">
        <is>
          <t>Alegado ou contestado</t>
        </is>
      </c>
      <c r="E60" s="45">
        <f>INDEX(Nodes!$B$2:$B$58,MATCH(A60,Nodes!$A$2:$A$58,0))</f>
        <v/>
      </c>
      <c r="F60" s="45">
        <f>INDEX(Nodes!$B$2:$B$58,MATCH(B60,Nodes!$A$2:$A$58,0))</f>
        <v/>
      </c>
    </row>
    <row r="61" ht="15" customHeight="1" s="25">
      <c r="A61" s="45" t="inlineStr">
        <is>
          <t>ong</t>
        </is>
      </c>
      <c r="B61" s="45" t="inlineStr">
        <is>
          <t>flavio</t>
        </is>
      </c>
      <c r="C61" s="45" t="inlineStr">
        <is>
          <t>Dinheiro do filme sobre o pai</t>
        </is>
      </c>
      <c r="D61" s="45" t="inlineStr">
        <is>
          <t>Alegado ou contestado</t>
        </is>
      </c>
      <c r="E61" s="45">
        <f>INDEX(Nodes!$B$2:$B$58,MATCH(A61,Nodes!$A$2:$A$58,0))</f>
        <v/>
      </c>
      <c r="F61" s="45">
        <f>INDEX(Nodes!$B$2:$B$58,MATCH(B61,Nodes!$A$2:$A$58,0))</f>
        <v/>
      </c>
    </row>
    <row r="62" ht="15" customHeight="1" s="25">
      <c r="A62" s="45" t="inlineStr">
        <is>
          <t>ong</t>
        </is>
      </c>
      <c r="B62" s="45" t="inlineStr">
        <is>
          <t>vorcaro</t>
        </is>
      </c>
      <c r="C62" s="45" t="inlineStr">
        <is>
          <t>Negociação de ~US$ 24 mi</t>
        </is>
      </c>
      <c r="D62" s="45" t="inlineStr">
        <is>
          <t>Alegado ou contestado</t>
        </is>
      </c>
      <c r="E62" s="45">
        <f>INDEX(Nodes!$B$2:$B$58,MATCH(A62,Nodes!$A$2:$A$58,0))</f>
        <v/>
      </c>
      <c r="F62" s="45">
        <f>INDEX(Nodes!$B$2:$B$58,MATCH(B62,Nodes!$A$2:$A$58,0))</f>
        <v/>
      </c>
    </row>
    <row r="63" ht="15" customHeight="1" s="25">
      <c r="A63" s="45" t="inlineStr">
        <is>
          <t>ong</t>
        </is>
      </c>
      <c r="B63" s="45" t="inlineStr">
        <is>
          <t>eletricista</t>
        </is>
      </c>
      <c r="C63" s="45" t="inlineStr">
        <is>
          <t>Tesoureiro de fachada</t>
        </is>
      </c>
      <c r="D63" s="45" t="inlineStr">
        <is>
          <t>Documentado</t>
        </is>
      </c>
      <c r="E63" s="45">
        <f>INDEX(Nodes!$B$2:$B$58,MATCH(A63,Nodes!$A$2:$A$58,0))</f>
        <v/>
      </c>
      <c r="F63" s="45">
        <f>INDEX(Nodes!$B$2:$B$58,MATCH(B63,Nodes!$A$2:$A$58,0))</f>
        <v/>
      </c>
    </row>
    <row r="64" ht="23.25" customHeight="1" s="25">
      <c r="A64" s="45" t="inlineStr">
        <is>
          <t>triplex</t>
        </is>
      </c>
      <c r="B64" s="45" t="inlineStr">
        <is>
          <t>nunes</t>
        </is>
      </c>
      <c r="C64" s="45" t="inlineStr">
        <is>
          <t>Segundo a Piauí, frequentava as festas com o filho; ele nega irregularidades</t>
        </is>
      </c>
      <c r="D64" s="45" t="inlineStr">
        <is>
          <t>Alegado ou contestado</t>
        </is>
      </c>
      <c r="E64" s="45">
        <f>INDEX(Nodes!$B$2:$B$58,MATCH(A64,Nodes!$A$2:$A$58,0))</f>
        <v/>
      </c>
      <c r="F64" s="45">
        <f>INDEX(Nodes!$B$2:$B$58,MATCH(B64,Nodes!$A$2:$A$58,0))</f>
        <v/>
      </c>
    </row>
    <row r="65" ht="15" customHeight="1" s="25">
      <c r="A65" s="45" t="inlineStr">
        <is>
          <t>triplex</t>
        </is>
      </c>
      <c r="B65" s="45" t="inlineStr">
        <is>
          <t>mulheres</t>
        </is>
      </c>
      <c r="C65" s="45" t="inlineStr">
        <is>
          <t>Mulheres nas festas</t>
        </is>
      </c>
      <c r="D65" s="45" t="inlineStr">
        <is>
          <t>Alegado ou contestado</t>
        </is>
      </c>
      <c r="E65" s="45">
        <f>INDEX(Nodes!$B$2:$B$58,MATCH(A65,Nodes!$A$2:$A$58,0))</f>
        <v/>
      </c>
      <c r="F65" s="45">
        <f>INDEX(Nodes!$B$2:$B$58,MATCH(B65,Nodes!$A$2:$A$58,0))</f>
        <v/>
      </c>
    </row>
    <row r="66" ht="15" customHeight="1" s="25">
      <c r="A66" s="45" t="inlineStr">
        <is>
          <t>luri</t>
        </is>
      </c>
      <c r="B66" s="45" t="inlineStr">
        <is>
          <t>mulheres</t>
        </is>
      </c>
      <c r="C66" s="45" t="inlineStr">
        <is>
          <t>Recrutava</t>
        </is>
      </c>
      <c r="D66" s="45" t="inlineStr">
        <is>
          <t>Alegado ou contestado</t>
        </is>
      </c>
      <c r="E66" s="45">
        <f>INDEX(Nodes!$B$2:$B$58,MATCH(A66,Nodes!$A$2:$A$58,0))</f>
        <v/>
      </c>
      <c r="F66" s="45">
        <f>INDEX(Nodes!$B$2:$B$58,MATCH(B66,Nodes!$A$2:$A$58,0))</f>
        <v/>
      </c>
    </row>
    <row r="67" ht="15" customHeight="1" s="25">
      <c r="A67" s="45" t="inlineStr">
        <is>
          <t>promoter</t>
        </is>
      </c>
      <c r="B67" s="45" t="inlineStr">
        <is>
          <t>mulheres</t>
        </is>
      </c>
      <c r="C67" s="45" t="inlineStr">
        <is>
          <t>Levava as mulheres</t>
        </is>
      </c>
      <c r="D67" s="45" t="inlineStr">
        <is>
          <t>Alegado ou contestado</t>
        </is>
      </c>
      <c r="E67" s="45">
        <f>INDEX(Nodes!$B$2:$B$58,MATCH(A67,Nodes!$A$2:$A$58,0))</f>
        <v/>
      </c>
      <c r="F67" s="45">
        <f>INDEX(Nodes!$B$2:$B$58,MATCH(B67,Nodes!$A$2:$A$58,0))</f>
        <v/>
      </c>
    </row>
    <row r="68" ht="15" customHeight="1" s="25">
      <c r="A68" s="45" t="inlineStr">
        <is>
          <t>promoter</t>
        </is>
      </c>
      <c r="B68" s="45" t="inlineStr">
        <is>
          <t>vorcaro</t>
        </is>
      </c>
      <c r="C68" s="45" t="inlineStr">
        <is>
          <t>Pago pelo banqueiro (valor mensal impreciso na transcrição)</t>
        </is>
      </c>
      <c r="D68" s="45" t="inlineStr">
        <is>
          <t>Alegado ou contestado</t>
        </is>
      </c>
      <c r="E68" s="45">
        <f>INDEX(Nodes!$B$2:$B$58,MATCH(A68,Nodes!$A$2:$A$58,0))</f>
        <v/>
      </c>
      <c r="F68" s="45">
        <f>INDEX(Nodes!$B$2:$B$58,MATCH(B68,Nodes!$A$2:$A$58,0))</f>
        <v/>
      </c>
    </row>
    <row r="69" ht="15" customHeight="1" s="25">
      <c r="A69" s="45" t="inlineStr">
        <is>
          <t>mordomo</t>
        </is>
      </c>
      <c r="B69" s="45" t="inlineStr">
        <is>
          <t>triplex</t>
        </is>
      </c>
      <c r="C69" s="45" t="inlineStr">
        <is>
          <t>Trabalhava no triplex</t>
        </is>
      </c>
      <c r="D69" s="45" t="inlineStr">
        <is>
          <t>Documentado</t>
        </is>
      </c>
      <c r="E69" s="45">
        <f>INDEX(Nodes!$B$2:$B$58,MATCH(A69,Nodes!$A$2:$A$58,0))</f>
        <v/>
      </c>
      <c r="F69" s="45">
        <f>INDEX(Nodes!$B$2:$B$58,MATCH(B69,Nodes!$A$2:$A$58,0))</f>
        <v/>
      </c>
    </row>
    <row r="70" ht="15" customHeight="1" s="25">
      <c r="A70" s="45" t="inlineStr">
        <is>
          <t>mordomo</t>
        </is>
      </c>
      <c r="B70" s="45" t="inlineStr">
        <is>
          <t>vorcaro</t>
        </is>
      </c>
      <c r="C70" s="45" t="inlineStr">
        <is>
          <t>Mandou mensagens sobre a festa de fev/2025</t>
        </is>
      </c>
      <c r="D70" s="45" t="inlineStr">
        <is>
          <t>Alegado ou contestado</t>
        </is>
      </c>
      <c r="E70" s="45">
        <f>INDEX(Nodes!$B$2:$B$58,MATCH(A70,Nodes!$A$2:$A$58,0))</f>
        <v/>
      </c>
      <c r="F70" s="45">
        <f>INDEX(Nodes!$B$2:$B$58,MATCH(B70,Nodes!$A$2:$A$58,0))</f>
        <v/>
      </c>
    </row>
    <row r="71" ht="15" customHeight="1" s="25">
      <c r="A71" s="45" t="inlineStr">
        <is>
          <t>mordomo</t>
        </is>
      </c>
      <c r="B71" s="45" t="inlineStr">
        <is>
          <t>nunes</t>
        </is>
      </c>
      <c r="C71" s="45" t="inlineStr">
        <is>
          <t>Relatou “ministro com cinco meninas”</t>
        </is>
      </c>
      <c r="D71" s="45" t="inlineStr">
        <is>
          <t>Alegado ou contestado</t>
        </is>
      </c>
      <c r="E71" s="45">
        <f>INDEX(Nodes!$B$2:$B$58,MATCH(A71,Nodes!$A$2:$A$58,0))</f>
        <v/>
      </c>
      <c r="F71" s="45">
        <f>INDEX(Nodes!$B$2:$B$58,MATCH(B71,Nodes!$A$2:$A$58,0))</f>
        <v/>
      </c>
    </row>
    <row r="72" ht="15" customHeight="1" s="25">
      <c r="A72" s="45" t="inlineStr">
        <is>
          <t>dirjur</t>
        </is>
      </c>
      <c r="B72" s="45" t="inlineStr">
        <is>
          <t>master</t>
        </is>
      </c>
      <c r="C72" s="45" t="inlineStr">
        <is>
          <t>Diretor do banco</t>
        </is>
      </c>
      <c r="D72" s="45" t="inlineStr">
        <is>
          <t>Documentado</t>
        </is>
      </c>
      <c r="E72" s="45">
        <f>INDEX(Nodes!$B$2:$B$58,MATCH(A72,Nodes!$A$2:$A$58,0))</f>
        <v/>
      </c>
      <c r="F72" s="45">
        <f>INDEX(Nodes!$B$2:$B$58,MATCH(B72,Nodes!$A$2:$A$58,0))</f>
        <v/>
      </c>
    </row>
    <row r="73" ht="15" customHeight="1" s="25">
      <c r="A73" s="45" t="inlineStr">
        <is>
          <t>dirjur</t>
        </is>
      </c>
      <c r="B73" s="45" t="inlineStr">
        <is>
          <t>vorcaro</t>
        </is>
      </c>
      <c r="C73" s="45" t="inlineStr">
        <is>
          <t>“Dominado aqui” no dia do voto de desempate</t>
        </is>
      </c>
      <c r="D73" s="45" t="inlineStr">
        <is>
          <t>Alegado ou contestado</t>
        </is>
      </c>
      <c r="E73" s="45">
        <f>INDEX(Nodes!$B$2:$B$58,MATCH(A73,Nodes!$A$2:$A$58,0))</f>
        <v/>
      </c>
      <c r="F73" s="45">
        <f>INDEX(Nodes!$B$2:$B$58,MATCH(B73,Nodes!$A$2:$A$58,0))</f>
        <v/>
      </c>
    </row>
    <row r="74" ht="23.25" customHeight="1" s="25">
      <c r="A74" s="45" t="inlineStr">
        <is>
          <t>dirjur</t>
        </is>
      </c>
      <c r="B74" s="45" t="inlineStr">
        <is>
          <t>kevin</t>
        </is>
      </c>
      <c r="C74" s="45" t="inlineStr">
        <is>
          <t>Perguntou ao Vorcaro se mantinha o pagamento mensal e mandou o contato do Kevin (valor ilegível na transcrição)</t>
        </is>
      </c>
      <c r="D74" s="45" t="inlineStr">
        <is>
          <t>Alegado ou contestado</t>
        </is>
      </c>
      <c r="E74" s="45">
        <f>INDEX(Nodes!$B$2:$B$58,MATCH(A74,Nodes!$A$2:$A$58,0))</f>
        <v/>
      </c>
      <c r="F74" s="45">
        <f>INDEX(Nodes!$B$2:$B$58,MATCH(B74,Nodes!$A$2:$A$58,0))</f>
        <v/>
      </c>
    </row>
    <row r="75" ht="15" customHeight="1" s="25">
      <c r="A75" s="45" t="inlineStr">
        <is>
          <t>master</t>
        </is>
      </c>
      <c r="B75" s="45" t="inlineStr">
        <is>
          <t>consult</t>
        </is>
      </c>
      <c r="C75" s="45" t="inlineStr">
        <is>
          <t>Pagou R$ 6,6 mi</t>
        </is>
      </c>
      <c r="D75" s="45" t="inlineStr">
        <is>
          <t>Documentado</t>
        </is>
      </c>
      <c r="E75" s="45">
        <f>INDEX(Nodes!$B$2:$B$58,MATCH(A75,Nodes!$A$2:$A$58,0))</f>
        <v/>
      </c>
      <c r="F75" s="45">
        <f>INDEX(Nodes!$B$2:$B$58,MATCH(B75,Nodes!$A$2:$A$58,0))</f>
        <v/>
      </c>
    </row>
    <row r="76" ht="15" customHeight="1" s="25">
      <c r="A76" s="45" t="inlineStr">
        <is>
          <t>consult</t>
        </is>
      </c>
      <c r="B76" s="45" t="inlineStr">
        <is>
          <t>kevin</t>
        </is>
      </c>
      <c r="C76" s="45" t="inlineStr">
        <is>
          <t>Repassou ~R$ 300 mil</t>
        </is>
      </c>
      <c r="D76" s="45" t="inlineStr">
        <is>
          <t>Documentado</t>
        </is>
      </c>
      <c r="E76" s="45">
        <f>INDEX(Nodes!$B$2:$B$58,MATCH(A76,Nodes!$A$2:$A$58,0))</f>
        <v/>
      </c>
      <c r="F76" s="45">
        <f>INDEX(Nodes!$B$2:$B$58,MATCH(B76,Nodes!$A$2:$A$58,0))</f>
        <v/>
      </c>
    </row>
    <row r="77" ht="15" customHeight="1" s="25">
      <c r="A77" s="45" t="inlineStr">
        <is>
          <t>consult</t>
        </is>
      </c>
      <c r="B77" s="45" t="inlineStr">
        <is>
          <t>nunes</t>
        </is>
      </c>
      <c r="C77" s="45" t="inlineStr">
        <is>
          <t>Dono é amigo do ministro</t>
        </is>
      </c>
      <c r="D77" s="45" t="inlineStr">
        <is>
          <t>Documentado</t>
        </is>
      </c>
      <c r="E77" s="45">
        <f>INDEX(Nodes!$B$2:$B$58,MATCH(A77,Nodes!$A$2:$A$58,0))</f>
        <v/>
      </c>
      <c r="F77" s="45">
        <f>INDEX(Nodes!$B$2:$B$58,MATCH(B77,Nodes!$A$2:$A$58,0))</f>
        <v/>
      </c>
    </row>
    <row r="78" ht="15" customHeight="1" s="25">
      <c r="A78" s="45" t="inlineStr">
        <is>
          <t>kevin</t>
        </is>
      </c>
      <c r="B78" s="45" t="inlineStr">
        <is>
          <t>nunes</t>
        </is>
      </c>
      <c r="C78" s="45" t="inlineStr">
        <is>
          <t>Filho</t>
        </is>
      </c>
      <c r="D78" s="45" t="inlineStr">
        <is>
          <t>Documentado</t>
        </is>
      </c>
      <c r="E78" s="45">
        <f>INDEX(Nodes!$B$2:$B$58,MATCH(A78,Nodes!$A$2:$A$58,0))</f>
        <v/>
      </c>
      <c r="F78" s="45">
        <f>INDEX(Nodes!$B$2:$B$58,MATCH(B78,Nodes!$A$2:$A$58,0))</f>
        <v/>
      </c>
    </row>
    <row r="79" ht="15" customHeight="1" s="25">
      <c r="A79" s="45" t="inlineStr">
        <is>
          <t>nunes</t>
        </is>
      </c>
      <c r="B79" s="45" t="inlineStr">
        <is>
          <t>coaf</t>
        </is>
      </c>
      <c r="C79" s="45" t="inlineStr">
        <is>
          <t>Votou a favor de Flávio; provas anuladas</t>
        </is>
      </c>
      <c r="D79" s="45" t="inlineStr">
        <is>
          <t>Documentado</t>
        </is>
      </c>
      <c r="E79" s="45">
        <f>INDEX(Nodes!$B$2:$B$58,MATCH(A79,Nodes!$A$2:$A$58,0))</f>
        <v/>
      </c>
      <c r="F79" s="45">
        <f>INDEX(Nodes!$B$2:$B$58,MATCH(B79,Nodes!$A$2:$A$58,0))</f>
        <v/>
      </c>
    </row>
    <row r="80" ht="15" customHeight="1" s="25">
      <c r="A80" s="45" t="inlineStr">
        <is>
          <t>coaf</t>
        </is>
      </c>
      <c r="B80" s="45" t="inlineStr">
        <is>
          <t>flavio</t>
        </is>
      </c>
      <c r="C80" s="45" t="inlineStr">
        <is>
          <t>Investigação da rachadinha</t>
        </is>
      </c>
      <c r="D80" s="45" t="inlineStr">
        <is>
          <t>Documentado</t>
        </is>
      </c>
      <c r="E80" s="45">
        <f>INDEX(Nodes!$B$2:$B$58,MATCH(A80,Nodes!$A$2:$A$58,0))</f>
        <v/>
      </c>
      <c r="F80" s="45">
        <f>INDEX(Nodes!$B$2:$B$58,MATCH(B80,Nodes!$A$2:$A$58,0))</f>
        <v/>
      </c>
    </row>
    <row r="81" ht="15" customHeight="1" s="25">
      <c r="A81" s="45" t="inlineStr">
        <is>
          <t>coaf</t>
        </is>
      </c>
      <c r="B81" s="45" t="inlineStr">
        <is>
          <t>queiroz</t>
        </is>
      </c>
      <c r="C81" s="45" t="inlineStr">
        <is>
          <t>Operador do esquema</t>
        </is>
      </c>
      <c r="D81" s="45" t="inlineStr">
        <is>
          <t>Documentado</t>
        </is>
      </c>
      <c r="E81" s="45">
        <f>INDEX(Nodes!$B$2:$B$58,MATCH(A81,Nodes!$A$2:$A$58,0))</f>
        <v/>
      </c>
      <c r="F81" s="45">
        <f>INDEX(Nodes!$B$2:$B$58,MATCH(B81,Nodes!$A$2:$A$58,0))</f>
        <v/>
      </c>
    </row>
    <row r="82" ht="15" customHeight="1" s="25">
      <c r="A82" s="45" t="inlineStr">
        <is>
          <t>queiroz</t>
        </is>
      </c>
      <c r="B82" s="45" t="inlineStr">
        <is>
          <t>atibaia</t>
        </is>
      </c>
      <c r="C82" s="45" t="inlineStr">
        <is>
          <t>Achado escondido lá</t>
        </is>
      </c>
      <c r="D82" s="45" t="inlineStr">
        <is>
          <t>Documentado</t>
        </is>
      </c>
      <c r="E82" s="45">
        <f>INDEX(Nodes!$B$2:$B$58,MATCH(A82,Nodes!$A$2:$A$58,0))</f>
        <v/>
      </c>
      <c r="F82" s="45">
        <f>INDEX(Nodes!$B$2:$B$58,MATCH(B82,Nodes!$A$2:$A$58,0))</f>
        <v/>
      </c>
    </row>
    <row r="83" ht="15" customHeight="1" s="25">
      <c r="A83" s="45" t="inlineStr">
        <is>
          <t>wassef</t>
        </is>
      </c>
      <c r="B83" s="45" t="inlineStr">
        <is>
          <t>atibaia</t>
        </is>
      </c>
      <c r="C83" s="45" t="inlineStr">
        <is>
          <t>Casa dele</t>
        </is>
      </c>
      <c r="D83" s="45" t="inlineStr">
        <is>
          <t>Documentado</t>
        </is>
      </c>
      <c r="E83" s="45">
        <f>INDEX(Nodes!$B$2:$B$58,MATCH(A83,Nodes!$A$2:$A$58,0))</f>
        <v/>
      </c>
      <c r="F83" s="45">
        <f>INDEX(Nodes!$B$2:$B$58,MATCH(B83,Nodes!$A$2:$A$58,0))</f>
        <v/>
      </c>
    </row>
    <row r="84" ht="15" customHeight="1" s="25">
      <c r="A84" s="45" t="inlineStr">
        <is>
          <t>jair</t>
        </is>
      </c>
      <c r="B84" s="45" t="inlineStr">
        <is>
          <t>flavio</t>
        </is>
      </c>
      <c r="C84" s="45" t="inlineStr">
        <is>
          <t>Pai; Flávio promete anistia ou indulto</t>
        </is>
      </c>
      <c r="D84" s="45" t="inlineStr">
        <is>
          <t>Documentado</t>
        </is>
      </c>
      <c r="E84" s="45">
        <f>INDEX(Nodes!$B$2:$B$58,MATCH(A84,Nodes!$A$2:$A$58,0))</f>
        <v/>
      </c>
      <c r="F84" s="45">
        <f>INDEX(Nodes!$B$2:$B$58,MATCH(B84,Nodes!$A$2:$A$58,0))</f>
        <v/>
      </c>
    </row>
    <row r="85" ht="15" customHeight="1" s="25">
      <c r="A85" s="45" t="inlineStr">
        <is>
          <t>jair</t>
        </is>
      </c>
      <c r="B85" s="45" t="inlineStr">
        <is>
          <t>wassef</t>
        </is>
      </c>
      <c r="C85" s="45" t="inlineStr">
        <is>
          <t>Advogado da família</t>
        </is>
      </c>
      <c r="D85" s="45" t="inlineStr">
        <is>
          <t>Documentado</t>
        </is>
      </c>
      <c r="E85" s="45">
        <f>INDEX(Nodes!$B$2:$B$58,MATCH(A85,Nodes!$A$2:$A$58,0))</f>
        <v/>
      </c>
      <c r="F85" s="45">
        <f>INDEX(Nodes!$B$2:$B$58,MATCH(B85,Nodes!$A$2:$A$58,0))</f>
        <v/>
      </c>
    </row>
    <row r="86" ht="15" customHeight="1" s="25">
      <c r="A86" s="45" t="inlineStr">
        <is>
          <t>jair</t>
        </is>
      </c>
      <c r="B86" s="45" t="inlineStr">
        <is>
          <t>abin</t>
        </is>
      </c>
      <c r="C86" s="45" t="inlineStr">
        <is>
          <t>Abin trabalhou para defender o filho</t>
        </is>
      </c>
      <c r="D86" s="45" t="inlineStr">
        <is>
          <t>Documentado</t>
        </is>
      </c>
      <c r="E86" s="45">
        <f>INDEX(Nodes!$B$2:$B$58,MATCH(A86,Nodes!$A$2:$A$58,0))</f>
        <v/>
      </c>
      <c r="F86" s="45">
        <f>INDEX(Nodes!$B$2:$B$58,MATCH(B86,Nodes!$A$2:$A$58,0))</f>
        <v/>
      </c>
    </row>
    <row r="87" ht="15" customHeight="1" s="25">
      <c r="A87" s="45" t="inlineStr">
        <is>
          <t>abin</t>
        </is>
      </c>
      <c r="B87" s="45" t="inlineStr">
        <is>
          <t>ramagem</t>
        </is>
      </c>
      <c r="C87" s="45" t="inlineStr">
        <is>
          <t>Chefiada por ele</t>
        </is>
      </c>
      <c r="D87" s="45" t="inlineStr">
        <is>
          <t>Documentado</t>
        </is>
      </c>
      <c r="E87" s="45">
        <f>INDEX(Nodes!$B$2:$B$58,MATCH(A87,Nodes!$A$2:$A$58,0))</f>
        <v/>
      </c>
      <c r="F87" s="45">
        <f>INDEX(Nodes!$B$2:$B$58,MATCH(B87,Nodes!$A$2:$A$58,0))</f>
        <v/>
      </c>
    </row>
    <row r="88" ht="15" customHeight="1" s="25">
      <c r="A88" s="45" t="inlineStr">
        <is>
          <t>abin</t>
        </is>
      </c>
      <c r="B88" s="45" t="inlineStr">
        <is>
          <t>flavio</t>
        </is>
      </c>
      <c r="C88" s="45" t="inlineStr">
        <is>
          <t>Relatórios para “defender FB”</t>
        </is>
      </c>
      <c r="D88" s="45" t="inlineStr">
        <is>
          <t>Documentado</t>
        </is>
      </c>
      <c r="E88" s="45">
        <f>INDEX(Nodes!$B$2:$B$58,MATCH(A88,Nodes!$A$2:$A$58,0))</f>
        <v/>
      </c>
      <c r="F88" s="45">
        <f>INDEX(Nodes!$B$2:$B$58,MATCH(B88,Nodes!$A$2:$A$58,0))</f>
        <v/>
      </c>
    </row>
    <row r="89" ht="15" customHeight="1" s="25">
      <c r="A89" s="45" t="inlineStr">
        <is>
          <t>heleno</t>
        </is>
      </c>
      <c r="B89" s="45" t="inlineStr">
        <is>
          <t>jair</t>
        </is>
      </c>
      <c r="C89" s="45" t="inlineStr">
        <is>
          <t>Reunião no Planalto (2020)</t>
        </is>
      </c>
      <c r="D89" s="45" t="inlineStr">
        <is>
          <t>Documentado</t>
        </is>
      </c>
      <c r="E89" s="45">
        <f>INDEX(Nodes!$B$2:$B$58,MATCH(A89,Nodes!$A$2:$A$58,0))</f>
        <v/>
      </c>
      <c r="F89" s="45">
        <f>INDEX(Nodes!$B$2:$B$58,MATCH(B89,Nodes!$A$2:$A$58,0))</f>
        <v/>
      </c>
    </row>
    <row r="90" ht="15" customHeight="1" s="25">
      <c r="A90" s="45" t="inlineStr">
        <is>
          <t>ramagem</t>
        </is>
      </c>
      <c r="B90" s="45" t="inlineStr">
        <is>
          <t>jair</t>
        </is>
      </c>
      <c r="C90" s="45" t="inlineStr">
        <is>
          <t>Reunião no Planalto (2020)</t>
        </is>
      </c>
      <c r="D90" s="45" t="inlineStr">
        <is>
          <t>Documentado</t>
        </is>
      </c>
      <c r="E90" s="45">
        <f>INDEX(Nodes!$B$2:$B$58,MATCH(A90,Nodes!$A$2:$A$58,0))</f>
        <v/>
      </c>
      <c r="F90" s="45">
        <f>INDEX(Nodes!$B$2:$B$58,MATCH(B90,Nodes!$A$2:$A$58,0))</f>
        <v/>
      </c>
    </row>
    <row r="91" ht="15" customHeight="1" s="25">
      <c r="A91" s="45" t="inlineStr">
        <is>
          <t>ramagem</t>
        </is>
      </c>
      <c r="B91" s="45" t="inlineStr">
        <is>
          <t>flavio</t>
        </is>
      </c>
      <c r="C91" s="45" t="inlineStr">
        <is>
          <t>Diz que volta ao Brasil se Flávio ganhar</t>
        </is>
      </c>
      <c r="D91" s="45" t="inlineStr">
        <is>
          <t>Documentado</t>
        </is>
      </c>
      <c r="E91" s="45">
        <f>INDEX(Nodes!$B$2:$B$58,MATCH(A91,Nodes!$A$2:$A$58,0))</f>
        <v/>
      </c>
      <c r="F91" s="45">
        <f>INDEX(Nodes!$B$2:$B$58,MATCH(B91,Nodes!$A$2:$A$58,0))</f>
        <v/>
      </c>
    </row>
    <row r="92" ht="15" customHeight="1" s="25">
      <c r="A92" s="45" t="inlineStr">
        <is>
          <t>receita</t>
        </is>
      </c>
      <c r="B92" s="45" t="inlineStr">
        <is>
          <t>flavio</t>
        </is>
      </c>
      <c r="C92" s="45" t="inlineStr">
        <is>
          <t>Chefe foi à casa dele</t>
        </is>
      </c>
      <c r="D92" s="45" t="inlineStr">
        <is>
          <t>Documentado</t>
        </is>
      </c>
      <c r="E92" s="45">
        <f>INDEX(Nodes!$B$2:$B$58,MATCH(A92,Nodes!$A$2:$A$58,0))</f>
        <v/>
      </c>
      <c r="F92" s="45">
        <f>INDEX(Nodes!$B$2:$B$58,MATCH(B92,Nodes!$A$2:$A$58,0))</f>
        <v/>
      </c>
    </row>
    <row r="93" ht="15" customHeight="1" s="25">
      <c r="A93" s="45" t="inlineStr">
        <is>
          <t>jair</t>
        </is>
      </c>
      <c r="B93" s="45" t="inlineStr">
        <is>
          <t>receita</t>
        </is>
      </c>
      <c r="C93" s="45" t="inlineStr">
        <is>
          <t>Reunião sobre a Receita</t>
        </is>
      </c>
      <c r="D93" s="45" t="inlineStr">
        <is>
          <t>Documentado</t>
        </is>
      </c>
      <c r="E93" s="45">
        <f>INDEX(Nodes!$B$2:$B$58,MATCH(A93,Nodes!$A$2:$A$58,0))</f>
        <v/>
      </c>
      <c r="F93" s="45">
        <f>INDEX(Nodes!$B$2:$B$58,MATCH(B93,Nodes!$A$2:$A$58,0))</f>
        <v/>
      </c>
    </row>
    <row r="94" ht="15" customHeight="1" s="25">
      <c r="A94" s="45" t="inlineStr">
        <is>
          <t>jair</t>
        </is>
      </c>
      <c r="B94" s="45" t="inlineStr">
        <is>
          <t>pf</t>
        </is>
      </c>
      <c r="C94" s="45" t="inlineStr">
        <is>
          <t>Tentou trocar o comando no Rio</t>
        </is>
      </c>
      <c r="D94" s="45" t="inlineStr">
        <is>
          <t>Documentado</t>
        </is>
      </c>
      <c r="E94" s="45">
        <f>INDEX(Nodes!$B$2:$B$58,MATCH(A94,Nodes!$A$2:$A$58,0))</f>
        <v/>
      </c>
      <c r="F94" s="45">
        <f>INDEX(Nodes!$B$2:$B$58,MATCH(B94,Nodes!$A$2:$A$58,0))</f>
        <v/>
      </c>
    </row>
    <row r="95" ht="15" customHeight="1" s="25">
      <c r="A95" s="45" t="inlineStr">
        <is>
          <t>moro</t>
        </is>
      </c>
      <c r="B95" s="45" t="inlineStr">
        <is>
          <t>jair</t>
        </is>
      </c>
      <c r="C95" s="45" t="inlineStr">
        <is>
          <t>Saiu denunciando interferência na PF</t>
        </is>
      </c>
      <c r="D95" s="45" t="inlineStr">
        <is>
          <t>Documentado</t>
        </is>
      </c>
      <c r="E95" s="45">
        <f>INDEX(Nodes!$B$2:$B$58,MATCH(A95,Nodes!$A$2:$A$58,0))</f>
        <v/>
      </c>
      <c r="F95" s="45">
        <f>INDEX(Nodes!$B$2:$B$58,MATCH(B95,Nodes!$A$2:$A$58,0))</f>
        <v/>
      </c>
    </row>
    <row r="96" ht="15" customHeight="1" s="25">
      <c r="A96" s="45" t="inlineStr">
        <is>
          <t>pf</t>
        </is>
      </c>
      <c r="B96" s="45" t="inlineStr">
        <is>
          <t>willer</t>
        </is>
      </c>
      <c r="C96" s="45" t="inlineStr">
        <is>
          <t>Investiga</t>
        </is>
      </c>
      <c r="D96" s="45" t="inlineStr">
        <is>
          <t>Documentado</t>
        </is>
      </c>
      <c r="E96" s="45">
        <f>INDEX(Nodes!$B$2:$B$58,MATCH(A96,Nodes!$A$2:$A$58,0))</f>
        <v/>
      </c>
      <c r="F96" s="45">
        <f>INDEX(Nodes!$B$2:$B$58,MATCH(B96,Nodes!$A$2:$A$58,0))</f>
        <v/>
      </c>
    </row>
    <row r="97" ht="15" customHeight="1" s="25">
      <c r="A97" s="45" t="inlineStr">
        <is>
          <t>flavio</t>
        </is>
      </c>
      <c r="B97" s="45" t="inlineStr">
        <is>
          <t>pf</t>
        </is>
      </c>
      <c r="C97" s="45" t="inlineStr">
        <is>
          <t>Se eleito, indicaria o diretor</t>
        </is>
      </c>
      <c r="D97" s="45" t="inlineStr">
        <is>
          <t>Alegado ou contestado</t>
        </is>
      </c>
      <c r="E97" s="45">
        <f>INDEX(Nodes!$B$2:$B$58,MATCH(A97,Nodes!$A$2:$A$58,0))</f>
        <v/>
      </c>
      <c r="F97" s="45">
        <f>INDEX(Nodes!$B$2:$B$58,MATCH(B97,Nodes!$A$2:$A$58,0))</f>
        <v/>
      </c>
    </row>
    <row r="98" ht="15" customHeight="1" s="25">
      <c r="A98" s="45" t="inlineStr">
        <is>
          <t>flavio</t>
        </is>
      </c>
      <c r="B98" s="45" t="inlineStr">
        <is>
          <t>pgr</t>
        </is>
      </c>
      <c r="C98" s="45" t="inlineStr">
        <is>
          <t>Se eleito, indicaria o procurador-geral</t>
        </is>
      </c>
      <c r="D98" s="45" t="inlineStr">
        <is>
          <t>Alegado ou contestado</t>
        </is>
      </c>
      <c r="E98" s="45">
        <f>INDEX(Nodes!$B$2:$B$58,MATCH(A98,Nodes!$A$2:$A$58,0))</f>
        <v/>
      </c>
      <c r="F98" s="45">
        <f>INDEX(Nodes!$B$2:$B$58,MATCH(B98,Nodes!$A$2:$A$58,0))</f>
        <v/>
      </c>
    </row>
    <row r="99" ht="15" customHeight="1" s="25">
      <c r="A99" s="45" t="inlineStr">
        <is>
          <t>pgr</t>
        </is>
      </c>
      <c r="B99" s="45" t="inlineStr">
        <is>
          <t>vorcaro</t>
        </is>
      </c>
      <c r="C99" s="45" t="inlineStr">
        <is>
          <t>Decide se denuncia</t>
        </is>
      </c>
      <c r="D99" s="45" t="inlineStr">
        <is>
          <t>Documentado</t>
        </is>
      </c>
      <c r="E99" s="45">
        <f>INDEX(Nodes!$B$2:$B$58,MATCH(A99,Nodes!$A$2:$A$58,0))</f>
        <v/>
      </c>
      <c r="F99" s="45">
        <f>INDEX(Nodes!$B$2:$B$58,MATCH(B99,Nodes!$A$2:$A$58,0))</f>
        <v/>
      </c>
    </row>
    <row r="100" ht="23.25" customHeight="1" s="25">
      <c r="A100" s="45" t="inlineStr">
        <is>
          <t>willer</t>
        </is>
      </c>
      <c r="B100" s="45" t="inlineStr">
        <is>
          <t>vorcaro</t>
        </is>
      </c>
      <c r="C100" s="45" t="inlineStr">
        <is>
          <t>Parecem sócios via jato, mansão e apartamento; Willer diz que nunca o conheceu</t>
        </is>
      </c>
      <c r="D100" s="45" t="inlineStr">
        <is>
          <t>Alegado ou contestado</t>
        </is>
      </c>
      <c r="E100" s="45">
        <f>INDEX(Nodes!$B$2:$B$58,MATCH(A100,Nodes!$A$2:$A$58,0))</f>
        <v/>
      </c>
      <c r="F100" s="45">
        <f>INDEX(Nodes!$B$2:$B$58,MATCH(B100,Nodes!$A$2:$A$58,0))</f>
        <v/>
      </c>
    </row>
    <row r="101" ht="15" customHeight="1" s="25">
      <c r="A101" s="45" t="inlineStr">
        <is>
          <t>willer</t>
        </is>
      </c>
      <c r="B101" s="45" t="inlineStr">
        <is>
          <t>wt</t>
        </is>
      </c>
      <c r="C101" s="45" t="inlineStr">
        <is>
          <t>Empresa dele, segundo o vídeo</t>
        </is>
      </c>
      <c r="D101" s="45" t="inlineStr">
        <is>
          <t>Documentado</t>
        </is>
      </c>
      <c r="E101" s="45">
        <f>INDEX(Nodes!$B$2:$B$58,MATCH(A101,Nodes!$A$2:$A$58,0))</f>
        <v/>
      </c>
      <c r="F101" s="45">
        <f>INDEX(Nodes!$B$2:$B$58,MATCH(B101,Nodes!$A$2:$A$58,0))</f>
        <v/>
      </c>
    </row>
    <row r="102" ht="15" customHeight="1" s="25">
      <c r="A102" s="45" t="inlineStr">
        <is>
          <t>flavio</t>
        </is>
      </c>
      <c r="B102" s="45" t="inlineStr">
        <is>
          <t>escf</t>
        </is>
      </c>
      <c r="C102" s="45" t="inlineStr">
        <is>
          <t>Escritório de advocacia dele</t>
        </is>
      </c>
      <c r="D102" s="45" t="inlineStr">
        <is>
          <t>Documentado</t>
        </is>
      </c>
      <c r="E102" s="45">
        <f>INDEX(Nodes!$B$2:$B$58,MATCH(A102,Nodes!$A$2:$A$58,0))</f>
        <v/>
      </c>
      <c r="F102" s="45">
        <f>INDEX(Nodes!$B$2:$B$58,MATCH(B102,Nodes!$A$2:$A$58,0))</f>
        <v/>
      </c>
    </row>
    <row r="103" ht="15" customHeight="1" s="25">
      <c r="A103" s="45" t="inlineStr">
        <is>
          <t>renan</t>
        </is>
      </c>
      <c r="B103" s="45" t="inlineStr">
        <is>
          <t>willer</t>
        </is>
      </c>
      <c r="C103" s="45" t="inlineStr">
        <is>
          <t>Pediu a quebra de sigilo</t>
        </is>
      </c>
      <c r="D103" s="45" t="inlineStr">
        <is>
          <t>Documentado</t>
        </is>
      </c>
      <c r="E103" s="45">
        <f>INDEX(Nodes!$B$2:$B$58,MATCH(A103,Nodes!$A$2:$A$58,0))</f>
        <v/>
      </c>
      <c r="F103" s="45">
        <f>INDEX(Nodes!$B$2:$B$58,MATCH(B103,Nodes!$A$2:$A$58,0))</f>
        <v/>
      </c>
    </row>
    <row r="104" ht="15" customHeight="1" s="25">
      <c r="A104" s="45" t="inlineStr">
        <is>
          <t>queiroz</t>
        </is>
      </c>
      <c r="B104" s="45" t="inlineStr">
        <is>
          <t>flavio</t>
        </is>
      </c>
      <c r="C104" s="45" t="inlineStr">
        <is>
          <t>Ex-assessor; operador da rachadinha no gabinete dele</t>
        </is>
      </c>
      <c r="D104" s="45" t="inlineStr">
        <is>
          <t>Documentado</t>
        </is>
      </c>
      <c r="E104" s="45">
        <f>INDEX(Nodes!$B$2:$B$58,MATCH(A104,Nodes!$A$2:$A$58,0))</f>
        <v/>
      </c>
      <c r="F104" s="45">
        <f>INDEX(Nodes!$B$2:$B$58,MATCH(B104,Nodes!$A$2:$A$58,0))</f>
        <v/>
      </c>
    </row>
    <row r="105" ht="15" customHeight="1" s="25">
      <c r="A105" s="45" t="inlineStr">
        <is>
          <t>dono</t>
        </is>
      </c>
      <c r="B105" s="45" t="inlineStr">
        <is>
          <t>flavio</t>
        </is>
      </c>
      <c r="C105" s="45" t="inlineStr">
        <is>
          <t>Testemunha: Flávio apresentou Willer como sócio (2020)</t>
        </is>
      </c>
      <c r="D105" s="45" t="inlineStr">
        <is>
          <t>Alegado ou contestado</t>
        </is>
      </c>
      <c r="E105" s="45">
        <f>INDEX(Nodes!$B$2:$B$58,MATCH(A105,Nodes!$A$2:$A$58,0))</f>
        <v/>
      </c>
      <c r="F105" s="45">
        <f>INDEX(Nodes!$B$2:$B$58,MATCH(B105,Nodes!$A$2:$A$58,0))</f>
        <v/>
      </c>
    </row>
    <row r="106" ht="15" customHeight="1" s="25">
      <c r="A106" s="45" t="inlineStr">
        <is>
          <t>dono</t>
        </is>
      </c>
      <c r="B106" s="45" t="inlineStr">
        <is>
          <t>willer</t>
        </is>
      </c>
      <c r="C106" s="45" t="inlineStr">
        <is>
          <t>Testemunha: Flávio apresentou Willer como sócio (2020)</t>
        </is>
      </c>
      <c r="D106" s="45" t="inlineStr">
        <is>
          <t>Alegado ou contestado</t>
        </is>
      </c>
      <c r="E106" s="45">
        <f>INDEX(Nodes!$B$2:$B$58,MATCH(A106,Nodes!$A$2:$A$58,0))</f>
        <v/>
      </c>
      <c r="F106" s="45">
        <f>INDEX(Nodes!$B$2:$B$58,MATCH(B106,Nodes!$A$2:$A$58,0))</f>
        <v/>
      </c>
    </row>
    <row r="107" ht="15" customHeight="1" s="25">
      <c r="A107" s="45" t="inlineStr">
        <is>
          <t>richarlison</t>
        </is>
      </c>
      <c r="B107" s="45" t="inlineStr">
        <is>
          <t>flavio</t>
        </is>
      </c>
      <c r="C107" s="45" t="inlineStr">
        <is>
          <t>Diz que Flávio e Willer pegaram posse da casa em 24h sem pagar</t>
        </is>
      </c>
      <c r="D107" s="45" t="inlineStr">
        <is>
          <t>Alegado ou contestado</t>
        </is>
      </c>
      <c r="E107" s="45">
        <f>INDEX(Nodes!$B$2:$B$58,MATCH(A107,Nodes!$A$2:$A$58,0))</f>
        <v/>
      </c>
      <c r="F107" s="45">
        <f>INDEX(Nodes!$B$2:$B$58,MATCH(B107,Nodes!$A$2:$A$58,0))</f>
        <v/>
      </c>
    </row>
    <row r="108" ht="15" customHeight="1" s="25">
      <c r="A108" s="45" t="inlineStr">
        <is>
          <t>richarlison</t>
        </is>
      </c>
      <c r="B108" s="45" t="inlineStr">
        <is>
          <t>willer</t>
        </is>
      </c>
      <c r="C108" s="45" t="inlineStr">
        <is>
          <t>Diz que Flávio e Willer pegaram posse da casa em 24h sem pagar</t>
        </is>
      </c>
      <c r="D108" s="45" t="inlineStr">
        <is>
          <t>Alegado ou contestado</t>
        </is>
      </c>
      <c r="E108" s="45">
        <f>INDEX(Nodes!$B$2:$B$58,MATCH(A108,Nodes!$A$2:$A$58,0))</f>
        <v/>
      </c>
      <c r="F108" s="45">
        <f>INDEX(Nodes!$B$2:$B$58,MATCH(B108,Nodes!$A$2:$A$58,0))</f>
        <v/>
      </c>
    </row>
    <row r="109" ht="15" customHeight="1" s="25">
      <c r="A109" s="45" t="inlineStr">
        <is>
          <t>kevin</t>
        </is>
      </c>
      <c r="B109" s="45" t="inlineStr">
        <is>
          <t>triplex</t>
        </is>
      </c>
      <c r="C109" s="45" t="inlineStr">
        <is>
          <t>Segundo a Piauí, ia às festas com o pai</t>
        </is>
      </c>
      <c r="D109" s="45" t="inlineStr">
        <is>
          <t>Alegado ou contestado</t>
        </is>
      </c>
      <c r="E109" s="45">
        <f>INDEX(Nodes!$B$2:$B$58,MATCH(A109,Nodes!$A$2:$A$58,0))</f>
        <v/>
      </c>
      <c r="F109" s="45">
        <f>INDEX(Nodes!$B$2:$B$58,MATCH(B109,Nodes!$A$2:$A$58,0))</f>
        <v/>
      </c>
    </row>
    <row r="110" ht="15" customHeight="1" s="25">
      <c r="A110" s="45" t="inlineStr">
        <is>
          <t>nunes</t>
        </is>
      </c>
      <c r="B110" s="45" t="inlineStr">
        <is>
          <t>master</t>
        </is>
      </c>
      <c r="C110" s="45" t="inlineStr">
        <is>
          <t>Voto de desempate em julgamento de interesse do Master</t>
        </is>
      </c>
      <c r="D110" s="45" t="inlineStr">
        <is>
          <t>Alegado ou contestado</t>
        </is>
      </c>
      <c r="E110" s="45">
        <f>INDEX(Nodes!$B$2:$B$58,MATCH(A110,Nodes!$A$2:$A$58,0))</f>
        <v/>
      </c>
      <c r="F110" s="45">
        <f>INDEX(Nodes!$B$2:$B$58,MATCH(B110,Nodes!$A$2:$A$58,0))</f>
        <v/>
      </c>
    </row>
    <row r="111" ht="23.25" customHeight="1" s="25">
      <c r="A111" s="45" t="inlineStr">
        <is>
          <t>vorcaro</t>
        </is>
      </c>
      <c r="B111" s="45" t="inlineStr">
        <is>
          <t>nunes</t>
        </is>
      </c>
      <c r="C111" s="45" t="inlineStr">
        <is>
          <t>Mensagens apontam presença nas festas; Nunes diz nunca ter trocado mensagens com ele</t>
        </is>
      </c>
      <c r="D111" s="45" t="inlineStr">
        <is>
          <t>Alegado ou contestado</t>
        </is>
      </c>
      <c r="E111" s="45">
        <f>INDEX(Nodes!$B$2:$B$58,MATCH(A111,Nodes!$A$2:$A$58,0))</f>
        <v/>
      </c>
      <c r="F111" s="45">
        <f>INDEX(Nodes!$B$2:$B$58,MATCH(B111,Nodes!$A$2:$A$58,0))</f>
        <v/>
      </c>
    </row>
    <row r="112" ht="15" customHeight="1" s="25">
      <c r="A112" s="45" t="inlineStr">
        <is>
          <t>advflavio</t>
        </is>
      </c>
      <c r="B112" s="45" t="inlineStr">
        <is>
          <t>jair</t>
        </is>
      </c>
      <c r="C112" s="45" t="inlineStr">
        <is>
          <t>Reunião no Planalto (2020) sobre derrubar a investigação</t>
        </is>
      </c>
      <c r="D112" s="45" t="inlineStr">
        <is>
          <t>Documentado</t>
        </is>
      </c>
      <c r="E112" s="45">
        <f>INDEX(Nodes!$B$2:$B$58,MATCH(A112,Nodes!$A$2:$A$58,0))</f>
        <v/>
      </c>
      <c r="F112" s="45">
        <f>INDEX(Nodes!$B$2:$B$58,MATCH(B112,Nodes!$A$2:$A$58,0))</f>
        <v/>
      </c>
    </row>
    <row r="113" ht="15" customHeight="1" s="25">
      <c r="A113" s="45" t="inlineStr">
        <is>
          <t>advflavio</t>
        </is>
      </c>
      <c r="B113" s="45" t="inlineStr">
        <is>
          <t>flavio</t>
        </is>
      </c>
      <c r="C113" s="45" t="inlineStr">
        <is>
          <t>Advogadas dele</t>
        </is>
      </c>
      <c r="D113" s="45" t="inlineStr">
        <is>
          <t>Documentado</t>
        </is>
      </c>
      <c r="E113" s="45">
        <f>INDEX(Nodes!$B$2:$B$58,MATCH(A113,Nodes!$A$2:$A$58,0))</f>
        <v/>
      </c>
      <c r="F113" s="45">
        <f>INDEX(Nodes!$B$2:$B$58,MATCH(B113,Nodes!$A$2:$A$58,0))</f>
        <v/>
      </c>
    </row>
    <row r="114" ht="15" customHeight="1" s="25">
      <c r="A114" s="45" t="inlineStr">
        <is>
          <t>ciro</t>
        </is>
      </c>
      <c r="B114" s="45" t="inlineStr">
        <is>
          <t>nunes</t>
        </is>
      </c>
      <c r="C114" s="45" t="inlineStr">
        <is>
          <t>Teria influenciado a escolha para o STF</t>
        </is>
      </c>
      <c r="D114" s="45" t="inlineStr">
        <is>
          <t>Alegado ou contestado</t>
        </is>
      </c>
      <c r="E114" s="45">
        <f>INDEX(Nodes!$B$2:$B$58,MATCH(A114,Nodes!$A$2:$A$58,0))</f>
        <v/>
      </c>
      <c r="F114" s="45">
        <f>INDEX(Nodes!$B$2:$B$58,MATCH(B114,Nodes!$A$2:$A$58,0))</f>
        <v/>
      </c>
    </row>
    <row r="115" ht="15" customHeight="1" s="25">
      <c r="A115" s="45" t="inlineStr">
        <is>
          <t>ciro</t>
        </is>
      </c>
      <c r="B115" s="45" t="inlineStr">
        <is>
          <t>flavio</t>
        </is>
      </c>
      <c r="C115" s="45" t="inlineStr">
        <is>
          <t>Teria influenciado a escolha de Nunes junto com ele</t>
        </is>
      </c>
      <c r="D115" s="45" t="inlineStr">
        <is>
          <t>Alegado ou contestado</t>
        </is>
      </c>
      <c r="E115" s="45">
        <f>INDEX(Nodes!$B$2:$B$58,MATCH(A115,Nodes!$A$2:$A$58,0))</f>
        <v/>
      </c>
      <c r="F115" s="45">
        <f>INDEX(Nodes!$B$2:$B$58,MATCH(B115,Nodes!$A$2:$A$58,0))</f>
        <v/>
      </c>
    </row>
    <row r="116" ht="15" customHeight="1" s="25">
      <c r="A116" s="45" t="inlineStr">
        <is>
          <t>stf</t>
        </is>
      </c>
      <c r="B116" s="45" t="inlineStr">
        <is>
          <t>nunes</t>
        </is>
      </c>
      <c r="C116" s="45" t="inlineStr">
        <is>
          <t>Ministro</t>
        </is>
      </c>
      <c r="D116" s="45" t="inlineStr">
        <is>
          <t>Documentado</t>
        </is>
      </c>
      <c r="E116" s="45">
        <f>INDEX(Nodes!$B$2:$B$58,MATCH(A116,Nodes!$A$2:$A$58,0))</f>
        <v/>
      </c>
      <c r="F116" s="45">
        <f>INDEX(Nodes!$B$2:$B$58,MATCH(B116,Nodes!$A$2:$A$58,0))</f>
        <v/>
      </c>
    </row>
    <row r="117" ht="15" customHeight="1" s="25">
      <c r="A117" s="45" t="inlineStr">
        <is>
          <t>stf</t>
        </is>
      </c>
      <c r="B117" s="45" t="inlineStr">
        <is>
          <t>lulinha</t>
        </is>
      </c>
      <c r="C117" s="45" t="inlineStr">
        <is>
          <t>3 inquéritos abertos no governo do pai</t>
        </is>
      </c>
      <c r="D117" s="45" t="inlineStr">
        <is>
          <t>Documentado</t>
        </is>
      </c>
      <c r="E117" s="45">
        <f>INDEX(Nodes!$B$2:$B$58,MATCH(A117,Nodes!$A$2:$A$58,0))</f>
        <v/>
      </c>
      <c r="F117" s="45">
        <f>INDEX(Nodes!$B$2:$B$58,MATCH(B117,Nodes!$A$2:$A$58,0))</f>
        <v/>
      </c>
    </row>
    <row r="118" ht="15" customHeight="1" s="25">
      <c r="A118" s="45" t="inlineStr">
        <is>
          <t>stf</t>
        </is>
      </c>
      <c r="B118" s="45" t="inlineStr">
        <is>
          <t>flavio</t>
        </is>
      </c>
      <c r="C118" s="45" t="inlineStr">
        <is>
          <t>Investigado no Supremo pelo dinheiro do filme</t>
        </is>
      </c>
      <c r="D118" s="45" t="inlineStr">
        <is>
          <t>Documentado</t>
        </is>
      </c>
      <c r="E118" s="45">
        <f>INDEX(Nodes!$B$2:$B$58,MATCH(A118,Nodes!$A$2:$A$58,0))</f>
        <v/>
      </c>
      <c r="F118" s="45">
        <f>INDEX(Nodes!$B$2:$B$58,MATCH(B118,Nodes!$A$2:$A$58,0))</f>
        <v/>
      </c>
    </row>
    <row r="119" ht="15" customHeight="1" s="25">
      <c r="A119" s="45" t="inlineStr">
        <is>
          <t>stf</t>
        </is>
      </c>
      <c r="B119" s="45" t="inlineStr">
        <is>
          <t>coaf</t>
        </is>
      </c>
      <c r="C119" s="45" t="inlineStr">
        <is>
          <t>Anulou os relatórios (nov/2021)</t>
        </is>
      </c>
      <c r="D119" s="45" t="inlineStr">
        <is>
          <t>Documentado</t>
        </is>
      </c>
      <c r="E119" s="45">
        <f>INDEX(Nodes!$B$2:$B$58,MATCH(A119,Nodes!$A$2:$A$58,0))</f>
        <v/>
      </c>
      <c r="F119" s="45">
        <f>INDEX(Nodes!$B$2:$B$58,MATCH(B119,Nodes!$A$2:$A$58,0))</f>
        <v/>
      </c>
    </row>
    <row r="120" ht="15" customHeight="1" s="25">
      <c r="A120" s="45" t="inlineStr">
        <is>
          <t>tse</t>
        </is>
      </c>
      <c r="B120" s="45" t="inlineStr">
        <is>
          <t>nunes</t>
        </is>
      </c>
      <c r="C120" s="45" t="inlineStr">
        <is>
          <t>Preside</t>
        </is>
      </c>
      <c r="D120" s="45" t="inlineStr">
        <is>
          <t>Documentado</t>
        </is>
      </c>
      <c r="E120" s="45">
        <f>INDEX(Nodes!$B$2:$B$58,MATCH(A120,Nodes!$A$2:$A$58,0))</f>
        <v/>
      </c>
      <c r="F120" s="45">
        <f>INDEX(Nodes!$B$2:$B$58,MATCH(B120,Nodes!$A$2:$A$58,0))</f>
        <v/>
      </c>
    </row>
  </sheetData>
  <autoFilter ref="A1:F12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24" min="1" max="1"/>
  </cols>
  <sheetData>
    <row r="1" ht="15" customHeight="1" s="25">
      <c r="A1" s="46" t="inlineStr">
        <is>
          <t>Notes</t>
        </is>
      </c>
    </row>
    <row r="2" ht="15" customHeight="1" s="25">
      <c r="A2" s="45" t="inlineStr">
        <is>
          <t>Source: transcrição do vídeo do canal Revelando (fornecida pela usuária) e reportagens citadas na conversa.</t>
        </is>
      </c>
    </row>
    <row r="3" ht="23.25" customHeight="1" s="25">
      <c r="A3" s="45" t="inlineStr">
        <is>
          <t>Status “Documentado”: o vídeo apresenta como fato ou relatório da PF/imprensa. “Alegado ou contestado”: hipótese, suspeita ou algo que o citado nega.</t>
        </is>
      </c>
    </row>
    <row r="4" ht="15" customHeight="1" s="25">
      <c r="A4" s="45" t="inlineStr">
        <is>
          <t>Todas as pessoas e empresas citadas negam ou contestam irregularidades; nada aqui é condenação.</t>
        </is>
      </c>
    </row>
    <row r="5" ht="15" customHeight="1" s="25">
      <c r="A5" s="45" t="inlineStr">
        <is>
          <t>Alguns nomes vêm de transcrição automática e podem estar grafados de forma imprecisa (ex.: Willer Tomás/Tomaz, Roberta).</t>
        </is>
      </c>
    </row>
    <row r="6" ht="15" customHeight="1" s="25">
      <c r="A6" s="45" t="inlineStr">
        <is>
          <t>“Ciro Nogueira” aparece como “Círio Nogueira” na transcrição; a identificação é inferida do contexto (Folha, 2020).</t>
        </is>
      </c>
    </row>
    <row r="7" ht="15" customHeight="1" s="25">
      <c r="A7" s="45" t="inlineStr">
        <is>
          <t>Valores monetários mensais do promoter e do diretor jurídico estão ilegíveis na transcrição e foram omitidos.</t>
        </is>
      </c>
    </row>
    <row r="8" ht="23.25" customHeight="1" s="25">
      <c r="A8" s="45" t="inlineStr">
        <is>
          <t>Não incluídos por não serem nomeados no vídeo: terceiro cotista do jato, sócio do Careca no exterior, amiga que cobrou Vorcaro, e as mulheres individualmente.</t>
        </is>
      </c>
    </row>
    <row r="9" ht="15" customHeight="1" s="25">
      <c r="A9" s="45" t="inlineStr">
        <is>
          <t>Pronto para importar em ferramentas de grafos: Nodes (Id, Label) e Edges (Source, Target) seguem o padrão do Gephi/Kumu.</t>
        </is>
      </c>
    </row>
    <row r="10" ht="15" customHeight="1" s="25">
      <c r="A10" s="45" t="inlineStr">
        <is>
          <t>Degree (Nodes) e nomes (Edges) são fórmulas; recalculam se você editar as abas.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2026-10-20T16:05:06Z</dcterms:created>
  <dcterms:modified xmlns:dcterms="http://purl.org/dc/terms/" xmlns:xsi="http://www.w3.org/2001/XMLSchema-instance" xsi:type="dcterms:W3CDTF">2026-10-20T22:40:17Z</dcterms:modified>
  <cp:revision>0</cp:revision>
</cp:coreProperties>
</file>