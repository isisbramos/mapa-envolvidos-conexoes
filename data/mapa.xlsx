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9</v>
                </pt>
                <pt idx="3">
                  <v>11</v>
                </pt>
                <pt idx="4">
                  <v>8</v>
                </pt>
              </numCache>
            </numRef>
          </val>
        </ser>
        <gapWidth val="150"/>
        <overlap val="0"/>
        <axId val="17391643"/>
        <axId val="28576625"/>
      </barChart>
      <catAx>
        <axId val="17391643"/>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8576625"/>
        <crosses val="autoZero"/>
        <auto val="1"/>
        <lblAlgn val="ctr"/>
        <lblOffset val="100"/>
        <noMultiLvlLbl val="0"/>
      </catAx>
      <valAx>
        <axId val="28576625"/>
        <scaling>
          <orientation val="minMax"/>
        </scaling>
        <delete val="0"/>
        <axPos val="l"/>
        <majorGridlines>
          <spPr>
            <a:ln xmlns:a="http://schemas.openxmlformats.org/drawingml/2006/main" w="0">
              <a:solidFill>
                <a:srgbClr val="b3b3b3"/>
              </a:solidFill>
              <a:prstDash val="solid"/>
            </a:ln>
          </spPr>
        </majorGridlines>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391643"/>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3237120</colOff>
      <row>22</row>
      <rowOff>75960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5" min="1" max="1"/>
    <col width="10" customWidth="1" style="25" min="2" max="2"/>
    <col width="110" customWidth="1" style="25" min="3" max="3"/>
  </cols>
  <sheetData>
    <row r="1" ht="17.25" customHeight="1" s="26">
      <c r="A1" s="27" t="inlineStr">
        <is>
          <t>Mapa de envolvidos: situação jurídica por estágio</t>
        </is>
      </c>
    </row>
    <row r="2" ht="15" customHeight="1" s="26">
      <c r="A2" s="28" t="inlineStr">
        <is>
          <t>Pesquisa em fontes públicas, atualizada em 26/10/2026 (revisão pós-2º turno; revisão 3, com o acervo a verdade., em 21/10/2026). Estágio ≠ culpa: só os "Condenado" têm decisão condenatória.</t>
        </is>
      </c>
    </row>
    <row r="4" ht="15" customHeight="1" s="26">
      <c r="A4" s="29" t="inlineStr">
        <is>
          <t>Estágio</t>
        </is>
      </c>
      <c r="B4" s="29" t="inlineStr">
        <is>
          <t>Pessoas</t>
        </is>
      </c>
      <c r="C4" s="29" t="inlineStr">
        <is>
          <t>Quem</t>
        </is>
      </c>
    </row>
    <row r="5" ht="15" customHeight="1" s="26">
      <c r="A5" s="30" t="inlineStr">
        <is>
          <t>Condenado</t>
        </is>
      </c>
      <c r="B5" s="25">
        <f>COUNTIF(Perfis!$H$2:$H$36,A5)</f>
        <v/>
      </c>
      <c r="C5" s="31" t="inlineStr">
        <is>
          <t>Jair Messias Bolsonaro; Alexandre Ramagem; Augusto Heleno</t>
        </is>
      </c>
    </row>
    <row r="6" ht="15" customHeight="1" s="26">
      <c r="A6" s="32" t="inlineStr">
        <is>
          <t>Preso, sem condenação</t>
        </is>
      </c>
      <c r="B6" s="25">
        <f>COUNTIF(Perfis!$H$2:$H$36,A6)</f>
        <v/>
      </c>
      <c r="C6" s="31" t="inlineStr">
        <is>
          <t>Antônio Carlos Camilo Antunes; Alexandre Caetano dos Reis; Daniel Vorcaro; Fabiano Campos Zettel</t>
        </is>
      </c>
    </row>
    <row r="7" ht="27.75" customHeight="1" s="26">
      <c r="A7" s="33" t="inlineStr">
        <is>
          <t>Investigado / alvo (sem denúncia)</t>
        </is>
      </c>
      <c r="B7" s="25">
        <f>COUNTIF(Perfis!$H$2:$H$36,A7)</f>
        <v/>
      </c>
      <c r="C7" s="31" t="inlineStr">
        <is>
          <t>Fábio Luís Lula da Silva; Roberta Moreira Luchsinger; Willer Tomaz; Flávio Bolsonaro; Carlos Bolsonaro; Frederick Wassef; Ciro Nogueira; Mario Frias; Weverton Rocha</t>
        </is>
      </c>
    </row>
    <row r="8" ht="27.75" customHeight="1" s="26">
      <c r="A8" s="34" t="inlineStr">
        <is>
          <t>Citado, sem acusação</t>
        </is>
      </c>
      <c r="B8" s="25">
        <f>COUNTIF(Perfis!$H$2:$H$36,A8)</f>
        <v/>
      </c>
      <c r="C8" s="31" t="inlineStr">
        <is>
          <t>Letícia Caetano dos Reis; Lídia Maria Figueiredo Mazelli; Renan Calheiros; Fabrício José Carlos de Queiroz; Richarlison; Kassio Nunes Marques; Kevin Marques; Sergio Fernando Moro; André Mendonça; Fábio Faria; Alfredo Gaspar</t>
        </is>
      </c>
    </row>
    <row r="9" ht="27.75" customHeight="1" s="26">
      <c r="A9" s="35" t="inlineStr">
        <is>
          <t>Não pesquisado</t>
        </is>
      </c>
      <c r="B9" s="25">
        <f>COUNTIF(Perfis!$H$2:$H$36,A9)</f>
        <v/>
      </c>
      <c r="C9" s="31" t="inlineStr">
        <is>
          <t>Mulher e filhas de Flávio; advogadas de Flávio; diretor jurídico; promoter; mordomo; mulheres das festas; eletricista; Antônio Marcos da Silva (sem fonte pública confirmada)</t>
        </is>
      </c>
    </row>
    <row r="10" ht="15" customHeight="1" s="26">
      <c r="A10" s="36" t="inlineStr">
        <is>
          <t>Total</t>
        </is>
      </c>
      <c r="B10" s="36">
        <f>SUM(B5:B9)</f>
        <v/>
      </c>
    </row>
    <row r="28" ht="15" customHeight="1" s="26">
      <c r="A28" s="36" t="inlineStr">
        <is>
          <t>Notas de método</t>
        </is>
      </c>
    </row>
    <row r="29" ht="30" customHeight="1" s="26">
      <c r="A29" s="31" t="inlineStr">
        <is>
          <t>• Pessoas privadas, menores e não nomeadas (família de Flávio, mulheres das festas, promoter, mordomo, eletricista, advogadas, diretor jurídico) não foram pesquisadas.</t>
        </is>
      </c>
    </row>
    <row r="30" ht="30" customHeight="1" s="26">
      <c r="A30" s="31" t="inlineStr">
        <is>
          <t>• Localização é só cidade/UF noticiada, sem endereço residencial. Vivo/morto reflete as notícias mais recentes que achei; não encontrei registro de morte de ninguém.</t>
        </is>
      </c>
    </row>
    <row r="31" ht="30" customHeight="1" s="26">
      <c r="A31" s="31" t="inlineStr">
        <is>
          <t>• "Milícia": só aparece vínculo apurado no caso Queiroz (transferências de Adriano da Nóbrega). Nenhuma fonte acusa Queiroz de integrar milícia.</t>
        </is>
      </c>
    </row>
    <row r="32" ht="30" customHeight="1" s="26">
      <c r="A32" s="31" t="inlineStr">
        <is>
          <t>• Vários detalhes de 2026 vêm de manchetes ou de reportagens sem confirmação cruzada; marquei como "não confirmado" onde não consegui abrir a fonte.</t>
        </is>
      </c>
    </row>
    <row r="33" ht="30" customHeight="1" s="26">
      <c r="A33" s="31" t="inlineStr">
        <is>
          <t>• Contexto eleitoral (revisão 2): 1º turno em 04/10/2026; Flávio (47,03%) e Lula (45,16%) vão ao 2º turno em 25/10. Moro foi eleito governador do PR e Carlos, senador por SC; Renan perdeu a reeleição.</t>
        </is>
      </c>
    </row>
    <row r="34" ht="30" customHeight="1" s="26">
      <c r="A34" s="31" t="inlineStr">
        <is>
          <t>• Contexto eleitoral (revisão pós-2º turno, 26/10/2026): Lula foi reeleito em 25/10/2026 com 51,79% dos votos válidos (64.256.232) contra 48,21% de Flávio Bolsonaro (59.826.041), segundo o TSE. Flávio disse que não reconhece o resultado e que vai pedir a anulação, por causa da prorrogação do horário de votação determinada pelo ministro Zanin (STF); o presidente do TSE disse que a decisão não alterou o resultado. Ciro Nogueira não se reelegeu senador (04/10); Mario Frias foi reeleito deputado federal (04/10).</t>
        </is>
      </c>
    </row>
    <row r="35" ht="28.35" customHeight="1" s="26">
      <c r="A35" s="31"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9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5" min="1" max="1"/>
    <col width="26" customWidth="1" style="25" min="2" max="2"/>
    <col width="22" customWidth="1" style="25" min="3" max="3"/>
    <col width="70" customWidth="1" style="25" min="4" max="4"/>
    <col width="34" customWidth="1" style="25" min="5" max="5"/>
    <col width="22" customWidth="1" style="25" min="6" max="6"/>
    <col width="56" customWidth="1" style="25" min="7" max="7"/>
    <col width="24" customWidth="1" style="25" min="8" max="8"/>
    <col width="42" customWidth="1" style="25" min="9" max="9"/>
    <col width="44" customWidth="1" style="25" min="10" max="10"/>
    <col width="70" customWidth="1" style="25" min="11" max="11"/>
    <col width="12" customWidth="1" style="25" min="12" max="12"/>
    <col width="38" customWidth="1" style="25" min="13" max="13"/>
  </cols>
  <sheetData>
    <row r="1" ht="30" customHeight="1" s="26">
      <c r="A1" s="37" t="inlineStr">
        <is>
          <t>Id</t>
        </is>
      </c>
      <c r="B1" s="37" t="inlineStr">
        <is>
          <t>Nome</t>
        </is>
      </c>
      <c r="C1" s="37" t="inlineStr">
        <is>
          <t>Grupo</t>
        </is>
      </c>
      <c r="D1" s="37" t="inlineStr">
        <is>
          <t>Quem é / histórico</t>
        </is>
      </c>
      <c r="E1" s="37" t="inlineStr">
        <is>
          <t>Onde atua ou vive (nível cidade/UF)</t>
        </is>
      </c>
      <c r="F1" s="37" t="inlineStr">
        <is>
          <t>Vivo ou morto</t>
        </is>
      </c>
      <c r="G1" s="37" t="inlineStr">
        <is>
          <t>Situação jurídica</t>
        </is>
      </c>
      <c r="H1" s="37" t="inlineStr">
        <is>
          <t>Estágio</t>
        </is>
      </c>
      <c r="I1" s="37" t="inlineStr">
        <is>
          <t>Milícia?</t>
        </is>
      </c>
      <c r="J1" s="37" t="inlineStr">
        <is>
          <t>Divergências com a planilha / ressalvas</t>
        </is>
      </c>
      <c r="K1" s="37" t="inlineStr">
        <is>
          <t>Fontes</t>
        </is>
      </c>
      <c r="L1" s="37" t="inlineStr">
        <is>
          <t>Checado em</t>
        </is>
      </c>
      <c r="M1" s="37" t="inlineStr">
        <is>
          <t>Mudou nesta revisão</t>
        </is>
      </c>
      <c r="N1" s="25" t="inlineStr">
        <is>
          <t>Foto (arquivo)</t>
        </is>
      </c>
      <c r="O1" s="25" t="inlineStr">
        <is>
          <t>Crédito da foto</t>
        </is>
      </c>
      <c r="P1" s="25" t="inlineStr">
        <is>
          <t>Link da fonte da foto</t>
        </is>
      </c>
    </row>
    <row r="2" ht="135.75" customHeight="1" s="26">
      <c r="A2" s="38" t="inlineStr">
        <is>
          <t>careca</t>
        </is>
      </c>
      <c r="B2" s="39" t="inlineStr">
        <is>
          <t>Antônio Carlos Camilo Antunes ("Careca do INSS")</t>
        </is>
      </c>
      <c r="C2" s="38" t="inlineStr">
        <is>
          <t>Esquema do INSS</t>
        </is>
      </c>
      <c r="D2" s="38"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8" t="inlineStr">
        <is>
          <t>Complexo da Papuda, Brasília (DF), ala de vulneráveis (Bloco V) desde jan/2026</t>
        </is>
      </c>
      <c r="F2" s="38" t="inlineStr">
        <is>
          <t>Vivo (preso; confirmado em 09/09/2026)</t>
        </is>
      </c>
      <c r="G2" s="38"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40" t="inlineStr">
        <is>
          <t>Preso, sem condenação</t>
        </is>
      </c>
      <c r="I2" s="38" t="inlineStr">
        <is>
          <t>Nada nas fontes.</t>
        </is>
      </c>
      <c r="J2" s="38" t="inlineStr">
        <is>
          <t>—</t>
        </is>
      </c>
      <c r="K2" s="38"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8" t="inlineStr">
        <is>
          <t>20/10/2026</t>
        </is>
      </c>
      <c r="M2" s="38" t="inlineStr">
        <is>
          <t>Confirmado preso em 09/09/2026; local, idade e decisão de jan/2026 adicionados. 21/10/2026: importado do acervo a verdade. (bolsomaster.site).</t>
        </is>
      </c>
      <c r="N2" s="25" t="inlineStr">
        <is>
          <t>careca.jpg</t>
        </is>
      </c>
      <c r="O2" s="25" t="inlineStr">
        <is>
          <t>Edilson Rodrigues/Agência Senado · CC BY-SA 4.0</t>
        </is>
      </c>
      <c r="P2" s="25" t="inlineStr">
        <is>
          <t>https://commons.wikimedia.org/wiki/File:CPMI_-_INSS_-_Comissão_Parlamentar_Mista_de_Inquérito_do_INSS_-_2025_(54811232041)_(cropped).jpg</t>
        </is>
      </c>
    </row>
    <row r="3" ht="41.25" customHeight="1" s="26">
      <c r="A3" s="38" t="inlineStr">
        <is>
          <t>contador</t>
        </is>
      </c>
      <c r="B3" s="39" t="inlineStr">
        <is>
          <t>Alexandre Caetano dos Reis</t>
        </is>
      </c>
      <c r="C3" s="38" t="inlineStr">
        <is>
          <t>Esquema do INSS</t>
        </is>
      </c>
      <c r="D3" s="38" t="inlineStr">
        <is>
          <t>Contador, dono da Voga Serviços Contábeis; cuida também da contabilidade do escritório de advocacia de Flávio. Segundo reportagem, era sócio do Careca em offshore nas Ilhas Virgens Britânicas.</t>
        </is>
      </c>
      <c r="E3" s="38" t="inlineStr">
        <is>
          <t>Brasília/Águas Claras (DF) – escritório; hoje preso (Papuda, segundo Bahia Notícias)</t>
        </is>
      </c>
      <c r="F3" s="38" t="inlineStr">
        <is>
          <t>Vivo (preso)</t>
        </is>
      </c>
      <c r="G3" s="38" t="inlineStr">
        <is>
          <t>Preso em dez/2025 em desdobramento do caso INSS. Willer Tomaz tem procuração nos autos para defendê-lo. Sem condenação nas fontes.</t>
        </is>
      </c>
      <c r="H3" s="40" t="inlineStr">
        <is>
          <t>Preso, sem condenação</t>
        </is>
      </c>
      <c r="I3" s="38" t="inlineStr">
        <is>
          <t>Nada nas fontes.</t>
        </is>
      </c>
      <c r="J3" s="38" t="inlineStr">
        <is>
          <t>Resposta do citado: não localizada nas fontes consultadas (checagem de 23/10/2026). Pedidos de correção ou resposta: ver “Sobre este mapa”.</t>
        </is>
      </c>
      <c r="K3" s="38"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8" t="inlineStr">
        <is>
          <t>20/10/2026</t>
        </is>
      </c>
      <c r="M3" s="38" t="inlineStr">
        <is>
          <t>21/10/2026: importado do acervo a verdade. (bolsomaster.site). 23/10/2026: campo de resposta do citado incluído.</t>
        </is>
      </c>
    </row>
    <row r="4" ht="41.25" customHeight="1" s="26">
      <c r="A4" s="38" t="inlineStr">
        <is>
          <t>leticia</t>
        </is>
      </c>
      <c r="B4" s="39" t="inlineStr">
        <is>
          <t>Letícia Caetano dos Reis</t>
        </is>
      </c>
      <c r="C4" s="38" t="inlineStr">
        <is>
          <t>Esquema do INSS</t>
        </is>
      </c>
      <c r="D4" s="38" t="inlineStr">
        <is>
          <t>Irmã do contador Alexandre Caetano dos Reis; é a administradora registrada do escritório de advocacia de Flávio na Receita. Em entrevista à Agência Pública (2022) disse que chegou ao escritório por indicação de Willer Tomaz; Willer disse à reportagem que não a conhece.</t>
        </is>
      </c>
      <c r="E4" s="38" t="inlineStr">
        <is>
          <t>Brasília/Águas Claras (DF) – local do escritório</t>
        </is>
      </c>
      <c r="F4" s="38" t="inlineStr">
        <is>
          <t>Vivo (sem registro de morte)</t>
        </is>
      </c>
      <c r="G4" s="38" t="inlineStr">
        <is>
          <t>Sem prisão, acusação ou investigação formal noticiada nas fontes que li. Aparece pelo vínculo familiar e profissional.</t>
        </is>
      </c>
      <c r="H4" s="41" t="inlineStr">
        <is>
          <t>Citado, sem acusação</t>
        </is>
      </c>
      <c r="I4" s="38" t="inlineStr">
        <is>
          <t>Nada nas fontes.</t>
        </is>
      </c>
      <c r="J4" s="38" t="inlineStr">
        <is>
          <t>Pessoa privada: mantive só o papel público no caso. 23/10/2026: retirei "desde 2021" (a Pública não informa quando ela começou) e incluí a negativa de Willer.</t>
        </is>
      </c>
      <c r="K4" s="38" t="inlineStr">
        <is>
          <t>Agência Pública (06/2022) https://apublica.org/2022/06/firma-de-advocacia-de-flavio-bolsonaro-tem-contratos-consideraveis-diz-administradora/ | Bahia Notícias (levantamento do ICL) https://www.bahianoticias.com.br/noticia/321055-empresas-de-flavio-bolsonaro-e-do-careca-do-inss-dividem-a-mesma-sala-e-possuem-o-mesmo-contador</t>
        </is>
      </c>
      <c r="L4" s="38" t="inlineStr">
        <is>
          <t>23/10/2026</t>
        </is>
      </c>
      <c r="M4" s="38" t="inlineStr">
        <is>
          <t>23/10/2026: fontes completadas; negativa de Willer incluída.</t>
        </is>
      </c>
    </row>
    <row r="5" ht="81.75" customHeight="1" s="26">
      <c r="A5" s="38" t="inlineStr">
        <is>
          <t>lulinha</t>
        </is>
      </c>
      <c r="B5" s="39" t="inlineStr">
        <is>
          <t>Fábio Luís Lula da Silva ("Lulinha")</t>
        </is>
      </c>
      <c r="C5" s="38" t="inlineStr">
        <is>
          <t>Esquema do INSS</t>
        </is>
      </c>
      <c r="D5" s="38"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8" t="inlineStr">
        <is>
          <t>Não confirmado nas fontes</t>
        </is>
      </c>
      <c r="F5" s="38" t="inlineStr">
        <is>
          <t>Vivo</t>
        </is>
      </c>
      <c r="G5" s="38"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2" t="inlineStr">
        <is>
          <t>Investigado / alvo (sem denúncia)</t>
        </is>
      </c>
      <c r="I5" s="38" t="inlineStr">
        <is>
          <t>Nada nas fontes.</t>
        </is>
      </c>
      <c r="J5" s="38" t="inlineStr">
        <is>
          <t>Planilha diz "3 inquéritos no STF"; nas fontes que li aparece 1 inquérito (INSS) com citações a ele. Vale revisar esse número.</t>
        </is>
      </c>
      <c r="K5" s="38"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8" t="inlineStr">
        <is>
          <t>20/10/2026</t>
        </is>
      </c>
      <c r="M5" s="38" t="inlineStr">
        <is>
          <t>Adicionadas as falas de Roberta (17/10/2026) e a resposta da defesa.</t>
        </is>
      </c>
    </row>
    <row r="6" ht="81.75" customHeight="1" s="26">
      <c r="A6" s="38" t="inlineStr">
        <is>
          <t>roberta</t>
        </is>
      </c>
      <c r="B6" s="39" t="inlineStr">
        <is>
          <t>Roberta Moreira Luchsinger</t>
        </is>
      </c>
      <c r="C6" s="38" t="inlineStr">
        <is>
          <t>Esquema do INSS</t>
        </is>
      </c>
      <c r="D6" s="38" t="inlineStr">
        <is>
          <t>Lobista/consultora (RL Consultoria e Intermediações), amiga de Lulinha. Segundo o Correio da Manhã, teria recebido R$ 1,5 mi do Careca do INSS para tentar viabilizar um negócio de canabidiol com o Ministério da Saúde (o texto não atribui o valor à PF). Ela diz que os valores são honorários de consultoria e nega irregularidades; a defesa de Lulinha diz que ele não tem relação com os negócios dela. Depôs à PF em 20/05/2026 negando ter repassado valores a Lulinha.</t>
        </is>
      </c>
      <c r="E6" s="38" t="inlineStr">
        <is>
          <t>São Paulo (SP) – alvo de busca em Higienópolis em dez/2025</t>
        </is>
      </c>
      <c r="F6" s="38" t="inlineStr">
        <is>
          <t>Viva</t>
        </is>
      </c>
      <c r="G6" s="38"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2" t="inlineStr">
        <is>
          <t>Investigado / alvo (sem denúncia)</t>
        </is>
      </c>
      <c r="I6" s="38" t="inlineStr">
        <is>
          <t>Nada nas fontes.</t>
        </is>
      </c>
      <c r="J6" s="38" t="inlineStr">
        <is>
          <t>Planilha diz "~R$ 1 mi". Os R$ 1,5 mi vêm do Correio da Manhã, sem atribuição à PF; o Estado de Minas cita R$ 150 mil recebidos de Cleber Ribas. A afirmação anterior de que a PF chama a Brasília Consultoria Empresarial de empresa de fachada não foi confirmada nas matérias relidas em 23/10/2026 e foi retirada.</t>
        </is>
      </c>
      <c r="K6" s="38" t="inlineStr">
        <is>
          <t>Estado de Minas (08/2026) https://www.em.com.br/politica/2026/08/7483581-quem-e-roberta-luchsinger-a-lobista-investigada-pela-pf.html | Correio da Manhã (08/2026) https://www.correiodamanha.com.br/politica/2026/08/312474-pf-investiga-ate-onde-ia-atuacao-de-lobista-em-nome-de-lulinha.html | Poder360: amiga de Lulinha nega repasses à PF https://www.poder360.com.br/poder-justica/amiga-de-lulinha-nega-ter-repassado-valores-do-careca-do-inss-a-pf/ | Brasil Agro https://brasilagro.com.br/conteudo/pf-apura-se-lulinha-foi-socio-oculto-de-careca-do-inss.html | Gazeta do Povo: defesa de Lulinha https://www.gazetadopovo.com.br/republica/defesa-de-lulinha-nega-irregularidades-apos-declaracoes-de-lobista-roberta-luchsinger/</t>
        </is>
      </c>
      <c r="L6" s="38" t="inlineStr">
        <is>
          <t>23/10/2026</t>
        </is>
      </c>
      <c r="M6" s="38" t="inlineStr">
        <is>
          <t>Agora investigada por tráfico de influência e anuncia delação (17/10/2026). 23/10/2026: valores atribuídos à PF revisados; fontes completadas (revisão editorial).</t>
        </is>
      </c>
    </row>
    <row r="7" ht="122.25" customHeight="1" s="26">
      <c r="A7" s="38" t="inlineStr">
        <is>
          <t>willer</t>
        </is>
      </c>
      <c r="B7" s="39" t="inlineStr">
        <is>
          <t>Willer Tomaz</t>
        </is>
      </c>
      <c r="C7" s="38" t="inlineStr">
        <is>
          <t>Willer Tomaz e sua rede</t>
        </is>
      </c>
      <c r="D7" s="38"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 Em 23/10/2026 Moraes determinou o bloqueio de até R$ 6 bi em bens dele, a quebra dos sigilos bancário, fiscal e cambial, a suspensão dos passaportes e a paralisação das atividades de todas as empresas dele, incluindo a Alcazar; segundo a Agência Brasil, a PF apontou a viagem dele a Miami depois da busca de agosto. Relatório da Secretaria de Prêmios e Apostas (Fazenda), revelado pelo UOL, diz que ele foi a pessoa com o maior volume de depósitos em bets no país em 2025 (~R$ 5 bi apostados).</t>
        </is>
      </c>
      <c r="E7" s="38" t="inlineStr">
        <is>
          <t>Brasília (DF)</t>
        </is>
      </c>
      <c r="F7" s="38" t="inlineStr">
        <is>
          <t>Vivo</t>
        </is>
      </c>
      <c r="G7" s="38"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 Sobre o bloqueio (24/10/2026), a defesa chamou as medidas de desproporcionais, disse que os R$ 6 bi não correspondem ao patrimônio dele, que a suspensão das empresas é punição antes de acusação, rejeitou ligação com as fraudes do INSS e chamou de falsa a afirmação de que Flávio compartilhou recursos das empresas dele. Sobre as apostas, a defesa diz que “não há que se falar em lavagem”, que tudo passou pela conta dele, que ele processa a Blaze e que foi diagnosticado com ludopatia.</t>
        </is>
      </c>
      <c r="H7" s="42" t="inlineStr">
        <is>
          <t>Investigado / alvo (sem denúncia)</t>
        </is>
      </c>
      <c r="I7" s="38" t="inlineStr">
        <is>
          <t>Nada nas fontes.</t>
        </is>
      </c>
      <c r="J7" s="38" t="inlineStr">
        <is>
          <t>Data da saída do país não confirmada: o UOL News citou registros da PF de 21/08/2026 (chegada aos EUA em 22/08), mas a Fórum/Metrópoles (19/10) fala em viagem na semana anterior. A defesa diz que a Rede Loto nunca chegou a operar.</t>
        </is>
      </c>
      <c r="K7" s="38"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 | Agência Brasil 23/10/2026 (bloqueio de até R$ 6 bi) https://agenciabrasil.ebc.com.br/justica/noticia/2026-10/moraes-determina-bloqueio-de-ate-r-6-bilhoes-do-advogado-willer-tomaz | Jornal Grande Bahia 24/10/2026 (resposta da defesa ao bloqueio) https://jornalgrandebahia.com.br/2026/10/stf-bloqueia-ate-r-6-bilhoes-de-willer-tomaz-quebra-sigilos-de-empresas-e-aprofunda-investigacao-sobre-vinculos-com-flavio-bolsonaro/ | Diário do Nordeste 21/10/2026 (via UOL: apostas em 2025) https://diariodonordeste.verdesmares.com.br/pontopoder/willer-tomaz-foi-o-maior-apostador-do-pais-em-2025-com-r5-bilhoes-1.3800183</t>
        </is>
      </c>
      <c r="L7" s="38" t="inlineStr">
        <is>
          <t>26/10/2026</t>
        </is>
      </c>
      <c r="M7" s="38" t="inlineStr">
        <is>
          <t>Data de entrada no STF (08/10/2026), valores e confirmação da busca de ago/2026. 21/10/2026: importado do acervo a verdade. (bolsomaster.site). 22/10/2026: rodada UOL News (bets, Loterj, hangar, Weverton). 26/10/2026: bloqueio de até R$ 6 bi e outras medidas de Moraes (23/10); volume de apostas em 2025; respostas da defesa.</t>
        </is>
      </c>
      <c r="N7" s="25" t="inlineStr">
        <is>
          <t>willer.jpg</t>
        </is>
      </c>
      <c r="O7" s="25" t="inlineStr">
        <is>
          <t>Agência Senado · CC BY 2.0</t>
        </is>
      </c>
      <c r="P7" s="25" t="inlineStr">
        <is>
          <t>https://commons.wikimedia.org/wiki/File:Willer_Tomaz_de_Souza.jpg</t>
        </is>
      </c>
    </row>
    <row r="8" ht="81.75" customHeight="1" s="26">
      <c r="A8" s="38" t="inlineStr">
        <is>
          <t>lidia</t>
        </is>
      </c>
      <c r="B8" s="39" t="inlineStr">
        <is>
          <t>Lídia Maria Figueiredo Mazelli</t>
        </is>
      </c>
      <c r="C8" s="38" t="inlineStr">
        <is>
          <t>Willer Tomaz e sua rede</t>
        </is>
      </c>
      <c r="D8" s="38" t="inlineStr">
        <is>
          <t>Apontada pela Agência Pública (20/10/2026) como administradora de empresas de Willer Tomaz; em maio/2024 representava a Jet Line na compra da Direção Táxi Aéreo. Segundo o ICL Notícias (única fonte destes pontos):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8" t="inlineStr">
        <is>
          <t>Não informado</t>
        </is>
      </c>
      <c r="F8" s="38" t="inlineStr">
        <is>
          <t>Viva</t>
        </is>
      </c>
      <c r="G8" s="38" t="inlineStr">
        <is>
          <t>A reportagem não a acusa nem a apresenta como investigada; ela diz não ser investigada. Suspeitas recaem sobre Willer e as empresas (ex.: Loterj acusa a RioPag de não repassar R$ 20,9 mi ao estado).</t>
        </is>
      </c>
      <c r="H8" s="41" t="inlineStr">
        <is>
          <t>Citado, sem acusação</t>
        </is>
      </c>
      <c r="I8" s="38" t="inlineStr">
        <is>
          <t>Nada nas fontes.</t>
        </is>
      </c>
      <c r="J8" s="38" t="inlineStr">
        <is>
          <t>Planilha diz "diz ser doméstica": ela depois desmentiu isso. Hipótese de "laranja" é da reportagem, não está comprovada. 23/10/2026: a Pública não traz posicionamento dela; os pontos atribuídos ao ICL não foram confirmados por outro veículo (O Povo e Correio da Manhã não a citam). Retirei a idade.</t>
        </is>
      </c>
      <c r="K8" s="38" t="inlineStr">
        <is>
          <t>ICL Notícias https://iclnoticias.com.br/domestica-preside-empresas-fraude-flavio/ | Empresa ligada a Willer Tomaz foi administrada por diretor da Polícia Civil do DF (Agência Pública, 20/10/2026) https://apublica.org/?p=268402</t>
        </is>
      </c>
      <c r="L8" s="38" t="inlineStr">
        <is>
          <t>23/10/2026</t>
        </is>
      </c>
      <c r="M8" s="38" t="inlineStr">
        <is>
          <t>23/10/2026: segunda fonte (Pública); idade retirada; pontos exclusivos do ICL atribuídos.</t>
        </is>
      </c>
    </row>
    <row r="9" ht="95.25" customHeight="1" s="26">
      <c r="A9" s="38" t="inlineStr">
        <is>
          <t>renan</t>
        </is>
      </c>
      <c r="B9" s="39" t="inlineStr">
        <is>
          <t>Renan Calheiros</t>
        </is>
      </c>
      <c r="C9" s="38" t="inlineStr">
        <is>
          <t>Willer Tomaz e sua rede</t>
        </is>
      </c>
      <c r="D9" s="38"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8" t="inlineStr">
        <is>
          <t>Alagoas (AL)</t>
        </is>
      </c>
      <c r="F9" s="38" t="inlineStr">
        <is>
          <t>Vivo</t>
        </is>
      </c>
      <c r="G9" s="38" t="inlineStr">
        <is>
          <t>Sem condenação nas fontes; inquérito Postalis com status não confirmado. Resultado eleitoral baseado nos títulos de Poder360 e O Tempo (o corpo da matéria não abriu).</t>
        </is>
      </c>
      <c r="H9" s="41" t="inlineStr">
        <is>
          <t>Citado, sem acusação</t>
        </is>
      </c>
      <c r="I9" s="38" t="inlineStr">
        <is>
          <t>Nada nas fontes.</t>
        </is>
      </c>
      <c r="J9" s="38" t="inlineStr">
        <is>
          <t>Não achei notícia de 2026 sobre os inquéritos; só sobre a eleição. Resposta do citado: não localizada nas fontes consultadas (checagem de 23/10/2026). Pedidos de correção ou resposta: ver “Sobre este mapa”.</t>
        </is>
      </c>
      <c r="K9" s="38"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8" t="inlineStr">
        <is>
          <t>20/10/2026</t>
        </is>
      </c>
      <c r="M9" s="38" t="inlineStr">
        <is>
          <t>Perdeu a reeleição em 04/10/2026. 23/10/2026: campo de resposta do citado incluído.</t>
        </is>
      </c>
      <c r="N9" s="25" t="inlineStr">
        <is>
          <t>renan.jpg</t>
        </is>
      </c>
      <c r="O9" s="25" t="inlineStr">
        <is>
          <t>Agência Senado · uso livre</t>
        </is>
      </c>
      <c r="P9" s="25" t="inlineStr">
        <is>
          <t>https://commons.wikimedia.org/wiki/File:Senador_Renan_Calheiros_MDB_-_AL.jpg</t>
        </is>
      </c>
    </row>
    <row r="10" ht="162" customHeight="1" s="26">
      <c r="A10" s="38" t="inlineStr">
        <is>
          <t>flavio</t>
        </is>
      </c>
      <c r="B10" s="39" t="inlineStr">
        <is>
          <t>Flávio Bolsonaro</t>
        </is>
      </c>
      <c r="C10" s="38" t="inlineStr">
        <is>
          <t>Flávio e família</t>
        </is>
      </c>
      <c r="D10" s="38" t="inlineStr">
        <is>
          <t>Nascido em 30/04/1981, Resende (RJ). Advogado e empresário; deputado estadual desde 2003, senador pelo RJ de 2019 a 31/01/2027. Candidato do PL à Presidência em 2026: no 1º turno (04/10) teve 47,03% dos votos válidos contra 45,16% de Lula; perdeu o 2º turno (25/10) com 48,21% (59.826.041 votos) contra 51,79% (64.256.232 votos) de Lula, segundo o TSE. Na noite de 25/10 disse que não reconhece o resultado e que vai pedir a anulação, alegando que a prorrogação do horário de votação por liminar do ministro Cristiano Zanin (STF) mudou “a regra do jogo”; o presidente do TSE, Nunes Marques, disse que a decisão não alterou o resultado; até 28/10/2026 o pedido não foi localizado nas fontes consultadas. Como não disputou a reeleição ao Senado, fica sem mandato a partir de fev/2027 e perde o foro por prerrogativa de função — o que, segundo o Congresso em Foco, não transfere automaticamente os inquéritos que hoje correm no STF.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 Em 24/10/2026 O Globo revelou relatórios do Coaf que fazem parte do inquérito com Willer Tomaz: movimentação de ~R$ 1,3 mi entre jan e mar/2024, 7,19 vezes acima do esperado para a renda declarada, incluindo R$ 520 mil pagos por um escritório de advocacia e usados para quitar antecipadamente o financiamento da mansão em Brasília no BRB; e R$ 337,6 mil considerados atípicos em nov/2025. Relatório do Coaf não comprova crime sozinho. Em 23/10/2026 PF, STF e PGR desmentiram reportagem de um site que falava em pedido de buscas contra ele.</t>
        </is>
      </c>
      <c r="E10" s="38" t="inlineStr">
        <is>
          <t>RJ (base eleitoral); mandato em Brasília até 31/01/2027</t>
        </is>
      </c>
      <c r="F10" s="38" t="inlineStr">
        <is>
          <t>Vivo</t>
        </is>
      </c>
      <c r="G10" s="38"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 Não se manifestou ao O Globo sobre os relatórios do Coaf (24/10/2026). Segue sem denúncia nova (checado em 26/10/2026).</t>
        </is>
      </c>
      <c r="H10" s="42" t="inlineStr">
        <is>
          <t>Investigado / alvo (sem denúncia)</t>
        </is>
      </c>
      <c r="I10" s="38" t="inlineStr">
        <is>
          <t>Sem acusação de milícia. Mãe e ex-esposa de Adriano da Nóbrega (miliciano) constavam como funcionárias do gabinete dele; Flávio atribuiu as contratações a Queiroz.</t>
        </is>
      </c>
      <c r="J10" s="38"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 Contato no celular de Vorcaro (piauí, 19/10/2026): Não quis se pronunciar à piauí. Os números de contato (piauí/InterSecLab, base 18/11/2025) medem volume de contato individual (WhatsApp e ligações), não conteúdo; mensagens expiradas ou apagadas não são recuperáveis.</t>
        </is>
      </c>
      <c r="K10" s="38"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 | Piauí: 71% das interações de Vorcaro com políticos eram do governo Bolsonaro (piaui.uol.com.br) https://piaui.uol.com.br/web/mais-de-70-das-interacoes-do-celular-de-vorcaro-com-politicos-eram-com-membros-do-governo-bolsonaro/ | TSE 25/10/2026 (resultado do 2º turno) https://www.tse.jus.br/comunicacao/noticias/2026/Outubro/presidente-do-tse-anuncia-reeleicao-de-lula-e-faz-balanco-do-2o-turno-das-eleicoes-2026 | Correio Braziliense 25/10/2026 (Flávio não reconhece resultado) https://www.correiobraziliense.com.br/politica/2026/10/7527699-flavio-nao-reconhece-vitoria-de-lula-e-pede-anulacao-das-eleicoes.html | Metrópoles 25/10/2026 (Nunes Marques sobre a decisão de Zanin) https://www.metropoles.com/brasil/nunes-marques-diz-que-decisao-de-zanin-nao-alterou-resultado-da-eleicao | Tribuna do Sertão 24/10/2026 (via O Globo: relatórios do Coaf) https://www.tribunadosertao.com.br/geral/2026/10/24/1004782-coaf-aponta-movimentacao-financeira-de-flavio-bolsonaro-incompativel-com-a-renda-do-senador | Infoverus 23/10/2026 (PF, STF e PGR negam pedido de buscas) https://www.infoverus.com.br/politica/stf-pf-e-pgr-negam-pedido-de-buscas-contra-flavio-bolsonaro-e-contestam-reportagem/37239 | Fim do mandato e do foro em 2027 (congressoemfoco.com.br) https://www.congressoemfoco.com.br/noticia/128090/com-derrota-flavio-fica-sem-mandato-e-foro-privilegiado-apos-24-anos | Primeira vez sem mandato em 24 anos (poder360.com.br) https://www.poder360.com.br/poder-eleicoes-2026/flavio-ficara-sem-mandato-pela-1a-vez-em-24-anos/</t>
        </is>
      </c>
      <c r="L10" s="38" t="inlineStr">
        <is>
          <t>28/10/2026</t>
        </is>
      </c>
      <c r="M10" s="38" t="inlineStr">
        <is>
          <t>Resultado do 1º turno; 2º inquérito no STF; Operação Make Up; visitas ao pai liberadas. 21/10/2026: importado do acervo a verdade. (bolsomaster.site). 22/10/2026: rodada UOL News (bets, Loterj, hangar, Weverton). 23/10/2026: contato no celular de Vorcaro (piauí/InterSecLab) e resposta à reportagem. 26/10/2026: resultado do 2º turno (TSE), não reconhecimento e pedido de anulação anunciado; relatórios do Coaf (O Globo); negativa de PF/STF/PGR sobre buscas. 28/10/2026: fim do mandato de senador em 31/01/2027 (não disputou a reeleição ao Senado) e perda do foro por prerrogativa; pedido de anulação segue sem registro de protocolo.</t>
        </is>
      </c>
      <c r="N10" s="25" t="inlineStr">
        <is>
          <t>flavio.jpg</t>
        </is>
      </c>
      <c r="O10" s="25" t="inlineStr">
        <is>
          <t>Agência Senado · uso livre</t>
        </is>
      </c>
      <c r="P10" s="25" t="inlineStr">
        <is>
          <t>https://commons.wikimedia.org/wiki/File:Foto_oficial_do_senador_Flávio_Bolsonaro_(v._AgSen)_(3x4).jpg</t>
        </is>
      </c>
    </row>
    <row r="11" ht="27.75" customHeight="1" s="26">
      <c r="A11" s="38" t="inlineStr">
        <is>
          <t>fam</t>
        </is>
      </c>
      <c r="B11" s="39" t="inlineStr">
        <is>
          <t>Família de Flávio</t>
        </is>
      </c>
      <c r="C11" s="38" t="inlineStr">
        <is>
          <t>Flávio e família</t>
        </is>
      </c>
      <c r="D11" s="38" t="inlineStr">
        <is>
          <t>Não pesquisei. Inclui menores de idade e aparecem na planilha só como passageiras do jato em jan/2025.</t>
        </is>
      </c>
      <c r="E11" s="38" t="inlineStr">
        <is>
          <t>—</t>
        </is>
      </c>
      <c r="F11" s="38" t="inlineStr">
        <is>
          <t>—</t>
        </is>
      </c>
      <c r="G11" s="38" t="inlineStr">
        <is>
          <t>—</t>
        </is>
      </c>
      <c r="H11" s="43" t="inlineStr">
        <is>
          <t>Não pesquisado</t>
        </is>
      </c>
      <c r="I11" s="38" t="inlineStr">
        <is>
          <t>—</t>
        </is>
      </c>
      <c r="J11" s="38" t="inlineStr">
        <is>
          <t>Decisão deliberada: sem papel público no caso.</t>
        </is>
      </c>
      <c r="K11" s="38" t="inlineStr">
        <is>
          <t>—</t>
        </is>
      </c>
      <c r="L11" s="38" t="inlineStr">
        <is>
          <t>20/10/2026</t>
        </is>
      </c>
      <c r="M11" s="38" t="inlineStr">
        <is>
          <t>—</t>
        </is>
      </c>
    </row>
    <row r="12" ht="81.75" customHeight="1" s="26">
      <c r="A12" s="38" t="inlineStr">
        <is>
          <t>carlos</t>
        </is>
      </c>
      <c r="B12" s="39" t="inlineStr">
        <is>
          <t>Carlos Bolsonaro</t>
        </is>
      </c>
      <c r="C12" s="38" t="inlineStr">
        <is>
          <t>Flávio e família</t>
        </is>
      </c>
      <c r="D12" s="38"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8" t="inlineStr">
        <is>
          <t>Santa Catarina (SC), senador eleito; antes, vereador no Rio (RJ)</t>
        </is>
      </c>
      <c r="F12" s="38" t="inlineStr">
        <is>
          <t>Vivo</t>
        </is>
      </c>
      <c r="G12" s="38" t="inlineStr">
        <is>
          <t>Sem condenação nas fontes que li. Depoimento de porteiro que o ligava ao caso Marielle foi retratado, sem acusação formal a ele.</t>
        </is>
      </c>
      <c r="H12" s="42" t="inlineStr">
        <is>
          <t>Investigado / alvo (sem denúncia)</t>
        </is>
      </c>
      <c r="I12" s="38" t="inlineStr">
        <is>
          <t>Sem acusação de milícia.</t>
        </is>
      </c>
      <c r="J12" s="38" t="inlineStr">
        <is>
          <t>Eleição baseada em página que reproduz dados do TSE; não achei a matéria de apuração. Resposta do citado: não localizada nas fontes consultadas (checagem de 23/10/2026). Pedidos de correção ou resposta: ver “Sobre este mapa”.</t>
        </is>
      </c>
      <c r="K12" s="38"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8" t="inlineStr">
        <is>
          <t>20/10/2026</t>
        </is>
      </c>
      <c r="M12" s="38" t="inlineStr">
        <is>
          <t>Eleito senador por SC; deixou a Câmara de Vereadores. 21/10/2026: importado do acervo a verdade. (bolsomaster.site). 23/10/2026: campo de resposta do citado incluído.</t>
        </is>
      </c>
      <c r="N12" s="25" t="inlineStr">
        <is>
          <t>carlos.jpg</t>
        </is>
      </c>
      <c r="O12" s="25" t="inlineStr">
        <is>
          <t>Wikimedia Commons · CC BY 2.0</t>
        </is>
      </c>
      <c r="P12" s="25" t="inlineStr">
        <is>
          <t>https://commons.wikimedia.org/wiki/File:Carlos_Bolsonaro_durante_Encontro_Brasil-Rússia_em_2022.jpg</t>
        </is>
      </c>
    </row>
    <row r="13" ht="122.25" customHeight="1" s="26">
      <c r="A13" s="38" t="inlineStr">
        <is>
          <t>jair</t>
        </is>
      </c>
      <c r="B13" s="39" t="inlineStr">
        <is>
          <t>Jair Messias Bolsonaro</t>
        </is>
      </c>
      <c r="C13" s="38" t="inlineStr">
        <is>
          <t>Flávio e família</t>
        </is>
      </c>
      <c r="D13" s="38"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8" t="inlineStr">
        <is>
          <t>Brasília (DF) – em prisão domiciliar humanitária (endereço não informado)</t>
        </is>
      </c>
      <c r="F13" s="38" t="inlineStr">
        <is>
          <t>Vivo</t>
        </is>
      </c>
      <c r="G13" s="38"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 Em 25/10/2026 seguia em prisão domiciliar e não votou no 2º turno: com a condenação definitiva, os direitos políticos estão suspensos.</t>
        </is>
      </c>
      <c r="H13" s="44" t="inlineStr">
        <is>
          <t>Condenado</t>
        </is>
      </c>
      <c r="I13" s="38" t="inlineStr">
        <is>
          <t>Sem acusação de milícia.</t>
        </is>
      </c>
      <c r="J13" s="38" t="inlineStr">
        <is>
          <t>Planilha diz "hoje preso": desde mar/2026 cumpre em casa (domiciliar humanitária).</t>
        </is>
      </c>
      <c r="K13" s="38"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 | ND+ 25/10/2026 (Bolsonaro sem direito ao voto) https://ndmais.com.br/politica/vorcaro-e-ex-presidente-do-inss-votam-na-prisao-bolsonaro-segue-sem-direito-ao-voto-entenda/</t>
        </is>
      </c>
      <c r="L13" s="38" t="inlineStr">
        <is>
          <t>26/10/2026</t>
        </is>
      </c>
      <c r="M13" s="38" t="inlineStr">
        <is>
          <t>Domiciliar confirmada em 12/10/2026; motivo e visitas de Flávio. 21/10/2026: importado do acervo a verdade. (bolsomaster.site). 26/10/2026: domiciliar confirmada em 25/10; impedido de votar.</t>
        </is>
      </c>
      <c r="N13" s="25" t="inlineStr">
        <is>
          <t>jair.jpg</t>
        </is>
      </c>
      <c r="O13" s="25" t="inlineStr">
        <is>
          <t>Wikimedia Commons · CC BY 2.0</t>
        </is>
      </c>
      <c r="P13" s="25" t="inlineStr">
        <is>
          <t>https://commons.wikimedia.org/wiki/File:Jair_Bolsonaro_2019_Portrait_(3x4_cropped_center).jpg</t>
        </is>
      </c>
    </row>
    <row r="14" ht="95.25" customHeight="1" s="26">
      <c r="A14" s="38" t="inlineStr">
        <is>
          <t>wassef</t>
        </is>
      </c>
      <c r="B14" s="39" t="inlineStr">
        <is>
          <t>Frederick Wassef</t>
        </is>
      </c>
      <c r="C14" s="38" t="inlineStr">
        <is>
          <t>Flávio e família</t>
        </is>
      </c>
      <c r="D14" s="38"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8" t="inlineStr">
        <is>
          <t>São Paulo (SP) – não confirmei domicílio atual</t>
        </is>
      </c>
      <c r="F14" s="38" t="inlineStr">
        <is>
          <t>Vivo</t>
        </is>
      </c>
      <c r="G14" s="38" t="inlineStr">
        <is>
          <t>Indiciado pela PF no inquérito das joias e alvo formal de nova apuração sigilosa. Sem denúncia nem condenação noticiada.</t>
        </is>
      </c>
      <c r="H14" s="42" t="inlineStr">
        <is>
          <t>Investigado / alvo (sem denúncia)</t>
        </is>
      </c>
      <c r="I14" s="38" t="inlineStr">
        <is>
          <t>Nada nas fontes. Um site cita um advogado que conecta Wassef ao defensor de Queiroz e de Adriano (não verifiquei).</t>
        </is>
      </c>
      <c r="J14" s="38" t="inlineStr">
        <is>
          <t>Não confirmei a resposta da PGR após julho.</t>
        </is>
      </c>
      <c r="K14" s="38"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8" t="inlineStr">
        <is>
          <t>20/10/2026</t>
        </is>
      </c>
      <c r="M14" s="38" t="inlineStr">
        <is>
          <t>Indiciamento confirmado e nova apuração sigilosa (30/06/2026).</t>
        </is>
      </c>
      <c r="N14" s="25" t="inlineStr">
        <is>
          <t>wassef.jpg</t>
        </is>
      </c>
      <c r="O14" s="25" t="inlineStr">
        <is>
          <t>Agência Senado · CC BY 2.0</t>
        </is>
      </c>
      <c r="P14" s="25" t="inlineStr">
        <is>
          <t>https://commons.wikimedia.org/wiki/File:Frederick_Wassef_(cropped).jpg</t>
        </is>
      </c>
    </row>
    <row r="15" ht="135.75" customHeight="1" s="26">
      <c r="A15" s="38" t="inlineStr">
        <is>
          <t>queiroz</t>
        </is>
      </c>
      <c r="B15" s="39" t="inlineStr">
        <is>
          <t>Fabrício José Carlos de Queiroz</t>
        </is>
      </c>
      <c r="C15" s="38" t="inlineStr">
        <is>
          <t>Flávio e família</t>
        </is>
      </c>
      <c r="D15" s="38"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8" t="inlineStr">
        <is>
          <t>Saquarema (RJ)</t>
        </is>
      </c>
      <c r="F15" s="38" t="inlineStr">
        <is>
          <t>Vivo (ativo em set/2026)</t>
        </is>
      </c>
      <c r="G15" s="38" t="inlineStr">
        <is>
          <t>Sem condenação. Hoje sem processo ativo nas fontes que li.</t>
        </is>
      </c>
      <c r="H15" s="41" t="inlineStr">
        <is>
          <t>Citado, sem acusação</t>
        </is>
      </c>
      <c r="I15" s="38" t="inlineStr">
        <is>
          <t>MP-RJ estimou que Adriano da Nóbrega (chefe do Escritório do Crime, miliciano, morto em fev/2020) transferiu mais de R$ 400 mil a contas ligadas a Queiroz. Queiroz o chama de amigo e ex-colega da PM. Nas fontes ele não é acusado de integrar milícia.</t>
        </is>
      </c>
      <c r="J15" s="38" t="inlineStr">
        <is>
          <t>Planilha diz "19 meses sem depor": não consegui verificar. Candidatura em 2026: sem registro de que tenha sido formalizada (conforme a usuária; em mar/2026 ele só cogitava). Resposta do citado: não localizada nas fontes consultadas (checagem de 23/10/2026). Pedidos de correção ou resposta: ver “Sobre este mapa”.</t>
        </is>
      </c>
      <c r="K15" s="38"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8" t="inlineStr">
        <is>
          <t>20/10/2026</t>
        </is>
      </c>
      <c r="M15" s="38" t="inlineStr">
        <is>
          <t>Sem candidatura formalizada em 2026 (confirmado pela usuária); cargo público e encontro com Flávio em set/2026. 21/10/2026: importado do acervo a verdade. (bolsomaster.site). 23/10/2026: campo de resposta do citado incluído.</t>
        </is>
      </c>
    </row>
    <row r="16" ht="15" customHeight="1" s="26">
      <c r="A16" s="38" t="inlineStr">
        <is>
          <t>advflavio</t>
        </is>
      </c>
      <c r="B16" s="39" t="inlineStr">
        <is>
          <t>Advogadas de Flávio (2)</t>
        </is>
      </c>
      <c r="C16" s="38" t="inlineStr">
        <is>
          <t>Flávio e família</t>
        </is>
      </c>
      <c r="D16" s="38" t="inlineStr">
        <is>
          <t>Não pesquisei: não são nomeadas na planilha e são pessoas privadas.</t>
        </is>
      </c>
      <c r="E16" s="38" t="inlineStr">
        <is>
          <t>—</t>
        </is>
      </c>
      <c r="F16" s="38" t="inlineStr">
        <is>
          <t>—</t>
        </is>
      </c>
      <c r="G16" s="38" t="inlineStr">
        <is>
          <t>—</t>
        </is>
      </c>
      <c r="H16" s="43" t="inlineStr">
        <is>
          <t>Não pesquisado</t>
        </is>
      </c>
      <c r="I16" s="38" t="inlineStr">
        <is>
          <t>—</t>
        </is>
      </c>
      <c r="J16" s="38" t="inlineStr">
        <is>
          <t>—</t>
        </is>
      </c>
      <c r="K16" s="38" t="inlineStr">
        <is>
          <t>—</t>
        </is>
      </c>
      <c r="L16" s="38" t="inlineStr">
        <is>
          <t>20/10/2026</t>
        </is>
      </c>
      <c r="M16" s="38" t="inlineStr">
        <is>
          <t>—</t>
        </is>
      </c>
    </row>
    <row r="17" ht="135.75" customHeight="1" s="26">
      <c r="A17" s="38" t="inlineStr">
        <is>
          <t>vorcaro</t>
        </is>
      </c>
      <c r="B17" s="39" t="inlineStr">
        <is>
          <t>Daniel Vorcaro</t>
        </is>
      </c>
      <c r="C17" s="38" t="inlineStr">
        <is>
          <t>Vorcaro e o Banco Master</t>
        </is>
      </c>
      <c r="D17" s="38" t="inlineStr">
        <is>
          <t>Nascido em 06/10/1983, Belo Horizonte. Administrador com MBA no Ibmec; comprou o Banco Máxima em 2018 e o renomeou Master em 2021. Banco liquidado em 18/11/2025 (rombo estimado de R$ 41 bi ao FGC). Família ligada à Igreja Batista da Lagoinha.</t>
        </is>
      </c>
      <c r="E17" s="38" t="inlineStr">
        <is>
          <t>Papudinha, Brasília (DF); vinha de Belo Horizonte (MG)</t>
        </is>
      </c>
      <c r="F17" s="38" t="inlineStr">
        <is>
          <t>Vivo</t>
        </is>
      </c>
      <c r="G17" s="38"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 Desde 12/09/2026 os autos do caso Master estão com a Presidência do STF (Fachin), e os pedidos pendentes, inclusive de liberdade, estão parados; Mendonça segue relator formal (Gazeta do Povo, 21/10/2026). Em 25/10/2026 votou no 2º turno na Papudinha, como preso provisório.</t>
        </is>
      </c>
      <c r="H17" s="40" t="inlineStr">
        <is>
          <t>Preso, sem condenação</t>
        </is>
      </c>
      <c r="I17" s="38" t="inlineStr">
        <is>
          <t>Nada nas fontes.</t>
        </is>
      </c>
      <c r="J17" s="38" t="inlineStr">
        <is>
          <t>Resposta do citado: não localizada nas fontes consultadas (checagem de 23/10/2026). Pedidos de correção ou resposta: ver “Sobre este mapa”.</t>
        </is>
      </c>
      <c r="K17" s="38"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 | Gazeta do Povo 21/10/2026 (caso Master parado com Fachin) https://www.gazetadopovo.com.br/republica/caso-master-esta-travado-ha-mais-de-um-mes-nas-maos-de-fachin-no-stf/ | Metro 1 25/10/2026 (Vorcaro vota preso na Papudinha) https://www.metro1.com.br/noticias/eleicoes-2026/190353,presos-na-papudinha-daniel-vorcaro-e-ex-presidente-do-inss-votam-no-segundo-turno</t>
        </is>
      </c>
      <c r="L17" s="38" t="inlineStr">
        <is>
          <t>26/10/2026</t>
        </is>
      </c>
      <c r="M17" s="38" t="inlineStr">
        <is>
          <t>Preso na Papudinha desde 25/06/2026; delações rejeitadas; situação das provas no STF. 21/10/2026: importado do acervo a verdade. (bolsomaster.site). 23/10/2026: campo de resposta do citado incluído. 26/10/2026: autos com a Presidência do STF; segue preso (votou na Papudinha em 25/10).</t>
        </is>
      </c>
      <c r="N17" s="25" t="inlineStr">
        <is>
          <t>vorcaro.jpg</t>
        </is>
      </c>
      <c r="O17" s="25" t="inlineStr">
        <is>
          <t>Márcio Gustavo Vasconcelos · CC0</t>
        </is>
      </c>
      <c r="P17" s="25" t="inlineStr">
        <is>
          <t>https://commons.wikimedia.org/wiki/File:Daniel_Vorcaro_-_2024_(cropped).jpg</t>
        </is>
      </c>
    </row>
    <row r="18" ht="81.75" customHeight="1" s="26">
      <c r="A18" s="38" t="inlineStr">
        <is>
          <t>zetel</t>
        </is>
      </c>
      <c r="B18" s="39" t="inlineStr">
        <is>
          <t>Fabiano Campos Zettel</t>
        </is>
      </c>
      <c r="C18" s="38" t="inlineStr">
        <is>
          <t>Vorcaro e o Banco Master</t>
        </is>
      </c>
      <c r="D18" s="38"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8" t="inlineStr">
        <is>
          <t>Belo Horizonte (MG) pela igreja; residência não informada</t>
        </is>
      </c>
      <c r="F18" s="38" t="inlineStr">
        <is>
          <t>Vivo (preso; confirmado em 20/10/2026)</t>
        </is>
      </c>
      <c r="G18" s="38"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40" t="inlineStr">
        <is>
          <t>Preso, sem condenação</t>
        </is>
      </c>
      <c r="I18" s="38" t="inlineStr">
        <is>
          <t>Nada nas fontes.</t>
        </is>
      </c>
      <c r="J18" s="38" t="inlineStr">
        <is>
          <t>Não achei a venda do apartamento à WT nas fontes que abri. Resposta do citado: não localizada nas fontes consultadas (checagem de 23/10/2026). Pedidos de correção ou resposta: ver “Sobre este mapa”.</t>
        </is>
      </c>
      <c r="K18" s="38" t="inlineStr">
        <is>
          <t>Congresso em Foco https://www.congressoemfoco.com.br/noticia/116929/pf-prende-cunhado-de-vorcaro-suspeito-de-operar-esquema-do-master | Mateus Oliver Reporter (20/10/2026) https://www.mateusoliverreporter.com.br/2026/10/20/pgr-defende-manutencao-de-prisoes-no-caso-banco-master-e-permanencia-de-fachin-a-frente-de-decisoes-no-stf/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8" t="inlineStr">
        <is>
          <t>20/10/2026</t>
        </is>
      </c>
      <c r="M18" s="38" t="inlineStr">
        <is>
          <t>Segue preso em 20/10/2026 (PGR contra soltura). 21/10/2026: importado do acervo a verdade. (bolsomaster.site). 23/10/2026: campo de resposta do citado incluído.</t>
        </is>
      </c>
      <c r="N18" s="25" t="inlineStr">
        <is>
          <t>zetel.jpg</t>
        </is>
      </c>
      <c r="O18" s="25" t="inlineStr">
        <is>
          <t>Wikimedia Commons · CC BY-SA 2.0</t>
        </is>
      </c>
      <c r="P18" s="25" t="inlineStr">
        <is>
          <t>https://commons.wikimedia.org/wiki/File:Fabiano_Zettel.jpg</t>
        </is>
      </c>
    </row>
    <row r="19" ht="27.75" customHeight="1" s="26">
      <c r="A19" s="38" t="inlineStr">
        <is>
          <t>dirjur</t>
        </is>
      </c>
      <c r="B19" s="39" t="inlineStr">
        <is>
          <t>Diretor jurídico do Master</t>
        </is>
      </c>
      <c r="C19" s="38" t="inlineStr">
        <is>
          <t>Vorcaro e o Banco Master</t>
        </is>
      </c>
      <c r="D19" s="38" t="inlineStr">
        <is>
          <t>Não pesquisado: não nomeado na planilha.</t>
        </is>
      </c>
      <c r="E19" s="38" t="inlineStr">
        <is>
          <t>—</t>
        </is>
      </c>
      <c r="F19" s="38" t="inlineStr">
        <is>
          <t>—</t>
        </is>
      </c>
      <c r="G19" s="38" t="inlineStr">
        <is>
          <t>—</t>
        </is>
      </c>
      <c r="H19" s="43" t="inlineStr">
        <is>
          <t>Não pesquisado</t>
        </is>
      </c>
      <c r="I19" s="38" t="inlineStr">
        <is>
          <t>—</t>
        </is>
      </c>
      <c r="J19" s="38" t="inlineStr">
        <is>
          <t>—</t>
        </is>
      </c>
      <c r="K19" s="38" t="inlineStr">
        <is>
          <t>—</t>
        </is>
      </c>
      <c r="L19" s="38" t="inlineStr">
        <is>
          <t>20/10/2026</t>
        </is>
      </c>
      <c r="M19" s="38" t="inlineStr">
        <is>
          <t>—</t>
        </is>
      </c>
    </row>
    <row r="20" ht="27.75" customHeight="1" s="26">
      <c r="A20" s="38" t="inlineStr">
        <is>
          <t>promoter</t>
        </is>
      </c>
      <c r="B20" s="39" t="inlineStr">
        <is>
          <t>Promoter</t>
        </is>
      </c>
      <c r="C20" s="38" t="inlineStr">
        <is>
          <t>Vorcaro e o Banco Master</t>
        </is>
      </c>
      <c r="D20" s="38" t="inlineStr">
        <is>
          <t>Não pesquisado: pessoa privada e não nomeada.</t>
        </is>
      </c>
      <c r="E20" s="38" t="inlineStr">
        <is>
          <t>—</t>
        </is>
      </c>
      <c r="F20" s="38" t="inlineStr">
        <is>
          <t>—</t>
        </is>
      </c>
      <c r="G20" s="38" t="inlineStr">
        <is>
          <t>—</t>
        </is>
      </c>
      <c r="H20" s="43" t="inlineStr">
        <is>
          <t>Não pesquisado</t>
        </is>
      </c>
      <c r="I20" s="38" t="inlineStr">
        <is>
          <t>—</t>
        </is>
      </c>
      <c r="J20" s="38" t="inlineStr">
        <is>
          <t>—</t>
        </is>
      </c>
      <c r="K20" s="38" t="inlineStr">
        <is>
          <t>—</t>
        </is>
      </c>
      <c r="L20" s="38" t="inlineStr">
        <is>
          <t>20/10/2026</t>
        </is>
      </c>
      <c r="M20" s="38" t="inlineStr">
        <is>
          <t>—</t>
        </is>
      </c>
    </row>
    <row r="21" ht="27.75" customHeight="1" s="26">
      <c r="A21" s="38" t="inlineStr">
        <is>
          <t>mordomo</t>
        </is>
      </c>
      <c r="B21" s="39" t="inlineStr">
        <is>
          <t>Mordomo do triplex</t>
        </is>
      </c>
      <c r="C21" s="38" t="inlineStr">
        <is>
          <t>Vorcaro e o Banco Master</t>
        </is>
      </c>
      <c r="D21" s="38" t="inlineStr">
        <is>
          <t>Não pesquisado: pessoa privada e não nomeada. Funcionário da casa que, segundo a piauí, trocava mensagens com Vorcaro sobre a organização das festas, entre elas a de 28/02/2025.</t>
        </is>
      </c>
      <c r="E21" s="38" t="inlineStr">
        <is>
          <t>—</t>
        </is>
      </c>
      <c r="F21" s="38" t="inlineStr">
        <is>
          <t>—</t>
        </is>
      </c>
      <c r="G21" s="38" t="inlineStr">
        <is>
          <t>—</t>
        </is>
      </c>
      <c r="H21" s="43" t="inlineStr">
        <is>
          <t>Não pesquisado</t>
        </is>
      </c>
      <c r="I21" s="38" t="inlineStr">
        <is>
          <t>—</t>
        </is>
      </c>
      <c r="J21" s="38" t="inlineStr">
        <is>
          <t>—</t>
        </is>
      </c>
      <c r="K21" s="38" t="inlineStr">
        <is>
          <t>Festas no triplex de Vorcaro, diz revista (Agenda do Poder, 16/10/2026, reproduz a piauí) https://agendadopoder.com.br/vorcaro-promoveu-festa-com-garotas-de-programa-para-kassio-nunes-marques-diz-revista/</t>
        </is>
      </c>
      <c r="L21" s="38" t="inlineStr">
        <is>
          <t>23/10/2026</t>
        </is>
      </c>
      <c r="M21" s="38" t="inlineStr">
        <is>
          <t>23/10/2026: retirada a ligação com ministro (mensagens não o identificam).</t>
        </is>
      </c>
    </row>
    <row r="22" ht="27.75" customHeight="1" s="26">
      <c r="A22" s="38" t="inlineStr">
        <is>
          <t>mulheres</t>
        </is>
      </c>
      <c r="B22" s="39" t="inlineStr">
        <is>
          <t>Mulheres das festas</t>
        </is>
      </c>
      <c r="C22" s="38" t="inlineStr">
        <is>
          <t>Vorcaro e o Banco Master</t>
        </is>
      </c>
      <c r="D22" s="38" t="inlineStr">
        <is>
          <t>Não pesquisado: pessoas privadas e não nomeadas. Não faz sentido (nem é seguro) montar perfil.</t>
        </is>
      </c>
      <c r="E22" s="38" t="inlineStr">
        <is>
          <t>—</t>
        </is>
      </c>
      <c r="F22" s="38" t="inlineStr">
        <is>
          <t>—</t>
        </is>
      </c>
      <c r="G22" s="38" t="inlineStr">
        <is>
          <t>—</t>
        </is>
      </c>
      <c r="H22" s="43" t="inlineStr">
        <is>
          <t>Não pesquisado</t>
        </is>
      </c>
      <c r="I22" s="38" t="inlineStr">
        <is>
          <t>—</t>
        </is>
      </c>
      <c r="J22" s="38" t="inlineStr">
        <is>
          <t>—</t>
        </is>
      </c>
      <c r="K22" s="38" t="inlineStr">
        <is>
          <t>—</t>
        </is>
      </c>
      <c r="L22" s="38" t="inlineStr">
        <is>
          <t>20/10/2026</t>
        </is>
      </c>
      <c r="M22" s="38" t="inlineStr">
        <is>
          <t>—</t>
        </is>
      </c>
    </row>
    <row r="23" ht="15" customHeight="1" s="26">
      <c r="A23" s="38" t="inlineStr">
        <is>
          <t>eletricista</t>
        </is>
      </c>
      <c r="B23" s="39" t="inlineStr">
        <is>
          <t>Eletricista</t>
        </is>
      </c>
      <c r="C23" s="38" t="inlineStr">
        <is>
          <t>Flávio e família</t>
        </is>
      </c>
      <c r="D23" s="38" t="inlineStr">
        <is>
          <t>Não pesquisado: pessoa privada e não nomeada.</t>
        </is>
      </c>
      <c r="E23" s="38" t="inlineStr">
        <is>
          <t>—</t>
        </is>
      </c>
      <c r="F23" s="38" t="inlineStr">
        <is>
          <t>—</t>
        </is>
      </c>
      <c r="G23" s="38" t="inlineStr">
        <is>
          <t>—</t>
        </is>
      </c>
      <c r="H23" s="43" t="inlineStr">
        <is>
          <t>Não pesquisado</t>
        </is>
      </c>
      <c r="I23" s="38" t="inlineStr">
        <is>
          <t>—</t>
        </is>
      </c>
      <c r="J23" s="38" t="inlineStr">
        <is>
          <t>—</t>
        </is>
      </c>
      <c r="K23" s="38" t="inlineStr">
        <is>
          <t>—</t>
        </is>
      </c>
      <c r="L23" s="38" t="inlineStr">
        <is>
          <t>20/10/2026</t>
        </is>
      </c>
      <c r="M23" s="38" t="inlineStr">
        <is>
          <t>—</t>
        </is>
      </c>
    </row>
    <row r="24" ht="68.25" customHeight="1" s="26">
      <c r="A24" s="38" t="inlineStr">
        <is>
          <t>richarlison</t>
        </is>
      </c>
      <c r="B24" s="39" t="inlineStr">
        <is>
          <t>Richarlison</t>
        </is>
      </c>
      <c r="C24" s="38" t="inlineStr">
        <is>
          <t>Casas e ativos</t>
        </is>
      </c>
      <c r="D24" s="38"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8" t="inlineStr">
        <is>
          <t>Atua no futebol; residência não pesquisada</t>
        </is>
      </c>
      <c r="F24" s="38" t="inlineStr">
        <is>
          <t>Vivo</t>
        </is>
      </c>
      <c r="G24" s="38" t="inlineStr">
        <is>
          <t>Parte lesada na disputa civil; não é investigado.</t>
        </is>
      </c>
      <c r="H24" s="41" t="inlineStr">
        <is>
          <t>Citado, sem acusação</t>
        </is>
      </c>
      <c r="I24" s="38" t="inlineStr">
        <is>
          <t>Nada nas fontes.</t>
        </is>
      </c>
      <c r="J24" s="38"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8"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8" t="inlineStr">
        <is>
          <t>20/10/2026</t>
        </is>
      </c>
      <c r="M24" s="38" t="inlineStr">
        <is>
          <t>21/10/2026: importado do acervo a verdade. (bolsomaster.site).</t>
        </is>
      </c>
      <c r="N24" s="25" t="inlineStr">
        <is>
          <t>richarlison.jpg</t>
        </is>
      </c>
      <c r="O24" s="25" t="inlineStr">
        <is>
          <t>ALES · CC BY 2.0</t>
        </is>
      </c>
      <c r="P24" s="25" t="inlineStr">
        <is>
          <t>https://commons.wikimedia.org/wiki/File:Richarlison_é_homenageado_na_ALES_(10.July.2019)_12_(cropped2).jpg</t>
        </is>
      </c>
    </row>
    <row r="25" ht="41.25" customHeight="1" s="26">
      <c r="A25" s="38" t="inlineStr">
        <is>
          <t>dono</t>
        </is>
      </c>
      <c r="B25" s="39" t="inlineStr">
        <is>
          <t>Ex-possuidor da mansão (nome não confirmado)</t>
        </is>
      </c>
      <c r="C25" s="38" t="inlineStr">
        <is>
          <t>Casas e ativos</t>
        </is>
      </c>
      <c r="D25" s="38" t="inlineStr">
        <is>
          <t>Não consegui confirmar o nome nem o papel em fonte pública. As matérias que abri chamam o ex-possuidor apenas de "o então possuidor" e não dizem que ele ouviu Flávio chamar Willer de sócio. Pessoa privada; não aprofundei.</t>
        </is>
      </c>
      <c r="E25" s="38" t="inlineStr">
        <is>
          <t>—</t>
        </is>
      </c>
      <c r="F25" s="38" t="inlineStr">
        <is>
          <t>—</t>
        </is>
      </c>
      <c r="G25" s="38" t="inlineStr">
        <is>
          <t>—</t>
        </is>
      </c>
      <c r="H25" s="43" t="inlineStr">
        <is>
          <t>Não pesquisado</t>
        </is>
      </c>
      <c r="I25" s="38" t="inlineStr">
        <is>
          <t>—</t>
        </is>
      </c>
      <c r="J25" s="38" t="inlineStr">
        <is>
          <t>Afirmação da planilha não confirmada nas minhas fontes. Vale conferir a origem (vídeo do canal Revelando).</t>
        </is>
      </c>
      <c r="K25" s="38" t="inlineStr">
        <is>
          <t>—</t>
        </is>
      </c>
      <c r="L25" s="38" t="inlineStr">
        <is>
          <t>20/10/2026</t>
        </is>
      </c>
      <c r="M25" s="38" t="inlineStr">
        <is>
          <t>—</t>
        </is>
      </c>
    </row>
    <row r="26" ht="81.75" customHeight="1" s="26">
      <c r="A26" s="38" t="inlineStr">
        <is>
          <t>nunes</t>
        </is>
      </c>
      <c r="B26" s="39" t="inlineStr">
        <is>
          <t>Kássio Nunes Marques</t>
        </is>
      </c>
      <c r="C26" s="38" t="inlineStr">
        <is>
          <t>Poder e Justiça</t>
        </is>
      </c>
      <c r="D26" s="38"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 Como presidente do TSE, anunciou em 25/10/2026 a reeleição de Lula e criticou a liminar de Zanin (STF) que prorrogou a votação até 19h: disse que ela causou dificuldades operacionais e o maior acúmulo de boletins de urna já registrado, mas não alterou o resultado.</t>
        </is>
      </c>
      <c r="E26" s="38" t="inlineStr">
        <is>
          <t>Brasília (DF)</t>
        </is>
      </c>
      <c r="F26" s="38" t="inlineStr">
        <is>
          <t>Vivo</t>
        </is>
      </c>
      <c r="G26" s="38" t="inlineStr">
        <is>
          <t>Não há processo contra ele nas fontes que li.</t>
        </is>
      </c>
      <c r="H26" s="41" t="inlineStr">
        <is>
          <t>Citado, sem acusação</t>
        </is>
      </c>
      <c r="I26" s="38" t="inlineStr">
        <is>
          <t>Nada nas fontes.</t>
        </is>
      </c>
      <c r="J26" s="38" t="inlineStr">
        <is>
          <t>Acervo a verdade.: o PDF original diz que ele “recebeu R$ 427 mi”. A CNN fala em contrato de advocacia de até R$ 427 mi, condicionado a êxito, o que não comprova recebimento pessoal. Ele nega.</t>
        </is>
      </c>
      <c r="K26" s="38"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 | TSE 25/10/2026 (resultado do 2º turno) https://www.tse.jus.br/comunicacao/noticias/2026/Outubro/presidente-do-tse-anuncia-reeleicao-de-lula-e-faz-balanco-do-2o-turno-das-eleicoes-2026 | Metrópoles 25/10/2026 (Nunes Marques sobre a decisão de Zanin) https://www.metropoles.com/brasil/nunes-marques-diz-que-decisao-de-zanin-nao-alterou-resultado-da-eleicao</t>
        </is>
      </c>
      <c r="L26" s="38" t="inlineStr">
        <is>
          <t>26/10/2026</t>
        </is>
      </c>
      <c r="M26" s="38" t="inlineStr">
        <is>
          <t>Presidente do TSE confirmado (eleito em 14/04/2026). 21/10/2026: importado do acervo a verdade. (bolsomaster.site). 26/10/2026: atuação como presidente do TSE no 2º turno (25/10).</t>
        </is>
      </c>
      <c r="N26" s="25" t="inlineStr">
        <is>
          <t>nunes.jpg</t>
        </is>
      </c>
      <c r="O26" s="25" t="inlineStr">
        <is>
          <t>Secom/TSE · domínio público</t>
        </is>
      </c>
      <c r="P26" s="25" t="inlineStr">
        <is>
          <t>https://commons.wikimedia.org/wiki/File:Nunes_Marques,_February_2025_(cropped).jpg</t>
        </is>
      </c>
    </row>
    <row r="27" ht="54.75" customHeight="1" s="26">
      <c r="A27" s="38" t="inlineStr">
        <is>
          <t>kevin</t>
        </is>
      </c>
      <c r="B27" s="39" t="inlineStr">
        <is>
          <t>Kevin Marques</t>
        </is>
      </c>
      <c r="C27" s="38" t="inlineStr">
        <is>
          <t>Poder e Justiça</t>
        </is>
      </c>
      <c r="D27" s="38"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8" t="inlineStr">
        <is>
          <t>Não informado</t>
        </is>
      </c>
      <c r="F27" s="38" t="inlineStr">
        <is>
          <t>Vivo</t>
        </is>
      </c>
      <c r="G27" s="38" t="inlineStr">
        <is>
          <t>As fontes não mostram indiciamento nem denúncia.</t>
        </is>
      </c>
      <c r="H27" s="41" t="inlineStr">
        <is>
          <t>Citado, sem acusação</t>
        </is>
      </c>
      <c r="I27" s="38" t="inlineStr">
        <is>
          <t>Nada nas fontes.</t>
        </is>
      </c>
      <c r="J27" s="38" t="inlineStr">
        <is>
          <t>Planilha diz "~R$ 300 mil": as fontes trazem R$ 500 mil/mês (suspeita da PF) e R$ 281,6 mil (versão da defesa).</t>
        </is>
      </c>
      <c r="K27" s="38"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8" t="inlineStr">
        <is>
          <t>20/10/2026</t>
        </is>
      </c>
      <c r="M27" s="38" t="inlineStr">
        <is>
          <t>21/10/2026: importado do acervo a verdade. (bolsomaster.site).</t>
        </is>
      </c>
    </row>
    <row r="28" ht="81.75" customHeight="1" s="26">
      <c r="A28" s="38" t="inlineStr">
        <is>
          <t>ramagem</t>
        </is>
      </c>
      <c r="B28" s="39" t="inlineStr">
        <is>
          <t>Alexandre Ramagem</t>
        </is>
      </c>
      <c r="C28" s="38" t="inlineStr">
        <is>
          <t>Poder e Justiça</t>
        </is>
      </c>
      <c r="D28" s="38"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8" t="inlineStr">
        <is>
          <t>Estados Unidos (Flórida); em 05/07/2026 estava em Nova Jersey para um jogo do Brasil. Paradeiro atual não informado</t>
        </is>
      </c>
      <c r="F28" s="38" t="inlineStr">
        <is>
          <t>Vivo</t>
        </is>
      </c>
      <c r="G28" s="38"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 que perdeu o 2º turno em 25/10/2026, de modo que a condição citada por ele não se concretizou. A CNN afirma que um processo de extradição pedido pelo Brasil tramita em paralelo.</t>
        </is>
      </c>
      <c r="H28" s="44" t="inlineStr">
        <is>
          <t>Condenado</t>
        </is>
      </c>
      <c r="I28" s="38" t="inlineStr">
        <is>
          <t>Nada nas fontes.</t>
        </is>
      </c>
      <c r="J28" s="38" t="inlineStr">
        <is>
          <t>Divergência entre fontes resolvida: a CNN (jul/2026) confirma processo de extradição; a Pública (29/09) apenas não menciona.</t>
        </is>
      </c>
      <c r="K28" s="38"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 | Resultado do 2º turno, balanço do TSE (tse.jus.br) https://www.tse.jus.br/comunicacao/noticias/2026/Outubro/presidente-do-tse-anuncia-reeleicao-de-lula-e-faz-balanco-do-2o-turno-das-eleicoes-2026</t>
        </is>
      </c>
      <c r="L28" s="38" t="inlineStr">
        <is>
          <t>28/10/2026</t>
        </is>
      </c>
      <c r="M28" s="38" t="inlineStr">
        <is>
          <t>Entrevista de 05/07/2026; asilo pendente; processo de extradição em paralelo. 21/10/2026: importado do acervo a verdade. (bolsomaster.site). 28/10/2026: a condição que ele citou para voltar ao Brasil (vitória de Flávio) não se concretizou.</t>
        </is>
      </c>
      <c r="N28" s="25" t="inlineStr">
        <is>
          <t>ramagem.jpg</t>
        </is>
      </c>
      <c r="O28" s="25" t="inlineStr">
        <is>
          <t>Câmara dos Deputados · CC BY 3.0</t>
        </is>
      </c>
      <c r="P28" s="25" t="inlineStr">
        <is>
          <t>https://commons.wikimedia.org/wiki/File:Delegado_Ramagem_(PL_-_RJ)_(cropped).jpg</t>
        </is>
      </c>
    </row>
    <row r="29" ht="81.75" customHeight="1" s="26">
      <c r="A29" s="38" t="inlineStr">
        <is>
          <t>heleno</t>
        </is>
      </c>
      <c r="B29" s="39" t="inlineStr">
        <is>
          <t>Augusto Heleno</t>
        </is>
      </c>
      <c r="C29" s="38" t="inlineStr">
        <is>
          <t>Poder e Justiça</t>
        </is>
      </c>
      <c r="D29" s="38"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8" t="inlineStr">
        <is>
          <t>Brasília (DF) para atendimento médico; cidade da domiciliar não confirmada</t>
        </is>
      </c>
      <c r="F29" s="38" t="inlineStr">
        <is>
          <t>Vivo (confirmado em 16/10/2026)</t>
        </is>
      </c>
      <c r="G29" s="38"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4" t="inlineStr">
        <is>
          <t>Condenado</t>
        </is>
      </c>
      <c r="I29" s="38" t="inlineStr">
        <is>
          <t>Nada nas fontes.</t>
        </is>
      </c>
      <c r="J29" s="38" t="inlineStr">
        <is>
          <t>—</t>
        </is>
      </c>
      <c r="K29" s="38"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8" t="inlineStr">
        <is>
          <t>20/10/2026</t>
        </is>
      </c>
      <c r="M29" s="38" t="inlineStr">
        <is>
          <t>Saúde e autorizações de Moraes em 14–16/10/2026.</t>
        </is>
      </c>
      <c r="N29" s="25" t="inlineStr">
        <is>
          <t>heleno.jpg</t>
        </is>
      </c>
      <c r="O29" s="25" t="inlineStr">
        <is>
          <t>Câmara dos Deputados · CC BY 3.0</t>
        </is>
      </c>
      <c r="P29" s="25" t="inlineStr">
        <is>
          <t>https://commons.wikimedia.org/wiki/File:Augusto_Heleno_(cropped).jpg</t>
        </is>
      </c>
    </row>
    <row r="30" ht="81.75" customHeight="1" s="26">
      <c r="A30" s="38" t="inlineStr">
        <is>
          <t>moro</t>
        </is>
      </c>
      <c r="B30" s="39" t="inlineStr">
        <is>
          <t>Sérgio Fernando Moro</t>
        </is>
      </c>
      <c r="C30" s="38" t="inlineStr">
        <is>
          <t>Poder e Justiça</t>
        </is>
      </c>
      <c r="D30" s="38"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8" t="inlineStr">
        <is>
          <t>Curitiba/Paraná (PR), governador eleito</t>
        </is>
      </c>
      <c r="F30" s="38" t="inlineStr">
        <is>
          <t>Vivo</t>
        </is>
      </c>
      <c r="G30" s="38" t="inlineStr">
        <is>
          <t>Sem condenação criminal nas fontes que li.</t>
        </is>
      </c>
      <c r="H30" s="41" t="inlineStr">
        <is>
          <t>Citado, sem acusação</t>
        </is>
      </c>
      <c r="I30" s="38" t="inlineStr">
        <is>
          <t>Nada nas fontes.</t>
        </is>
      </c>
      <c r="J30" s="38" t="inlineStr">
        <is>
          <t>Resposta do citado: não localizada nas fontes consultadas (checagem de 23/10/2026). Pedidos de correção ou resposta: ver “Sobre este mapa”.</t>
        </is>
      </c>
      <c r="K30" s="38"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8" t="inlineStr">
        <is>
          <t>20/10/2026</t>
        </is>
      </c>
      <c r="M30" s="38" t="inlineStr">
        <is>
          <t>Eleito governador do Paraná no 1º turno (04/10/2026). 21/10/2026: importado do acervo a verdade. (bolsomaster.site). 23/10/2026: campo de resposta do citado incluído.</t>
        </is>
      </c>
      <c r="N30" s="25" t="inlineStr">
        <is>
          <t>moro.jpg</t>
        </is>
      </c>
      <c r="O30" s="25" t="inlineStr">
        <is>
          <t>Domínio público</t>
        </is>
      </c>
      <c r="P30" s="25" t="inlineStr">
        <is>
          <t>https://commons.wikimedia.org/wiki/File:Senador_da_República_Sérgio_Moro.jpg</t>
        </is>
      </c>
    </row>
    <row r="31" ht="68.25" customHeight="1" s="26">
      <c r="A31" s="38" t="inlineStr">
        <is>
          <t>ciro</t>
        </is>
      </c>
      <c r="B31" s="39" t="inlineStr">
        <is>
          <t>Ciro Nogueira</t>
        </is>
      </c>
      <c r="C31" s="38" t="inlineStr">
        <is>
          <t>Poder e Justiça</t>
        </is>
      </c>
      <c r="D31" s="38" t="inlineStr">
        <is>
          <t>Senador (PP-PI) e presidente nacional do Progressistas. Não se reelegeu: ficou em 3º na disputa ao Senado no Piauí em 04/10/2026 (24,67% com 90% das urnas apuradas; as vagas ficaram com Marcelo Castro e Júlio César).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8" t="inlineStr">
        <is>
          <t>Piauí (PI); mandato em Brasília</t>
        </is>
      </c>
      <c r="F31" s="38" t="inlineStr">
        <is>
          <t>Vivo</t>
        </is>
      </c>
      <c r="G31" s="38" t="inlineStr">
        <is>
          <t>Alvo de operação, sem denúncia. A defesa nega qualquer participação em atividades ilícitas.</t>
        </is>
      </c>
      <c r="H31" s="42" t="inlineStr">
        <is>
          <t>Investigado / alvo (sem denúncia)</t>
        </is>
      </c>
      <c r="I31" s="38" t="inlineStr">
        <is>
          <t>Nada nas fontes.</t>
        </is>
      </c>
      <c r="J31" s="38" t="inlineStr">
        <is>
          <t>Identificação confirmada: o "Círio Nogueira" da transcrição é o senador Ciro Nogueira, investigado no caso Master (busca em 07/05/2026). A aba Notes original ainda diz "inferida". Contato no celular de Vorcaro (piauí, 19/10/2026): Não respondeu à piauí. Os números de contato (piauí/InterSecLab, base 18/11/2025) medem volume de contato individual (WhatsApp e ligações), não conteúdo; mensagens expiradas ou apagadas não são recuperáveis.</t>
        </is>
      </c>
      <c r="K31" s="38"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 | Piauí: 71% das interações de Vorcaro com políticos eram do governo Bolsonaro (piaui.uol.com.br) https://piaui.uol.com.br/web/mais-de-70-das-interacoes-do-celular-de-vorcaro-com-politicos-eram-com-membros-do-governo-bolsonaro/ | Metrópoles 04/10/2026 (Ciro perde eleição ao Senado) https://www.metropoles.com/brasil/ciro-nogueira-perde-eleicao-para-o-senado-no-piaui</t>
        </is>
      </c>
      <c r="L31" s="38" t="inlineStr">
        <is>
          <t>26/10/2026</t>
        </is>
      </c>
      <c r="M31" s="38" t="inlineStr">
        <is>
          <t>Identificação tratada como confirmada (antes: inferida); busca em 07/05/2026. 21/10/2026: importado do acervo a verdade. (bolsomaster.site). 23/10/2026: contato no celular de Vorcaro (piauí/InterSecLab) e resposta à reportagem. 26/10/2026: derrota na eleição ao Senado (04/10/2026), que faltava no perfil.</t>
        </is>
      </c>
      <c r="N31" s="25" t="inlineStr">
        <is>
          <t>ciro.jpg</t>
        </is>
      </c>
      <c r="O31" s="25" t="inlineStr">
        <is>
          <t>Wikimedia Commons · CC BY-SA 4.0</t>
        </is>
      </c>
      <c r="P31" s="25" t="inlineStr">
        <is>
          <t>https://commons.wikimedia.org/wiki/File:Senador739.jpg</t>
        </is>
      </c>
    </row>
    <row r="32" ht="1021.6" customHeight="1" s="26">
      <c r="A32" s="38" t="inlineStr">
        <is>
          <t>mendonca</t>
        </is>
      </c>
      <c r="B32" s="39" t="inlineStr">
        <is>
          <t>André Mendonça</t>
        </is>
      </c>
      <c r="C32" s="38" t="inlineStr">
        <is>
          <t>Poder e Justiça</t>
        </is>
      </c>
      <c r="D32" s="38"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 Em 12/09/2026 o presidente do STF, Fachin, levou à Presidência os autos dos casos Master e INSS e os paralisou; Mendonça segue relator formal, mas sem os autos. Em 20/10/2026 pediu por ofício a Fachin que decida se os casos voltam ao gabinete dele.</t>
        </is>
      </c>
      <c r="E32" s="38" t="inlineStr">
        <is>
          <t>Brasília (DF)</t>
        </is>
      </c>
      <c r="F32" s="38" t="inlineStr">
        <is>
          <t>Vivo</t>
        </is>
      </c>
      <c r="G32" s="38" t="inlineStr">
        <is>
          <t>Moraes pediu ao STF que ele fosse investigado por abuso de autoridade nos casos Master e INSS, com base em relatórios da PF. Em 19/10/2026 a PGR disse não ver elementos de abuso de autoridade e se manifestou contra abrir a investigação; a decisão final cabe ao plenário. Não há processo aberto contra ele nas fontes.</t>
        </is>
      </c>
      <c r="H32" s="40" t="inlineStr">
        <is>
          <t>Citado, sem acusação</t>
        </is>
      </c>
      <c r="I32" s="38" t="inlineStr">
        <is>
          <t>Nada nas fontes.</t>
        </is>
      </c>
      <c r="J32" s="38" t="inlineStr">
        <is>
          <t>Dados do acervo a verdade.; fontes não reverificadas uma a uma. Os levantamentos de contratos do ITER (52 contratos e R$ 8,2 mi; 55 contratos e R$ 10,8 mi) são recortes diferentes e não se somam. Resposta do citado: não localizada nas fontes consultadas (checagem de 23/10/2026). Pedidos de correção ou resposta: ver “Sobre este mapa”.</t>
        </is>
      </c>
      <c r="K32" s="38"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 | Gazeta do Povo 21/10/2026 (caso Master parado com Fachin) https://www.gazetadopovo.com.br/republica/caso-master-esta-travado-ha-mais-de-um-mes-nas-maos-de-fachin-no-stf/ | Jornal Opção 19/10/2026 (PGR rejeita investigação de Mendonça) https://www.jornalopcao.com.br/ultimas-noticias/pgr-nao-ve-abuso-de-autoridade-de-mendonca-em-caso-master-e-rejeita-abertura-de-investigacao-880421/ | Rádio Caiçara 20/10/2026 (ofício de Mendonça a Fachin) https://www.radiocaicara.com.br/ministro-andre-mendonca-pede-ao-presidente-do-supremo-que-decida-se-casos-master-e-inss-voltarao-para-o-seu-gabinete/</t>
        </is>
      </c>
      <c r="L32" s="38" t="inlineStr">
        <is>
          <t>26/10/2026</t>
        </is>
      </c>
      <c r="M32" s="38" t="inlineStr">
        <is>
          <t>21/10/2026: importado do acervo a verdade. (bolsomaster.site) (perfil novo). 22/10/2026: foto adicionada. 23/10/2026: campo de resposta do citado incluído. 26/10/2026: autos dos casos Master e INSS com Fachin; pedido de Moraes e parecer contrário da PGR (19/10); ofício a Fachin (20/10).</t>
        </is>
      </c>
      <c r="N32" s="25" t="inlineStr">
        <is>
          <t>mendonca.jpg</t>
        </is>
      </c>
      <c r="O32" s="25" t="inlineStr">
        <is>
          <t>Luis Macedo/Câmara dos Deputados · CC BY 3.0</t>
        </is>
      </c>
      <c r="P32" s="25" t="inlineStr">
        <is>
          <t>https://commons.wikimedia.org/wiki/File:Andr%C3%A9_Luiz_de_Almeida_Mendon%C3%A7a_(cropped).jpg</t>
        </is>
      </c>
    </row>
    <row r="33" ht="202.95" customHeight="1" s="26">
      <c r="A33" s="38" t="inlineStr">
        <is>
          <t>faria</t>
        </is>
      </c>
      <c r="B33" s="39" t="inlineStr">
        <is>
          <t>Fábio Faria</t>
        </is>
      </c>
      <c r="C33" s="38" t="inlineStr">
        <is>
          <t>Vorcaro e o Banco Master</t>
        </is>
      </c>
      <c r="D33" s="38"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8" t="inlineStr">
        <is>
          <t>Brasília (DF)</t>
        </is>
      </c>
      <c r="F33" s="38" t="inlineStr">
        <is>
          <t>Vivo</t>
        </is>
      </c>
      <c r="G33" s="38" t="inlineStr">
        <is>
          <t>O acervo não informa se ele é formalmente investigado.</t>
        </is>
      </c>
      <c r="H33" s="40" t="inlineStr">
        <is>
          <t>Citado, sem acusação</t>
        </is>
      </c>
      <c r="I33" s="38" t="inlineStr">
        <is>
          <t>Nada nas fontes.</t>
        </is>
      </c>
      <c r="J33" s="38" t="inlineStr">
        <is>
          <t>Dados do acervo a verdade.; fontes não reverificadas uma a uma. Contato no celular de Vorcaro (piauí, 19/10/2026): Respondeu à piauí que deixou o setor público em dez/2022 e conheceu Vorcaro no fim de 2023. Os números de contato (piauí/InterSecLab, base 18/11/2025) medem volume de contato individual (WhatsApp e ligações), não conteúdo; mensagens expiradas ou apagadas não são recuperáveis. Resposta do citado: ele defende o valor do projeto eólico (piauí); demais pontos sem resposta localizada nas fontes consultadas (checagem de 23/10/2026). Pedidos de correção ou resposta: ver “Sobre este mapa”.</t>
        </is>
      </c>
      <c r="K33" s="38"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 | Piauí: 71% das interações de Vorcaro com políticos eram do governo Bolsonaro (piaui.uol.com.br) https://piaui.uol.com.br/web/mais-de-70-das-interacoes-do-celular-de-vorcaro-com-politicos-eram-com-membros-do-governo-bolsonaro/</t>
        </is>
      </c>
      <c r="L33" s="38" t="inlineStr">
        <is>
          <t>23/10/2026</t>
        </is>
      </c>
      <c r="M33" s="38" t="inlineStr">
        <is>
          <t>21/10/2026: importado do acervo a verdade. (bolsomaster.site) (perfil novo). 22/10/2026: foto adicionada. 23/10/2026: contato no celular de Vorcaro (piauí/InterSecLab) e resposta à reportagem. 23/10/2026: campo de resposta do citado incluído.</t>
        </is>
      </c>
      <c r="N33" s="25" t="inlineStr">
        <is>
          <t>faria.jpg</t>
        </is>
      </c>
      <c r="O33" s="25" t="inlineStr">
        <is>
          <t>Luis Macedo/Câmara dos Deputados · CC BY 3.0</t>
        </is>
      </c>
      <c r="P33" s="25" t="inlineStr">
        <is>
          <t>https://commons.wikimedia.org/wiki/File:F%C3%A1bio_Faria_(cropped).jpg</t>
        </is>
      </c>
    </row>
    <row r="34" ht="149.25" customHeight="1" s="26">
      <c r="A34" s="38" t="inlineStr">
        <is>
          <t>frias</t>
        </is>
      </c>
      <c r="B34" s="39" t="inlineStr">
        <is>
          <t>Mario Frias</t>
        </is>
      </c>
      <c r="C34" s="38" t="inlineStr">
        <is>
          <t>Flávio e família</t>
        </is>
      </c>
      <c r="D34" s="38" t="inlineStr">
        <is>
          <t>Deputado federal (PL-SP), reeleito em 04/10/2026 com 91.403 votos. Ex-secretário especial de Cultura de Jair Bolsonaro e produtor-executivo do filme Dark Horse. Áudio divulgado pelo Intercept mostra ele agradecendo Vorcaro pelo financiamento do filme.</t>
        </is>
      </c>
      <c r="E34" s="38" t="inlineStr">
        <is>
          <t>São Paulo (SP); mandato em Brasília</t>
        </is>
      </c>
      <c r="F34" s="38" t="inlineStr">
        <is>
          <t>Vivo</t>
        </is>
      </c>
      <c r="G34" s="38" t="inlineStr">
        <is>
          <t>Investigado na PET 16.669 (STF), sobre suposto desvio de emendas ligado ao filme Dark Horse. Em 13/09/2026 o ministro Flávio Dino apontou Frias como possível figura central da estrutura investigada, como linha de investigação e não conclusão; a PF o chama de “agente central”. Alvo da Operação Make Up (10/09/2026). Sem denúncia nem condenação. Ele nega irregularidades, chama o caso de “cortina de fumaça” e diz que vai colaborar.</t>
        </is>
      </c>
      <c r="H34" s="40" t="inlineStr">
        <is>
          <t>Investigado / alvo (sem denúncia)</t>
        </is>
      </c>
      <c r="I34" s="38" t="inlineStr">
        <is>
          <t>Nada nas fontes.</t>
        </is>
      </c>
      <c r="J34" s="38" t="inlineStr">
        <is>
          <t>Situação de investigado reverificada em 26/10/2026 (decisão de Dino, set/2026). 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 Resposta do citado: ver Situação jurídica (Congresso em Foco, 13/09/2026). Pedidos de correção ou resposta: ver “Sobre este mapa”.</t>
        </is>
      </c>
      <c r="K34" s="38" t="inlineStr">
        <is>
          <t>Mario Frias e a produção de Dark Horse (intercept.com.br) https://www.intercept.com.br/2026/05/19/audio-mario-frias-daniel-vorcaro/ | Piauí: 71% das interações de Vorcaro com políticos eram do governo Bolsonaro (piaui.uol.com.br) https://piaui.uol.com.br/web/mais-de-70-das-interacoes-do-celular-de-vorcaro-com-politicos-eram-com-membros-do-governo-bolsonaro/ | Congresso em Foco 13/09/2026 (decisão de Dino na PET 16.669) https://www.congressoemfoco.com.br/noticia/122209/mario-frias-seria-peca-central-em-esquema-de-dark-horse-aponta-dino | A Crítica 2026 (Frias reeleito com 91.403 votos) https://acritica.net/entretenimento/famosos-eleitos-2026-thammy-mario-frias-datena-caneta-azul/</t>
        </is>
      </c>
      <c r="L34" s="38" t="inlineStr">
        <is>
          <t>26/10/2026</t>
        </is>
      </c>
      <c r="M34" s="38" t="inlineStr">
        <is>
          <t>21/10/2026: importado do acervo a verdade. (bolsomaster.site) (perfil novo). 22/10/2026: foto adicionada. 23/10/2026: contato no celular de Vorcaro (piauí/InterSecLab) e resposta à reportagem. 23/10/2026: campo de resposta do citado incluído. 26/10/2026: situação de investigado reverificada (Dino, PET 16.669) com a resposta dele; reeleito deputado federal.</t>
        </is>
      </c>
      <c r="N34" s="25" t="inlineStr">
        <is>
          <t>frias.jpg</t>
        </is>
      </c>
      <c r="O34" s="25" t="inlineStr">
        <is>
          <t>Isac Nóbrega/PR · CC BY 2.0</t>
        </is>
      </c>
      <c r="P34" s="25" t="inlineStr">
        <is>
          <t>https://commons.wikimedia.org/wiki/File:M%C3%A1rio_Frias_em_2020.jpg</t>
        </is>
      </c>
    </row>
    <row r="35" ht="149.25" customHeight="1" s="26">
      <c r="A35" s="38" t="inlineStr">
        <is>
          <t>gaspar</t>
        </is>
      </c>
      <c r="B35" s="39" t="inlineStr">
        <is>
          <t>Alfredo Gaspar</t>
        </is>
      </c>
      <c r="C35" s="38" t="inlineStr">
        <is>
          <t>Flávio e família</t>
        </is>
      </c>
      <c r="D35" s="38" t="inlineStr">
        <is>
          <t>Deputado federal por Alagoas (eleito em 2022 pelo União Brasil; no PL desde mar/2026). Vice na chapa de Flávio Bolsonaro, derrotada no 2º turno em 25/10/2026. Como não disputou outro cargo, fica sem mandato a partir de fev/2027.</t>
        </is>
      </c>
      <c r="E35" s="38" t="inlineStr">
        <is>
          <t>Alagoas (AL)</t>
        </is>
      </c>
      <c r="F35" s="38" t="inlineStr">
        <is>
          <t>Vivo</t>
        </is>
      </c>
      <c r="G35" s="38" t="inlineStr">
        <is>
          <t>Sem processo ou investigação em andamento nas fontes consultadas.</t>
        </is>
      </c>
      <c r="H35" s="40" t="inlineStr">
        <is>
          <t>Citado, sem acusação</t>
        </is>
      </c>
      <c r="I35" s="38" t="inlineStr">
        <is>
          <t>Nada nas fontes.</t>
        </is>
      </c>
      <c r="J35" s="38" t="inlineStr">
        <is>
          <t>Perfil limitado ao papel na chapa. Em 23/10/2026 retirei a menção a pedido de investigação já arquivado: não é uma conexão com os demais nós.</t>
        </is>
      </c>
      <c r="K35" s="38" t="inlineStr">
        <is>
          <t>Alfredo Gaspar, vice na chapa de Flávio (folha.uol.com.br) https://www1.folha.uol.com.br/poder/2026/10/gilmar-arquiva-pedido-de-investigacao-contra-vice-de-flavio-bolsonaro-por-suspeita-de-estupro.shtml | Alfredo Gaspar, vice na chapa de Flávio (noticias.uol.com.br) https://noticias.uol.com.br/eleicoes/2026/10/06/gilmar-mendes-arquiva-stf-suspeita-estupro-alfredo-gaspar-vice-flavio.ghtm | Alfredo Gaspar, vice na chapa de Flávio (dgabc.com.br) https://www.dgabc.com.br/Noticia/4351319/gilmar-arquiva-pedido-de-investigacao-por-suspeita-de-estupro-contra-vice-de-flavio | Tribuna do Agreste 26/10/2026 (Gaspar sem mandato a partir de 2027) https://www.tribunadoagreste.com.br/politica/2026/10/26/1006199-derrota-de-flavio-bolsonaro-deixa-alfredo-gaspar-sem-mandato-eletivo-a-partir-de-2027</t>
        </is>
      </c>
      <c r="L35" s="38" t="inlineStr">
        <is>
          <t>26/10/2026</t>
        </is>
      </c>
      <c r="M35" s="38" t="inlineStr">
        <is>
          <t>23/10/2026: retirada a menção a pedido de investigação arquivado (revisão editorial). 26/10/2026: chapa derrotada no 2º turno; cargo atual e fim do mandato.</t>
        </is>
      </c>
      <c r="N35" s="25" t="inlineStr">
        <is>
          <t>gaspar.jpg</t>
        </is>
      </c>
      <c r="O35" s="25" t="inlineStr">
        <is>
          <t>Kayo Magalhães/Câmara dos Deputados · CC BY 3.0</t>
        </is>
      </c>
      <c r="P35" s="25" t="inlineStr">
        <is>
          <t>https://commons.wikimedia.org/wiki/File:Alfredo_Gaspar_Deputado_Federal_(cropped).jpg</t>
        </is>
      </c>
    </row>
    <row r="36" ht="82.05" customHeight="1" s="26">
      <c r="A36" s="38" t="inlineStr">
        <is>
          <t>weverton</t>
        </is>
      </c>
      <c r="B36" s="39" t="inlineStr">
        <is>
          <t>Weverton Rocha</t>
        </is>
      </c>
      <c r="C36" s="38" t="inlineStr">
        <is>
          <t>Poder e Justiça</t>
        </is>
      </c>
      <c r="D36" s="38"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8" t="inlineStr">
        <is>
          <t>Maranhão (MA); mandato em Brasília</t>
        </is>
      </c>
      <c r="F36" s="38" t="inlineStr">
        <is>
          <t>Vivo</t>
        </is>
      </c>
      <c r="G36" s="38" t="inlineStr">
        <is>
          <t>Investigado, sem denúncia. Diz que as movimentações vêm de atividades profissionais declaradas à Receita e que é alvo por suas posições políticas. Willer diz que os repasses a Samya são honorários de advogada associada.</t>
        </is>
      </c>
      <c r="H36" s="40" t="inlineStr">
        <is>
          <t>Investigado / alvo (sem denúncia)</t>
        </is>
      </c>
      <c r="I36" s="38" t="inlineStr">
        <is>
          <t>Nada nas fontes.</t>
        </is>
      </c>
      <c r="J36" s="38" t="inlineStr">
        <is>
          <t>“Braço direito” é expressão do UOL News; a PF descreve a estrutura de Willer como “hub financeiro, patrimonial e logístico” do senador.</t>
        </is>
      </c>
      <c r="K36" s="38" t="inlineStr">
        <is>
          <t>Poder360 04/08/2026 https://www.poder360.com.br/poder-justica/pf-investiga-advogado-amigo-de-flavio-em-operacao-sobre-o-inss/ | O Povo 04/08/2026 https://www.opovo.com.br/noticias/politica/2026/08/04/pf-investiga-senador-weverton-rocha-por-suspeita-de-desvios-no-inss.html</t>
        </is>
      </c>
      <c r="L36" s="38" t="inlineStr">
        <is>
          <t>22/10/2026</t>
        </is>
      </c>
      <c r="M36" s="38" t="inlineStr">
        <is>
          <t>22/10/2026: rodada UOL News (bets, Loterj, hangar, Weverton). Perfil novo. 22/10/2026: foto adicionada.</t>
        </is>
      </c>
      <c r="N36" s="25" t="inlineStr">
        <is>
          <t>weverton.jpg</t>
        </is>
      </c>
      <c r="O36" s="25" t="inlineStr">
        <is>
          <t>Rodrigo Viana/Senado Federal · CC BY 2.0</t>
        </is>
      </c>
      <c r="P36" s="25" t="inlineStr">
        <is>
          <t>https://commons.wikimedia.org/wiki/File:Senadores_da_56%C2%AA_Legislatura_-_Weverton_Rocha_(32121443327).jpg</t>
        </is>
      </c>
    </row>
    <row r="37" ht="15" customHeight="1" s="26">
      <c r="A37" s="25" t="inlineStr">
        <is>
          <t>pf</t>
        </is>
      </c>
      <c r="B37" s="25" t="inlineStr">
        <is>
          <t>Polícia Federal</t>
        </is>
      </c>
      <c r="C37" s="25" t="inlineStr">
        <is>
          <t>Poder e Justiça</t>
        </is>
      </c>
      <c r="D37" s="25" t="inlineStr">
        <is>
          <t>Polícia judiciária da União. Conduz as duas frentes centrais do mapa: a Operação Compliance Zero (Banco Master; prendeu Daniel Vorcaro em 17/11/2025 e teve várias fases em 2026) e a Operação Sem Desconto (descontos ilegais em aposentadorias do INSS; deflagrada com a CGU em abr/2025, com nova fase em 04/08/2026 contra Willer Tomaz e familiares de Weverton Rocha). Em out/2026 enviou ao STF um segundo inquérito sobre Flávio Bolsonaro, por suspeita de lavagem ligada a Willer.</t>
        </is>
      </c>
      <c r="E37" s="25" t="inlineStr">
        <is>
          <t>Sede em Brasília (DF); atuação nacional</t>
        </is>
      </c>
      <c r="F37" s="25" t="inlineStr">
        <is>
          <t>—</t>
        </is>
      </c>
      <c r="G37" s="25" t="inlineStr">
        <is>
          <t>Em 08/09/2026 o ministro André Mendonça afastou o diretor-geral Andrei Rodrigues e o diretor de Inteligência, sem ouvir a PGR; a AGU contestou a decisão.</t>
        </is>
      </c>
      <c r="H37" s="25" t="inlineStr">
        <is>
          <t>Órgão público</t>
        </is>
      </c>
      <c r="I37" s="25" t="inlineStr">
        <is>
          <t>—</t>
        </is>
      </c>
      <c r="J37" s="25" t="inlineStr">
        <is>
          <t>—</t>
        </is>
      </c>
      <c r="K37" s="25" t="inlineStr">
        <is>
          <t>Entenda a operação que prendeu Vorcaro (cnnbrasil.com.br) https://www.cnnbrasil.com.br/economia/mercado/entenda-operacao-que-prendeu-daniel-vorcaro-dono-do-banco-master/ | Nova fase da Sem Desconto mira Weverton e Willer (congressoemfoco.com.br) https://www.congressoemfoco.com.br/noticia/120986/fraudes-no-inss-pf-mira-weverton-rocha-e-advogado-willer-tomaz | Afastamento do diretor-geral da PF (cnnbrasil.com.br) https://www.cnnbrasil.com.br/blogs/teo-cury/politica/mendonca-ordenou-afastamento-de-diretor-geral-da-pf-sem-ouvir-pgr/ | Segundo inquérito contra Flávio no STF (oliberal.com) https://www.oliberal.com/politica/flavio-e-investigado-em-2-inquerito-no-stf-para-apurar-suspeitas-de-lavagem-com-advogado-1.1183991</t>
        </is>
      </c>
      <c r="L37" s="25" t="inlineStr">
        <is>
          <t>22/10/2026</t>
        </is>
      </c>
      <c r="M37" s="25" t="inlineStr">
        <is>
          <t>22/10/2026: rodada contexto e imagens (perfil novo).</t>
        </is>
      </c>
      <c r="N37" s="25" t="inlineStr">
        <is>
          <t>pf.jpg</t>
        </is>
      </c>
      <c r="O37" s="25" t="inlineStr">
        <is>
          <t>Agência Senado · CC BY 2.0</t>
        </is>
      </c>
      <c r="P37" s="25" t="inlineStr">
        <is>
          <t>https://commons.wikimedia.org/wiki/File:Sede_da_Pol%C3%ADcia_Federal_(52830107256).jpg</t>
        </is>
      </c>
    </row>
    <row r="38" ht="15" customHeight="1" s="26">
      <c r="A38" s="25" t="inlineStr">
        <is>
          <t>angra</t>
        </is>
      </c>
      <c r="B38" s="25" t="inlineStr">
        <is>
          <t>Mansão em Angra dos Reis</t>
        </is>
      </c>
      <c r="C38" s="25" t="inlineStr">
        <is>
          <t>Casas e ativos</t>
        </is>
      </c>
      <c r="D38" s="25" t="inlineStr">
        <is>
          <t>Mansão na Ilha Comprida, em Angra dos Reis, avaliada em cerca de R$ 10 mi. Foi comprada em 2020 pela empresa de Richarlison e de seu empresário; em 2022 a posse foi transferida na Justiça à WT Administração de Imóveis, de Willer Tomaz, que diz ter pago pendências da antiga dona (M Locadora) por sub-rogação. O processo terminou em 2025, favorável a Willer. A Prime You, de que Vorcaro era sócio, administrou o imóvel, e Flávio fez lá o aniversário da filha.</t>
        </is>
      </c>
      <c r="E38" s="25" t="inlineStr">
        <is>
          <t>Ilha Comprida, Angra dos Reis (RJ)</t>
        </is>
      </c>
      <c r="F38" s="25" t="inlineStr">
        <is>
          <t>—</t>
        </is>
      </c>
      <c r="G38" s="25" t="inlineStr">
        <is>
          <t>Disputa civil encerrada em favor da WT. Em out/2026 Richarlison pediu à PF que investigue o caso; não há inquérito específico sobre o imóvel nas fontes.</t>
        </is>
      </c>
      <c r="H38" s="25" t="inlineStr">
        <is>
          <t>Bem citado</t>
        </is>
      </c>
      <c r="I38" s="25" t="inlineStr">
        <is>
          <t>—</t>
        </is>
      </c>
      <c r="J38" s="25" t="inlineStr">
        <is>
          <t>Flávio diz não ter relação com o imóvel e chamou a associação de "factualmente infundada e eleitoralmente motivada". Willer chama os antigos ocupantes de "invasores".</t>
        </is>
      </c>
      <c r="K38" s="25" t="inlineStr">
        <is>
          <t>Richarlison disputa imóvel com amigo de Flávio (poder360.com.br) https://www.poder360.com.br/justica/richarlison-briga-na-justica-com-amigo-de-flavio-bolsonaro/ | Richarlison pede apuração à PF (sbtnews.sbt.com.br) https://sbtnews.sbt.com.br/noticia/brasil/richarlison-apuracao-pf-disputa-ilha-flavio-bolsonaro | Empresas e imóveis em nome de Lídia Mazelli (iclnoticias.com.br) https://iclnoticias.com.br/domestica-preside-empresas-fraude-flavio/</t>
        </is>
      </c>
      <c r="L38" s="25" t="inlineStr">
        <is>
          <t>22/10/2026</t>
        </is>
      </c>
      <c r="M38" s="25" t="inlineStr">
        <is>
          <t>22/10/2026: rodada contexto e imagens (perfil novo).</t>
        </is>
      </c>
    </row>
    <row r="39" ht="15" customHeight="1" s="26">
      <c r="A39" s="25" t="inlineStr">
        <is>
          <t>master</t>
        </is>
      </c>
      <c r="B39" s="25" t="inlineStr">
        <is>
          <t>Banco Master</t>
        </is>
      </c>
      <c r="C39" s="25" t="inlineStr">
        <is>
          <t>Vorcaro e o Banco Master</t>
        </is>
      </c>
      <c r="D39" s="25" t="inlineStr">
        <is>
          <t>Banco de Daniel Vorcaro. Cresceu vendendo CDBs com rendimento acima do mercado, apoiados na garantia do FGC. O Banco Central decretou a liquidação extrajudicial em 18/11/2025, no dia da Operação Compliance Zero (Vorcaro foi preso na noite anterior, em Guarulhos), que apura gestão fraudulenta e venda de carteiras de crédito sem lastro. O BRB, banco público do DF, pôs cerca de R$ 12 bi no Master comprando carteiras que a investigação aponta como fraudulentas.</t>
        </is>
      </c>
      <c r="E39" s="25" t="inlineStr">
        <is>
          <t>São Paulo (SP)</t>
        </is>
      </c>
      <c r="F39" s="25" t="inlineStr">
        <is>
          <t>—</t>
        </is>
      </c>
      <c r="G39" s="25" t="inlineStr">
        <is>
          <t>Em liquidação extrajudicial pelo BC desde nov/2025. Ex-dirigentes investigados no STF (relator André Mendonça); Vorcaro preso.</t>
        </is>
      </c>
      <c r="H39" s="25" t="inlineStr">
        <is>
          <t>Investigado / alvo (sem denúncia)</t>
        </is>
      </c>
      <c r="I39" s="25" t="inlineStr">
        <is>
          <t>—</t>
        </is>
      </c>
      <c r="J39" s="25" t="inlineStr">
        <is>
          <t>Resposta do citado: não localizada nas fontes consultadas (checagem de 23/10/2026). Pedidos de correção ou resposta: ver “Sobre este mapa”.</t>
        </is>
      </c>
      <c r="K39" s="25" t="inlineStr">
        <is>
          <t>Banco Master tem liquidação decretada (bloomberglinea.com.br) https://www.bloomberglinea.com.br/negocios/banco-master-tem-liquidacao-decretada-e-daniel-vorcaro-e-preso-pela-policia-federal/ | Entenda a operação que prendeu Vorcaro (cnnbrasil.com.br) https://www.cnnbrasil.com.br/economia/mercado/entenda-operacao-que-prendeu-daniel-vorcaro-dono-do-banco-master/ | PF prende ex-presidente do BRB (timesbrasil.com.br) https://timesbrasil.com.br/brasil/operacoes-da-pf/pf-prende-paulo-henrique-costa-ex-presidente-do-brb-em-nova-fase-da-compliance-zero/</t>
        </is>
      </c>
      <c r="L39" s="25" t="inlineStr">
        <is>
          <t>22/10/2026</t>
        </is>
      </c>
      <c r="M39" s="25" t="inlineStr">
        <is>
          <t>22/10/2026: rodada contexto e imagens (perfil novo). 23/10/2026: campo de resposta do citado incluído.</t>
        </is>
      </c>
      <c r="N39" s="25" t="inlineStr">
        <is>
          <t>master.png</t>
        </is>
      </c>
      <c r="O39" s="25" t="inlineStr">
        <is>
          <t>Banco Master · domínio público (logo simples, sem direito autoral)</t>
        </is>
      </c>
      <c r="P39" s="25" t="inlineStr">
        <is>
          <t>https://commons.wikimedia.org/wiki/File:Logotipo_do_Banco_Master.svg</t>
        </is>
      </c>
    </row>
    <row r="40" ht="15" customHeight="1" s="26">
      <c r="A40" s="25" t="inlineStr">
        <is>
          <t>coaf</t>
        </is>
      </c>
      <c r="B40" s="25" t="inlineStr">
        <is>
          <t>Caso rachadinha / COAF</t>
        </is>
      </c>
      <c r="C40" s="25" t="inlineStr">
        <is>
          <t>Poder e Justiça</t>
        </is>
      </c>
      <c r="D40" s="25" t="inlineStr">
        <is>
          <t>Investigação do MP-RJ sobre devolução de salários ("rachadinha") no gabinete de Flávio na Alerj. Começou com relatório do Coaf de 2018 que apontou R$ 1,2 mi em movimentações atípicas de Fabrício Queiroz. Em nov/2020 Flávio foi denunciado por peculato, lavagem e organização criminosa (desvio estimado em cerca de R$ 6 mi). O STJ anulou quebras de sigilo em fev/2021, e em 30/11/2021 a Segunda Turma do STF anulou quatro relatórios do Coaf (3 a 1, com voto de Nunes Marques).</t>
        </is>
      </c>
      <c r="E40" s="25" t="inlineStr">
        <is>
          <t>Rio de Janeiro (RJ)</t>
        </is>
      </c>
      <c r="F40" s="25" t="inlineStr">
        <is>
          <t>—</t>
        </is>
      </c>
      <c r="G40" s="25" t="inlineStr">
        <is>
          <t>Com as anulações, a denúncia original ficou sem efeito e o caso voltou praticamente à estaca zero. Flávio sempre negou irregularidades.</t>
        </is>
      </c>
      <c r="H40" s="25" t="inlineStr">
        <is>
          <t>Caso</t>
        </is>
      </c>
      <c r="I40" s="25" t="inlineStr">
        <is>
          <t>—</t>
        </is>
      </c>
      <c r="J40" s="25" t="inlineStr">
        <is>
          <t>O primeiro relatório do Coaf, sobre Queiroz, foi mantido; os anulados são os posteriores.</t>
        </is>
      </c>
      <c r="K40" s="25" t="inlineStr">
        <is>
          <t>STF anula 4 relatórios do Coaf (poder360.com.br) https://www.poder360.com.br/justica/stf-anula-4-relatorios-do-coaf-que-miravam-flavio-no-caso-das-rachadinhas/ | Segunda Turma anula provas contra Flávio (correiobraziliense.com.br) https://www.correiobraziliense.com.br/politica/2021/11/4967209-segunda-turma-anula-provas-contra-flavio-bolsonaro-no-inquerito-das-rachadinhas.html</t>
        </is>
      </c>
      <c r="L40" s="25" t="inlineStr">
        <is>
          <t>22/10/2026</t>
        </is>
      </c>
      <c r="M40" s="25" t="inlineStr">
        <is>
          <t>22/10/2026: rodada contexto e imagens (perfil novo).</t>
        </is>
      </c>
    </row>
    <row r="41" ht="15" customHeight="1" s="26">
      <c r="A41" s="25" t="inlineStr">
        <is>
          <t>jato</t>
        </is>
      </c>
      <c r="B41" s="25" t="inlineStr">
        <is>
          <t>Jato (3 cotistas)</t>
        </is>
      </c>
      <c r="C41" s="25" t="inlineStr">
        <is>
          <t>Casas e ativos</t>
        </is>
      </c>
      <c r="D41" s="25" t="inlineStr">
        <is>
          <t>Embraer Legacy 650, prefixo PP-NLR, dividido em três cotas: Alcazar Holdings (de Willer Tomaz), Prime You (de que Vorcaro era sócio) e Laerte Cosentino. Flávio voou nele com Willer em jan/2025, entre Brasília e a Flórida, segundo a piauí. Segundo O Globo, Alexandre de Moraes e a esposa também desembarcaram desse jato em ago/2025.</t>
        </is>
      </c>
      <c r="E41" s="25" t="inlineStr">
        <is>
          <t>Base no Brasil (DF/SP)</t>
        </is>
      </c>
      <c r="F41" s="25" t="inlineStr">
        <is>
          <t>—</t>
        </is>
      </c>
      <c r="G41" s="25" t="inlineStr">
        <is>
          <t>O jato aparece em inquéritos da PF sobre Willer e Flávio; não há processo sobre a aeronave em si.</t>
        </is>
      </c>
      <c r="H41" s="25" t="inlineStr">
        <is>
          <t>Bem citado</t>
        </is>
      </c>
      <c r="I41" s="25" t="inlineStr">
        <is>
          <t>—</t>
        </is>
      </c>
      <c r="J41" s="25" t="inlineStr">
        <is>
          <t>As fontes divergem sobre o registro: uma cita a Fraction 024 Administração de Bem Próprio, outra a Prime Aviation. Flávio diz que voou de carona, por amizade; Willer diz que não sabia que a Prime You era de Vorcaro.</t>
        </is>
      </c>
      <c r="K41" s="25" t="inlineStr">
        <is>
          <t>Flávio era usuário master de conta de offshore sócia do jato (maisgoias.com.br) https://www.maisgoias.com.br/brasil/flavio-bolsonaro-era-usuario-master-de-conta-de-offshore-socia-do-jato-usado-por-vorcaro/ | Moraes flagrado desembarcando do PP-NLR (diariodepernambuco.com.br) https://www.diariodepernambuco.com.br/politica/2026/09/11724483-alexandre-de-moraes-foi-flagrado-desembarcando-de-jatinho-de-vorcaro.html</t>
        </is>
      </c>
      <c r="L41" s="25" t="inlineStr">
        <is>
          <t>22/10/2026</t>
        </is>
      </c>
      <c r="M41" s="25" t="inlineStr">
        <is>
          <t>22/10/2026: rodada contexto e imagens (perfil novo).</t>
        </is>
      </c>
    </row>
    <row r="42" ht="15" customHeight="1" s="26">
      <c r="A42" s="25" t="inlineStr">
        <is>
          <t>primeu</t>
        </is>
      </c>
      <c r="B42" s="25" t="inlineStr">
        <is>
          <t>Prime U</t>
        </is>
      </c>
      <c r="C42" s="25" t="inlineStr">
        <is>
          <t>Vorcaro e o Banco Master</t>
        </is>
      </c>
      <c r="D42" s="25" t="inlineStr">
        <is>
          <t>Prime You: empresa de compartilhamento e gestão de bens de alto padrão (cotas de aviões, barcos, casas e carros). Vorcaro foi sócio até set/2025, quando a participação passou a um fundo. Administra mansões, um hotel em Campos do Jordão e jatos; era cotista do jato usado por Flávio e administrou a mansão de Angra. Segundo o Valor, pagou em 2025 um voo de R$ 1,17 mi usado por Pablo Marçal.</t>
        </is>
      </c>
      <c r="E42" s="25" t="inlineStr">
        <is>
          <t>São Paulo (SP)</t>
        </is>
      </c>
      <c r="F42" s="25" t="inlineStr">
        <is>
          <t>—</t>
        </is>
      </c>
      <c r="G42" s="25" t="inlineStr">
        <is>
          <t>Sem acusação formal contra a empresa nas fontes.</t>
        </is>
      </c>
      <c r="H42" s="25" t="inlineStr">
        <is>
          <t>Citado, sem acusação</t>
        </is>
      </c>
      <c r="I42" s="25" t="inlineStr">
        <is>
          <t>—</t>
        </is>
      </c>
      <c r="J42" s="25" t="inlineStr">
        <is>
          <t>A empresa diz que administrar um bem "não implica necessariamente propriedade direta" de Vorcaro.</t>
        </is>
      </c>
      <c r="K42" s="25" t="inlineStr">
        <is>
          <t>Mansões, hotel e jatos administrados pela Prime You (jornalgrandebahia.com.br) https://jornalgrandebahia.com.br/2026/03/ex-banqueiro-daniel-vorcaro-tem-mansoes-hotel-de-luxo-e-jatos-administrados-pela-prime-you-empresa-da-qual-foi-socio/ | Empresa de Vorcaro pagou voo de Marçal (gp1.com.br) https://www.gp1.com.br/brasil/noticia/2026/10/2/empresa-ligada-a-daniel-vorcaro-pagou-voo-de-r-117-milhao-usado-por-pablo-marcal-633016.html</t>
        </is>
      </c>
      <c r="L42" s="25" t="inlineStr">
        <is>
          <t>22/10/2026</t>
        </is>
      </c>
      <c r="M42" s="25" t="inlineStr">
        <is>
          <t>22/10/2026: rodada contexto e imagens (perfil novo).</t>
        </is>
      </c>
    </row>
    <row r="43" ht="15" customHeight="1" s="26">
      <c r="A43" s="25" t="inlineStr">
        <is>
          <t>alcazar</t>
        </is>
      </c>
      <c r="B43" s="25" t="inlineStr">
        <is>
          <t>Alcazar Holdings</t>
        </is>
      </c>
      <c r="C43" s="25" t="inlineStr">
        <is>
          <t>Willer Tomaz e sua rede</t>
        </is>
      </c>
      <c r="D43" s="25" t="inlineStr">
        <is>
          <t>Offshore registrada na Ilha da Madeira (Portugal) em 2023, que tem Willer Tomaz como único sócio. É cotista do jato PP-NLR e tinha conta no Santander em que, segundo a PF, Flávio aparecia como "usuário master"; a conta teria movimentado cerca de R$ 130 mi entre mar e mai/2025. Divide dono, administrador e endereço no Funchal com a Cathedral Holdings, dona da Best Bet.</t>
        </is>
      </c>
      <c r="E43" s="25" t="inlineStr">
        <is>
          <t>Funchal, Ilha da Madeira (Portugal)</t>
        </is>
      </c>
      <c r="F43" s="25" t="inlineStr">
        <is>
          <t>—</t>
        </is>
      </c>
      <c r="G43" s="25" t="inlineStr">
        <is>
          <t>Citada no inquérito da PF enviado ao STF em out/2026 (relator Alexandre de Moraes) sobre suspeita de lavagem envolvendo Flávio e Willer.</t>
        </is>
      </c>
      <c r="H43" s="25" t="inlineStr">
        <is>
          <t>Investigado / alvo (sem denúncia)</t>
        </is>
      </c>
      <c r="I43" s="25" t="inlineStr">
        <is>
          <t>—</t>
        </is>
      </c>
      <c r="J43" s="25" t="inlineStr">
        <is>
          <t>Willer atribui o vínculo de Flávio à conta a um erro cadastral do Santander, já corrigido. Flávio nega ter tido conta com Willer.</t>
        </is>
      </c>
      <c r="K43" s="25" t="inlineStr">
        <is>
          <t>Flávio era usuário master de conta de offshore (maisgoias.com.br) https://www.maisgoias.com.br/brasil/flavio-bolsonaro-era-usuario-master-de-conta-de-offshore-socia-do-jato-usado-por-vorcaro/ | Offshore ligada a Flávio e o mercado de bets (jornalopcao.com.br) https://www.jornalopcao.com.br/ultimas-noticias/offshore-ligada-a-flavio-bolsonaro-reune-conexoes-com-o-mercado-de-bets-879306/ | Segundo inquérito contra Flávio no STF (oliberal.com) https://www.oliberal.com/politica/flavio-e-investigado-em-2-inquerito-no-stf-para-apurar-suspeitas-de-lavagem-com-advogado-1.1183991</t>
        </is>
      </c>
      <c r="L43" s="25" t="inlineStr">
        <is>
          <t>22/10/2026</t>
        </is>
      </c>
      <c r="M43" s="25" t="inlineStr">
        <is>
          <t>22/10/2026: rodada contexto e imagens (perfil novo).</t>
        </is>
      </c>
    </row>
    <row r="44" ht="15" customHeight="1" s="26">
      <c r="A44" s="25" t="inlineStr">
        <is>
          <t>wt</t>
        </is>
      </c>
      <c r="B44" s="25" t="inlineStr">
        <is>
          <t>WT (e outras 13 empresas)</t>
        </is>
      </c>
      <c r="C44" s="25" t="inlineStr">
        <is>
          <t>Willer Tomaz e sua rede</t>
        </is>
      </c>
      <c r="D44" s="25" t="inlineStr">
        <is>
          <t>WT Administração de Imóveis e Bens, empresa de Willer Tomaz. Ficou com a mansão de Angra e comprou de Fabiano Zettel um apartamento em SP. É uma de cerca de 14 empresas ligadas a Willer (Jet Line, Ícaro Aviation, Friponor, RioPag/Capital Pretium, Alcazar etc.) que tiveram Lídia Mazelli como diretora; a WT até jul/2024. A PF diz que Weverton Rocha mora numa casa de R$ 6 mi registrada na WT.</t>
        </is>
      </c>
      <c r="E44" s="25" t="inlineStr">
        <is>
          <t>Brasília (DF)</t>
        </is>
      </c>
      <c r="F44" s="25" t="inlineStr">
        <is>
          <t>—</t>
        </is>
      </c>
      <c r="G44" s="25" t="inlineStr">
        <is>
          <t>Citada na Operação Sem Desconto (ago/2026). Willer diz que os negócios da imobiliária são regulares.</t>
        </is>
      </c>
      <c r="H44" s="25" t="inlineStr">
        <is>
          <t>Investigado / alvo (sem denúncia)</t>
        </is>
      </c>
      <c r="I44" s="25" t="inlineStr">
        <is>
          <t>—</t>
        </is>
      </c>
      <c r="J44" s="25" t="inlineStr">
        <is>
          <t>A reportagem do ICL fala em 14 empresas, mas nomeia 13.</t>
        </is>
      </c>
      <c r="K44" s="25" t="inlineStr">
        <is>
          <t>Doméstica preside no papel empresas de Willer (iclnoticias.com.br) https://iclnoticias.com.br/domestica-preside-empresas-fraude-flavio/ | Apartamento usado por Flávio foi vendido à WT (diariodocomercio.com.br) https://diariodocomercio.com.br/politica/flavio-bolsonaro-apartamento-pf/ | Nova fase da Sem Desconto (congressoemfoco.com.br) https://www.congressoemfoco.com.br/noticia/120986/fraudes-no-inss-pf-mira-weverton-rocha-e-advogado-willer-tomaz</t>
        </is>
      </c>
      <c r="L44" s="25" t="inlineStr">
        <is>
          <t>22/10/2026</t>
        </is>
      </c>
      <c r="M44" s="25" t="inlineStr">
        <is>
          <t>22/10/2026: rodada contexto e imagens (perfil novo).</t>
        </is>
      </c>
    </row>
    <row r="45" ht="15" customHeight="1" s="26">
      <c r="A45" s="25" t="inlineStr">
        <is>
          <t>iter</t>
        </is>
      </c>
      <c r="B45" s="25" t="inlineStr">
        <is>
          <t>Instituto ITER</t>
        </is>
      </c>
      <c r="C45" s="25" t="inlineStr">
        <is>
          <t>Poder e Justiça</t>
        </is>
      </c>
      <c r="D45" s="25" t="inlineStr">
        <is>
          <t>Instituto de ensino jurídico em São Paulo de que André Mendonça era sócio. Recebeu ao menos 52 contratos sem licitação de prefeituras, estados e tribunais (R$ 8,2 mi em dois anos, segundo a Revista Fórum), entre eles o governo de SP (R$ 1,6 mi), a Prefeitura de SP (R$ 380 mil) e o governo do RJ (R$ 518 mil). Em jan/2026 recebeu R$ 5,2 mi de empresa de um ex-parceiro de negócios de Vorcaro. Mendonça recebeu Vorcaro na sede do instituto em 14/03/2025.</t>
        </is>
      </c>
      <c r="E45" s="25" t="inlineStr">
        <is>
          <t>São Paulo (SP)</t>
        </is>
      </c>
      <c r="F45" s="25" t="inlineStr">
        <is>
          <t>—</t>
        </is>
      </c>
      <c r="G45" s="25" t="inlineStr">
        <is>
          <t>Alvo de representações de parlamentares do PSOL ao TCM-SP, ao TCE-SP e ao MP-SP (set/2026). Mendonça anunciou que deixaria a sociedade.</t>
        </is>
      </c>
      <c r="H45" s="25" t="inlineStr">
        <is>
          <t>Citado, sem acusação</t>
        </is>
      </c>
      <c r="I45" s="25" t="inlineStr">
        <is>
          <t>—</t>
        </is>
      </c>
      <c r="J45" s="25" t="inlineStr">
        <is>
          <t>Os levantamentos de contratos (52 e R$ 8,2 mi; 55 e R$ 10,8 mi) são recortes diferentes e não se somam.</t>
        </is>
      </c>
      <c r="K45" s="25" t="inlineStr">
        <is>
          <t>Instituto de Mendonça é alvo de representações (apublica.org) https://apublica.org/nota/instituto-de-andre-mendonca-e-alvo-de-representacoes-para-investigar-irregularidades/ | Ex-parceiro de Vorcaro pôs R$ 5 mi no instituto (noticias.uol.com.br) https://noticias.uol.com.br/ultimas-noticias/redacao/2026/09/17/ex-parceiro-de-vorcaro-pos-r-5-milhoes-em-instituto-de-mendonca.htm | Mendonça diz que deixará sociedade (dgabc.com.br) https://www.dgabc.com.br/Noticia/4344940/mendonca-diz-que-deixara-sociedade-no-instituto-iter</t>
        </is>
      </c>
      <c r="L45" s="25" t="inlineStr">
        <is>
          <t>22/10/2026</t>
        </is>
      </c>
      <c r="M45" s="25" t="inlineStr">
        <is>
          <t>22/10/2026: rodada contexto e imagens (perfil novo).</t>
        </is>
      </c>
    </row>
    <row r="46" ht="15" customHeight="1" s="26">
      <c r="A46" s="25" t="inlineStr">
        <is>
          <t>triplex</t>
        </is>
      </c>
      <c r="B46" s="25" t="inlineStr">
        <is>
          <t>Triplex de Vorcaro</t>
        </is>
      </c>
      <c r="C46" s="25" t="inlineStr">
        <is>
          <t>Casas e ativos</t>
        </is>
      </c>
      <c r="D46" s="25" t="inlineStr">
        <is>
          <t>Triplex no Itaim Bibi, em São Paulo, ligado a Daniel Vorcaro; em fev/2025 o imóvel pertencia à Super Empreendimentos e Participações, empresa que teve o pastor Fabiano Zettel entre os diretores (levantamento do ICL em cartório). Segundo a piauí, com base em ~125 mensagens do celular de Vorcaro e relatos de funcionários, recebia festas fechadas com garotas de programa.</t>
        </is>
      </c>
      <c r="E46" s="25" t="inlineStr">
        <is>
          <t>Itaim Bibi, São Paulo (SP)</t>
        </is>
      </c>
      <c r="F46" s="25" t="inlineStr">
        <is>
          <t>—</t>
        </is>
      </c>
      <c r="G46" s="25" t="inlineStr">
        <is>
          <t>Não há processo sobre o imóvel nas fontes. As festas aparecem em mensagens do celular de Vorcaro apreendido pela PF e em reportagens (piauí, UOL, Metrópoles).</t>
        </is>
      </c>
      <c r="H46" s="25" t="inlineStr">
        <is>
          <t>Bem citado</t>
        </is>
      </c>
      <c r="I46" s="25" t="inlineStr">
        <is>
          <t>—</t>
        </is>
      </c>
      <c r="J46" s="25" t="inlineStr">
        <is>
          <t>Os relatos não foram verificados de forma independente pela imprensa que os reproduziu. Em 23/10/2026 foram retiradas as menções a frequentadores nomeados, por falta de confirmação nas mensagens. Link da reportagem original da piauí não localizado; ela é citada via Agenda do Poder.</t>
        </is>
      </c>
      <c r="K46" s="25" t="inlineStr">
        <is>
          <t>A semana de festas fechadas de Vorcaro (diariodepernambuco.com.br) https://www.diariodepernambuco.com.br/politica/2026/10/11725610-terca-no-bar-quarta-e-quinta-no-triplex-a-semana-de-festas-fechadas-de-vorcaro.html | Festas no triplex de Vorcaro, diz revista (Agenda do Poder, 16/10/2026, reproduz a piauí) https://agendadopoder.com.br/vorcaro-promoveu-festa-com-garotas-de-programa-para-kassio-nunes-marques-diz-revista/</t>
        </is>
      </c>
      <c r="L46" s="25" t="inlineStr">
        <is>
          <t>23/10/2026</t>
        </is>
      </c>
      <c r="M46" s="25" t="inlineStr">
        <is>
          <t>22/10/2026: rodada contexto e imagens (perfil novo). 23/10/2026: retiradas menções a frequentadores nomeados.</t>
        </is>
      </c>
    </row>
    <row r="47" ht="15" customHeight="1" s="26">
      <c r="A47" s="25" t="inlineStr">
        <is>
          <t>tarcisio</t>
        </is>
      </c>
      <c r="B47" s="25" t="inlineStr">
        <is>
          <t>Tarcísio de Freitas</t>
        </is>
      </c>
      <c r="C47" s="25" t="inlineStr">
        <is>
          <t>Poder e Justiça</t>
        </is>
      </c>
      <c r="D47" s="25" t="inlineStr">
        <is>
          <t>Governador de São Paulo (Republicanos) desde 2023 e ex-ministro da Infraestrutura de Jair Bolsonaro. Na campanha de 2022 recebeu R$ 2 mi de Fabiano Zettel, cunhado de Vorcaro, a maior doação de pessoa física. O governo dele contratou o Instituto ITER, de Mendonça, sem licitação (R$ 1,6 mi), e ele financiou 24% da campanha do deputado Cezinha de Madureira.</t>
        </is>
      </c>
      <c r="E47" s="25" t="inlineStr">
        <is>
          <t>São Paulo (SP)</t>
        </is>
      </c>
      <c r="F47" s="25" t="inlineStr">
        <is>
          <t>Vivo</t>
        </is>
      </c>
      <c r="G47" s="25" t="inlineStr">
        <is>
          <t>Não há investigação contra ele nas fontes.</t>
        </is>
      </c>
      <c r="H47" s="25" t="inlineStr">
        <is>
          <t>Citado, sem acusação</t>
        </is>
      </c>
      <c r="I47" s="25" t="inlineStr">
        <is>
          <t>Nada nas fontes.</t>
        </is>
      </c>
      <c r="J47" s="25" t="inlineStr">
        <is>
          <t>O governo de SP diz que a campanha seguiu a lei, teve mais de 600 doadores e contas aprovadas, e que Tarcísio não tem vínculo com Zettel.</t>
        </is>
      </c>
      <c r="K47" s="25" t="inlineStr">
        <is>
          <t>Alvo da PF doou R$ 5 mi a Bolsonaro e Tarcísio (cnnbrasil.com.br) https://www.cnnbrasil.com.br/politica/alvo-da-pf-doou-r-5-mi-para-campanhas-de-bolsonaro-e-tarcisio-em-2022/ | Contratos do ITER com governos (apublica.org) https://apublica.org/nota/instituto-de-andre-mendonca-e-alvo-de-representacoes-para-investigar-irregularidades/ | Financiamento da campanha de Cezinha (iclnoticias.com.br) https://iclnoticias.com.br/tarcisio-campanha-deputado-mendonca-vorcaro/</t>
        </is>
      </c>
      <c r="L47" s="25" t="inlineStr">
        <is>
          <t>22/10/2026</t>
        </is>
      </c>
      <c r="M47" s="25" t="inlineStr">
        <is>
          <t>22/10/2026: rodada contexto e imagens (perfil novo).</t>
        </is>
      </c>
      <c r="N47" s="25" t="inlineStr">
        <is>
          <t>tarcisio.jpg</t>
        </is>
      </c>
      <c r="O47" s="25" t="inlineStr">
        <is>
          <t>Ciete Silvério/Governo do Estado de SP · CC BY 2.0</t>
        </is>
      </c>
      <c r="P47" s="25" t="inlineStr">
        <is>
          <t>https://commons.wikimedia.org/wiki/File:Governador_do_Estado_de_S%C3%A3o_Paulo,_Tarc%C3%ADsio_de_Freitas_-_Foto_Oficial.jpg</t>
        </is>
      </c>
    </row>
    <row r="48" ht="15" customHeight="1" s="26">
      <c r="A48" s="25" t="inlineStr">
        <is>
          <t>castro</t>
        </is>
      </c>
      <c r="B48" s="25" t="inlineStr">
        <is>
          <t>Cláudio Castro</t>
        </is>
      </c>
      <c r="C48" s="25" t="inlineStr">
        <is>
          <t>Poder e Justiça</t>
        </is>
      </c>
      <c r="D48" s="25" t="inlineStr">
        <is>
          <t>Ex-governador do Rio de Janeiro (PL), no cargo de 2021 a mar/2026. O governo dele contratou o ITER, de Mendonça (R$ 518 mil), e nomeou Hazenclever Cançado para a Loterj, que licenciou a Best Bet e contratou a RioPag. Renunciou em 23/03/2026 e foi tornado inelegível pelo TSE no dia seguinte. Em mai/2026 desistiu de concorrer ao Senado, depois de ser citado em fase da Operação Compliance Zero sobre aportes do Rio Previdência no Master.</t>
        </is>
      </c>
      <c r="E48" s="25" t="inlineStr">
        <is>
          <t>Rio de Janeiro (RJ)</t>
        </is>
      </c>
      <c r="F48" s="25" t="inlineStr">
        <is>
          <t>Vivo</t>
        </is>
      </c>
      <c r="G48" s="25" t="inlineStr">
        <is>
          <t>Inelegível até 2030 por abuso de poder político e econômico na eleição de 2022 (TSE, 5 a 2, 24/03/2026); disse que recorreria. Mendonça escreveu que há indícios, "em tese", de vínculo próximo dele com Vorcaro.</t>
        </is>
      </c>
      <c r="H48" s="25" t="inlineStr">
        <is>
          <t>Investigado / alvo (sem denúncia)</t>
        </is>
      </c>
      <c r="I48" s="25" t="inlineStr">
        <is>
          <t>Nada nas fontes.</t>
        </is>
      </c>
      <c r="J48" s="25" t="inlineStr">
        <is>
          <t>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t>
        </is>
      </c>
      <c r="K48" s="25" t="inlineStr">
        <is>
          <t>TSE torna Castro inelegível (jovempan.com.br) https://jovempan.com.br/politica/tse-forma-maioria-para-tornar-castro-inelegivel-por-8-anos/ | Castro desiste do Senado após operações (oantagonista.com.br) https://oantagonista.com.br/brasil/claudio-castro-comunica-ao-pl-desistencia-de-candidatura-ao-senado-apos-operacoes/ | Mendonça votou a favor de Castro 4 vezes (iclnoticias.com.br) https://iclnoticias.com.br/mendonca-votou-a-favor-de-castro-4-vezes/ | Piauí: 71% das interações de Vorcaro com políticos eram do governo Bolsonaro (piaui.uol.com.br) https://piaui.uol.com.br/web/mais-de-70-das-interacoes-do-celular-de-vorcaro-com-politicos-eram-com-membros-do-governo-bolsonaro/</t>
        </is>
      </c>
      <c r="L48" s="25" t="inlineStr">
        <is>
          <t>23/10/2026</t>
        </is>
      </c>
      <c r="M48" s="25" t="inlineStr">
        <is>
          <t>22/10/2026: rodada contexto e imagens (perfil novo). 23/10/2026: contato no celular de Vorcaro (piauí/InterSecLab) e resposta à reportagem.</t>
        </is>
      </c>
      <c r="N48" s="25" t="inlineStr">
        <is>
          <t>castro.jpg</t>
        </is>
      </c>
      <c r="O48" s="25" t="inlineStr">
        <is>
          <t>Alan Santos/PR · CC BY 2.0</t>
        </is>
      </c>
      <c r="P48" s="25" t="inlineStr">
        <is>
          <t>https://commons.wikimedia.org/wiki/File:Cl%C3%A1udio_Castro,_governador_do_Rio_de_Janeiro.jpg</t>
        </is>
      </c>
    </row>
    <row r="49" ht="15" customHeight="1" s="26">
      <c r="A49" s="25" t="inlineStr">
        <is>
          <t>moraes</t>
        </is>
      </c>
      <c r="B49" s="25" t="inlineStr">
        <is>
          <t>Alexandre de Moraes</t>
        </is>
      </c>
      <c r="C49" s="25" t="inlineStr">
        <is>
          <t>Poder e Justiça</t>
        </is>
      </c>
      <c r="D49" s="25" t="inlineStr">
        <is>
          <t>Ministro do STF desde 2017 e ex-presidente do TSE. É relator do segundo inquérito da PF contra Flávio Bolsonaro, sobre suspeita de lavagem com Willer Tomaz (out/2026). Segundo O Globo, ele e a esposa, a advogada Viviane Barci, desembarcaram em ago/2025 do jato PP-NLR, o mesmo usado por Flávio. O escritório dela tinha contratos com o Banco Master. A PF diz que Fábio Faria intermediou contatos entre Vorcaro e Moraes.</t>
        </is>
      </c>
      <c r="E49" s="25" t="inlineStr">
        <is>
          <t>Brasília (DF)</t>
        </is>
      </c>
      <c r="F49" s="25" t="inlineStr">
        <is>
          <t>Vivo</t>
        </is>
      </c>
      <c r="G49" s="25" t="inlineStr">
        <is>
          <t>Não é investigado nas fontes. O PGR Paulo Gonet sustenta que Mendonça o investigou antes de aval do plenário.</t>
        </is>
      </c>
      <c r="H49" s="25" t="inlineStr">
        <is>
          <t>Citado, sem acusação</t>
        </is>
      </c>
      <c r="I49" s="25" t="inlineStr">
        <is>
          <t>Nada nas fontes.</t>
        </is>
      </c>
      <c r="J49" s="25" t="inlineStr">
        <is>
          <t>Moraes tinha dito que nunca viajou em aviões de Vorcaro e nega que tenha existido o acordo de pagamento em cotas de jato citado pela PF.</t>
        </is>
      </c>
      <c r="K49" s="25" t="inlineStr">
        <is>
          <t>Moraes flagrado desembarcando de jatinho de Vorcaro (diariodepernambuco.com.br) https://www.diariodepernambuco.com.br/politica/2026/09/11724483-alexandre-de-moraes-foi-flagrado-desembarcando-de-jatinho-de-vorcaro.html | Segundo inquérito contra Flávio no STF (oliberal.com) https://www.oliberal.com/politica/flavio-e-investigado-em-2-inquerito-no-stf-para-apurar-suspeitas-de-lavagem-com-advogado-1.1183991 | Gonet diz que Mendonça investigou Moraes (iclnoticias.com.br) https://iclnoticias.com.br/gonet-diz-que-mendonca-investigou-moraes/</t>
        </is>
      </c>
      <c r="L49" s="25" t="inlineStr">
        <is>
          <t>22/10/2026</t>
        </is>
      </c>
      <c r="M49" s="25" t="inlineStr">
        <is>
          <t>22/10/2026: rodada contexto e imagens (perfil novo).</t>
        </is>
      </c>
      <c r="N49" s="25" t="inlineStr">
        <is>
          <t>moraes.jpg</t>
        </is>
      </c>
      <c r="O49" s="25" t="inlineStr">
        <is>
          <t>Isac Nóbrega · CC BY 2.0</t>
        </is>
      </c>
      <c r="P49" s="25" t="inlineStr">
        <is>
          <t>https://commons.wikimedia.org/wiki/File:Ministro_Alexandre_de_Moraes_como_presidente_do_TSE.jpg</t>
        </is>
      </c>
    </row>
    <row r="50" ht="15" customHeight="1" s="26">
      <c r="A50" s="25" t="inlineStr">
        <is>
          <t>rnunes</t>
        </is>
      </c>
      <c r="B50" s="25" t="inlineStr">
        <is>
          <t>Ricardo Nunes</t>
        </is>
      </c>
      <c r="C50" s="25" t="inlineStr">
        <is>
          <t>Poder e Justiça</t>
        </is>
      </c>
      <c r="D50" s="25" t="inlineStr">
        <is>
          <t>Prefeito de São Paulo (MDB) desde 2021, reeleito em 2024. A prefeitura contratou o ITER, de Mendonça (R$ 380 mil). Segundo o ICL, o irmão do ministro, Alexandre de Almeida Mendonça, chegou a secretário-executivo da SP Regula em jun/2026, por portaria de Nunes, depois de Mendonça votar na direção defendida pela prefeitura no caso das concessões funerárias no STF.</t>
        </is>
      </c>
      <c r="E50" s="25" t="inlineStr">
        <is>
          <t>São Paulo (SP)</t>
        </is>
      </c>
      <c r="F50" s="25" t="inlineStr">
        <is>
          <t>Vivo</t>
        </is>
      </c>
      <c r="G50" s="25" t="inlineStr">
        <is>
          <t>Não há investigação contra ele nas fontes.</t>
        </is>
      </c>
      <c r="H50" s="25" t="inlineStr">
        <is>
          <t>Citado, sem acusação</t>
        </is>
      </c>
      <c r="I50" s="25" t="inlineStr">
        <is>
          <t>Nada nas fontes.</t>
        </is>
      </c>
      <c r="J50" s="25" t="inlineStr">
        <is>
          <t>A prefeitura diz que não houve promoção (mesmo nível, mesma remuneração), que a mudança veio mais de um ano após o voto e chama a insinuação de "irresponsável e sem fundamento".</t>
        </is>
      </c>
      <c r="K50" s="25" t="inlineStr">
        <is>
          <t>Irmão de Mendonça foi promovido por Nunes (iclnoticias.com.br) https://iclnoticias.com.br/irmao-de-mendonca-foi-promovido-por-nunes/ | Contratos do ITER (apublica.org) https://apublica.org/nota/instituto-de-andre-mendonca-e-alvo-de-representacoes-para-investigar-irregularidades/</t>
        </is>
      </c>
      <c r="L50" s="25" t="inlineStr">
        <is>
          <t>22/10/2026</t>
        </is>
      </c>
      <c r="M50" s="25" t="inlineStr">
        <is>
          <t>22/10/2026: rodada contexto e imagens (perfil novo).</t>
        </is>
      </c>
      <c r="N50" s="25" t="inlineStr">
        <is>
          <t>rnunes.jpg</t>
        </is>
      </c>
      <c r="O50" s="25" t="inlineStr">
        <is>
          <t>Celso Silva/Governo do Estado de SP · CC BY 2.0</t>
        </is>
      </c>
      <c r="P50" s="25" t="inlineStr">
        <is>
          <t>https://commons.wikimedia.org/wiki/File:Ricardo_Nunes,_December_2024.jpg</t>
        </is>
      </c>
    </row>
    <row r="51" ht="15" customHeight="1" s="26">
      <c r="A51" s="25" t="inlineStr">
        <is>
          <t>cezinha</t>
        </is>
      </c>
      <c r="B51" s="25" t="inlineStr">
        <is>
          <t>Cezinha de Madureira</t>
        </is>
      </c>
      <c r="C51" s="25" t="inlineStr">
        <is>
          <t>Poder e Justiça</t>
        </is>
      </c>
      <c r="D51" s="25" t="inlineStr">
        <is>
          <t>Deputado federal por São Paulo, no terceiro mandato, e liderança da Assembleia de Deus Ministério de Madureira. Mensagens obtidas pela PF mostram que ele e o advogado Ciro Rocha Soares articularam os encontros de Vorcaro com Mendonça em fev e mar/2025; em 13/03/2025 marcou a reunião do dia seguinte, na sede do ITER. Tarcísio financiou 24% da campanha dele.</t>
        </is>
      </c>
      <c r="E51" s="25" t="inlineStr">
        <is>
          <t>São Paulo (SP); mandato em Brasília</t>
        </is>
      </c>
      <c r="F51" s="25" t="inlineStr">
        <is>
          <t>Vivo</t>
        </is>
      </c>
      <c r="G51" s="25" t="inlineStr">
        <is>
          <t>Alvo de operação autorizada pelo ministro Flávio Dino (2026). Sem denúncia nas fontes.</t>
        </is>
      </c>
      <c r="H51" s="25" t="inlineStr">
        <is>
          <t>Investigado / alvo (sem denúncia)</t>
        </is>
      </c>
      <c r="I51" s="25" t="inlineStr">
        <is>
          <t>Nada nas fontes.</t>
        </is>
      </c>
      <c r="J51" s="25" t="inlineStr">
        <is>
          <t>As reportagens não trazem resposta dele. Contato no celular de Vorcaro (piauí, 19/10/2026): Não respondeu à piauí. Os números de contato (piauí/InterSecLab, base 18/11/2025) medem volume de contato individual (WhatsApp e ligações), não conteúdo; mensagens expiradas ou apagadas não são recuperáveis. Resposta do citado: não localizada nas fontes consultadas (checagem de 23/10/2026). Pedidos de correção ou resposta: ver “Sobre este mapa”.</t>
        </is>
      </c>
      <c r="K51"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Operação de Dino e afastamento na PF (iclnoticias.com.br) https://iclnoticias.com.br/mendonca-cesinha-madureira-vorcaro-dino/ | Piauí: 71% das interações de Vorcaro com políticos eram do governo Bolsonaro (piaui.uol.com.br) https://piaui.uol.com.br/web/mais-de-70-das-interacoes-do-celular-de-vorcaro-com-politicos-eram-com-membros-do-governo-bolsonaro/</t>
        </is>
      </c>
      <c r="L51" s="25" t="inlineStr">
        <is>
          <t>23/10/2026</t>
        </is>
      </c>
      <c r="M51" s="25" t="inlineStr">
        <is>
          <t>22/10/2026: rodada contexto e imagens (perfil novo). 23/10/2026: contato no celular de Vorcaro (piauí/InterSecLab) e resposta à reportagem. 23/10/2026: campo de resposta do citado incluído.</t>
        </is>
      </c>
      <c r="N51" s="25" t="inlineStr">
        <is>
          <t>cezinha.jpg</t>
        </is>
      </c>
      <c r="O51" s="25" t="inlineStr">
        <is>
          <t>Câmara dos Deputados · CC BY-SA 4.0</t>
        </is>
      </c>
      <c r="P51" s="25" t="inlineStr">
        <is>
          <t>https://commons.wikimedia.org/wiki/File:Cezinha_de_Madureira.jpg</t>
        </is>
      </c>
    </row>
    <row r="52" ht="15" customHeight="1" s="26">
      <c r="A52" s="25" t="inlineStr">
        <is>
          <t>cancado</t>
        </is>
      </c>
      <c r="B52" s="25" t="inlineStr">
        <is>
          <t>Hazenclever Cançado</t>
        </is>
      </c>
      <c r="C52" s="25" t="inlineStr">
        <is>
          <t>Poder e Justiça</t>
        </is>
      </c>
      <c r="D52" s="25" t="inlineStr">
        <is>
          <t>Hazenclever Lopes Cançado, advogado e servidor federal, ex-assessor do senador Magno Malta. Foi nomeado presidente da Loterj por Cláudio Castro em jul/2022 e, nessa função, assinou em 25/05/2023 a licença da Rede Loto (Best Bet), a primeira bet autorizada pelo estado.</t>
        </is>
      </c>
      <c r="E52" s="25" t="inlineStr">
        <is>
          <t>Rio de Janeiro (RJ)</t>
        </is>
      </c>
      <c r="F52" s="25" t="inlineStr">
        <is>
          <t>Vivo</t>
        </is>
      </c>
      <c r="G52" s="25" t="inlineStr">
        <is>
          <t>Não há investigação contra ele nas fontes.</t>
        </is>
      </c>
      <c r="H52" s="25" t="inlineStr">
        <is>
          <t>Citado, sem acusação</t>
        </is>
      </c>
      <c r="I52" s="25" t="inlineStr">
        <is>
          <t>Nada nas fontes.</t>
        </is>
      </c>
      <c r="J52" s="25" t="inlineStr">
        <is>
          <t>A indicação dele por Flávio é atribuída à Folha ("teria"). Ele não comentou até a publicação das reportagens. Resposta do citado: não localizada nas fontes consultadas (checagem de 23/10/2026). Pedidos de correção ou resposta: ver “Sobre este mapa”.</t>
        </is>
      </c>
      <c r="K52" s="25" t="inlineStr">
        <is>
          <t>Loterj tem novo presidente (bnldata.com.br) https://bnldata.com.br/?p=105308 | Bet de investigado pagou voos de Flávio (diariodepernambuco.com.br) https://www.diariodepernambuco.com.br/politica/2026/10/11726788-bet-de-investigado-por-fraude-no-inss-pagou-voos-de-flavio-bolsonaro-na-europa-aponta-pf.html</t>
        </is>
      </c>
      <c r="L52" s="25" t="inlineStr">
        <is>
          <t>22/10/2026</t>
        </is>
      </c>
      <c r="M52" s="25" t="inlineStr">
        <is>
          <t>22/10/2026: rodada contexto e imagens (perfil novo). 23/10/2026: campo de resposta do citado incluído.</t>
        </is>
      </c>
    </row>
    <row r="53" ht="15" customHeight="1" s="26">
      <c r="A53" s="25" t="inlineStr">
        <is>
          <t>motta</t>
        </is>
      </c>
      <c r="B53" s="25" t="inlineStr">
        <is>
          <t>Hugo Motta</t>
        </is>
      </c>
      <c r="C53" s="25" t="inlineStr">
        <is>
          <t>Vorcaro e o Banco Master</t>
        </is>
      </c>
      <c r="D53" s="25" t="inlineStr">
        <is>
          <t>Deputado federal pela Paraíba (Republicanos) e presidente da Câmara desde fev/2025. Integrava com Vorcaro, Ciro Nogueira e Fábio Faria um grupo de mensagens criado em abr/2024 para combinar jantares, viagens e encontros; as últimas mensagens são da noite da prisão de Vorcaro (17/11/2025). Segundo a reportagem, Ciro o apresentou a Vorcaro para uma possível sociedade num terreno em João Pessoa.</t>
        </is>
      </c>
      <c r="E53" s="25" t="inlineStr">
        <is>
          <t>Paraíba (PB); mandato em Brasília</t>
        </is>
      </c>
      <c r="F53" s="25" t="inlineStr">
        <is>
          <t>Vivo</t>
        </is>
      </c>
      <c r="G53" s="25" t="inlineStr">
        <is>
          <t>Não é investigado nas fontes.</t>
        </is>
      </c>
      <c r="H53" s="25" t="inlineStr">
        <is>
          <t>Citado, sem acusação</t>
        </is>
      </c>
      <c r="I53" s="25" t="inlineStr">
        <is>
          <t>Nada nas fontes.</t>
        </is>
      </c>
      <c r="J53" s="25" t="inlineStr">
        <is>
          <t>A assessoria de Motta disse que não se pronunciaria. Contato no celular de Vorcaro (piauí, 19/10/2026): Não respondeu à piauí. Os números de contato (piauí/InterSecLab, base 18/11/2025) medem volume de contato individual (WhatsApp e ligações), não conteúdo; mensagens expiradas ou apagadas não são recuperáveis.</t>
        </is>
      </c>
      <c r="K53" s="25" t="inlineStr">
        <is>
          <t>Grupo com Motta, Ciro e Faria organizava encontros (gazetadopovo.com.br) https://www.gazetadopovo.com.br/republica/vorcaro-grupo-motta-ciro-nogueira-fabio-faria-organizar-encontros/ | Vorcaro cita encontros com Hugo Motta (poder360.com.br) https://www.poder360.com.br/poder-economia/vorcaro-cita-encontros-com-hugo-motta-e-elogia-emenda-de-ciro-nogueira/ | Piauí: 71% das interações de Vorcaro com políticos eram do governo Bolsonaro (piaui.uol.com.br) https://piaui.uol.com.br/web/mais-de-70-das-interacoes-do-celular-de-vorcaro-com-politicos-eram-com-membros-do-governo-bolsonaro/</t>
        </is>
      </c>
      <c r="L53" s="25" t="inlineStr">
        <is>
          <t>23/10/2026</t>
        </is>
      </c>
      <c r="M53" s="25" t="inlineStr">
        <is>
          <t>22/10/2026: rodada contexto e imagens (perfil novo). 23/10/2026: contato no celular de Vorcaro (piauí/InterSecLab) e resposta à reportagem.</t>
        </is>
      </c>
      <c r="N53" s="25" t="inlineStr">
        <is>
          <t>motta.jpg</t>
        </is>
      </c>
      <c r="O53" s="25" t="inlineStr">
        <is>
          <t>Gilclécio Lucena · CC BY 4.0</t>
        </is>
      </c>
      <c r="P53" s="25" t="inlineStr">
        <is>
          <t>https://commons.wikimedia.org/wiki/File:Deputado_Federal_Hugo_Motta_(cropped).jpg</t>
        </is>
      </c>
    </row>
    <row r="54" ht="15" customHeight="1" s="26">
      <c r="A54" s="25" t="inlineStr">
        <is>
          <t>marcal</t>
        </is>
      </c>
      <c r="B54" s="25" t="inlineStr">
        <is>
          <t>Pablo Marçal</t>
        </is>
      </c>
      <c r="C54" s="25" t="inlineStr">
        <is>
          <t>Vorcaro e o Banco Master</t>
        </is>
      </c>
      <c r="D54" s="25" t="inlineStr">
        <is>
          <t>Empresário e influenciador, ex-coach; foi candidato a prefeito de São Paulo em 2024. Segundo o Valor, com base em mensagens do celular de Vorcaro, a Prime You pagou um voo de R$ 1,17 mi de São Paulo a Nova York usado por ele entre mai e jun/2025.</t>
        </is>
      </c>
      <c r="E54" s="25" t="inlineStr">
        <is>
          <t>São Paulo (SP)</t>
        </is>
      </c>
      <c r="F54" s="25" t="inlineStr">
        <is>
          <t>Vivo</t>
        </is>
      </c>
      <c r="G54" s="25" t="inlineStr">
        <is>
          <t>Não é investigado no caso Master nas fontes.</t>
        </is>
      </c>
      <c r="H54" s="25" t="inlineStr">
        <is>
          <t>Citado, sem acusação</t>
        </is>
      </c>
      <c r="I54" s="25" t="inlineStr">
        <is>
          <t>Nada nas fontes.</t>
        </is>
      </c>
      <c r="J54" s="25" t="inlineStr">
        <is>
          <t>Marçal confirmou o voo e disse que se ofereceu para pagar; segundo ele, Vorcaro sugeriu que testasse o avião antes de comprar um parecido. Contato no celular de Vorcaro (piauí, 19/10/2026): Não respondeu à piauí. Os números de contato (piauí/InterSecLab, base 18/11/2025) medem volume de contato individual (WhatsApp e ligações), não conteúdo; mensagens expiradas ou apagadas não são recuperáveis.</t>
        </is>
      </c>
      <c r="K54" s="25" t="inlineStr">
        <is>
          <t>Empresa de Vorcaro pagou voo de Marçal (gp1.com.br) https://www.gp1.com.br/brasil/noticia/2026/10/2/empresa-ligada-a-daniel-vorcaro-pagou-voo-de-r-117-milhao-usado-por-pablo-marcal-633016.html | Vorcaro bancou voo e mandou ocultar valor (revistaforum.com.br) https://revistaforum.com.br/politica/vorcaro-voo-pablo-marcal/ | Piauí: 71% das interações de Vorcaro com políticos eram do governo Bolsonaro (piaui.uol.com.br) https://piaui.uol.com.br/web/mais-de-70-das-interacoes-do-celular-de-vorcaro-com-politicos-eram-com-membros-do-governo-bolsonaro/</t>
        </is>
      </c>
      <c r="L54" s="25" t="inlineStr">
        <is>
          <t>23/10/2026</t>
        </is>
      </c>
      <c r="M54" s="25" t="inlineStr">
        <is>
          <t>22/10/2026: rodada contexto e imagens (perfil novo). 23/10/2026: contato no celular de Vorcaro (piauí/InterSecLab) e resposta à reportagem.</t>
        </is>
      </c>
      <c r="N54" s="25" t="inlineStr">
        <is>
          <t>marcal.jpg</t>
        </is>
      </c>
      <c r="O54" s="25" t="inlineStr">
        <is>
          <t>TV Brasil Central · CC BY 3.0</t>
        </is>
      </c>
      <c r="P54" s="25" t="inlineStr">
        <is>
          <t>https://commons.wikimedia.org/wiki/File:Pablo_Mar%C3%A7al_(cropped).png</t>
        </is>
      </c>
    </row>
    <row r="55" ht="15" customHeight="1" s="26">
      <c r="A55" s="25" t="inlineStr">
        <is>
          <t>bianco</t>
        </is>
      </c>
      <c r="B55" s="25" t="inlineStr">
        <is>
          <t>Bruno Bianco Leal</t>
        </is>
      </c>
      <c r="C55" s="25" t="inlineStr">
        <is>
          <t>Poder e Justiça</t>
        </is>
      </c>
      <c r="D55" s="25" t="inlineStr">
        <is>
          <t>Advogado-geral da União de ago/2021 a jan/2023, sucessor de Mendonça no governo Jair Bolsonaro. Depois atuou na iniciativa privada ligado ao Banco Master e passou a integrar a defesa de Vorcaro. Mensagens mostram o advogado Ciro Rocha Soares pedindo que ele fosse convidado para a reunião com Mendonça de 19/02/2025.</t>
        </is>
      </c>
      <c r="E55" s="25" t="inlineStr">
        <is>
          <t>Brasília (DF)</t>
        </is>
      </c>
      <c r="F55" s="25" t="inlineStr">
        <is>
          <t>Vivo</t>
        </is>
      </c>
      <c r="G55" s="25" t="inlineStr">
        <is>
          <t>Não é investigado nas fontes.</t>
        </is>
      </c>
      <c r="H55" s="25" t="inlineStr">
        <is>
          <t>Citado, sem acusação</t>
        </is>
      </c>
      <c r="I55" s="25" t="inlineStr">
        <is>
          <t>Nada nas fontes.</t>
        </is>
      </c>
      <c r="J55" s="25" t="inlineStr">
        <is>
          <t>As mensagens mostram o convite, mas não se ele compareceu. Contato no celular de Vorcaro (piauí, 19/10/2026): Respondeu à piauí que é advogado, que só conheceu Vorcaro mais de um ano após deixar o serviço público e que as interações foram profissionais. Os números de contato (piauí/InterSecLab, base 18/11/2025) medem volume de contato individual (WhatsApp e ligações), não conteúdo; mensagens expiradas ou apagadas não são recuperáveis.</t>
        </is>
      </c>
      <c r="K55"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Piauí: 71% das interações de Vorcaro com políticos eram do governo Bolsonaro (piaui.uol.com.br) https://piaui.uol.com.br/web/mais-de-70-das-interacoes-do-celular-de-vorcaro-com-politicos-eram-com-membros-do-governo-bolsonaro/</t>
        </is>
      </c>
      <c r="L55" s="25" t="inlineStr">
        <is>
          <t>23/10/2026</t>
        </is>
      </c>
      <c r="M55" s="25" t="inlineStr">
        <is>
          <t>22/10/2026: rodada contexto e imagens (perfil novo). 23/10/2026: contato no celular de Vorcaro (piauí/InterSecLab) e resposta à reportagem.</t>
        </is>
      </c>
      <c r="N55" s="25" t="inlineStr">
        <is>
          <t>bianco.jpg</t>
        </is>
      </c>
      <c r="O55" s="25" t="inlineStr">
        <is>
          <t>Marcos Corrêa/PR · CC BY 2.0</t>
        </is>
      </c>
      <c r="P55" s="25" t="inlineStr">
        <is>
          <t>https://commons.wikimedia.org/wiki/File:Bruno_Bianco.jpg</t>
        </is>
      </c>
    </row>
    <row r="56" ht="15" customHeight="1" s="26">
      <c r="A56" s="25" t="inlineStr">
        <is>
          <t>jbcarvalho</t>
        </is>
      </c>
      <c r="B56" s="25" t="inlineStr">
        <is>
          <t>Bispo JB Carvalho</t>
        </is>
      </c>
      <c r="C56" s="25" t="inlineStr">
        <is>
          <t>Flávio e família</t>
        </is>
      </c>
      <c r="D56" s="25" t="inlineStr">
        <is>
          <t>João Batista Araújo Carvalho Lima, bispo fundador da Comunidade das Nações, igreja com mais de 50 unidades no Brasil, nos EUA e em Portugal. Flávio e a mulher, Fernanda, foram batizados na igreja, em Brasília, em jan/2024. Em livro de 2001 ele defendeu tirar de Nossa Senhora Aparecida o título de padroeira; os trechos voltaram a circular em set/2026.</t>
        </is>
      </c>
      <c r="E56" s="25" t="inlineStr">
        <is>
          <t>Brasília (DF)</t>
        </is>
      </c>
      <c r="F56" s="25" t="inlineStr">
        <is>
          <t>Vivo</t>
        </is>
      </c>
      <c r="G56" s="25" t="inlineStr">
        <is>
          <t>Não há processo contra ele nas fontes. Uma associação pediu à Justiça Federal a retirada do livro.</t>
        </is>
      </c>
      <c r="H56" s="25" t="inlineStr">
        <is>
          <t>Citado, sem acusação</t>
        </is>
      </c>
      <c r="I56" s="25" t="inlineStr">
        <is>
          <t>Nada nas fontes.</t>
        </is>
      </c>
      <c r="J56" s="25" t="inlineStr">
        <is>
          <t>As reportagens não trazem resposta dele. Resposta do citado: não localizada nas fontes consultadas (checagem de 23/10/2026). Pedidos de correção ou resposta: ver “Sobre este mapa”.</t>
        </is>
      </c>
      <c r="K56" s="25" t="inlineStr">
        <is>
          <t>A ligação de Flávio com o bispo (tvtnews.com.br) https://tvtnews.com.br/?p=804749 | Bispo que batizou Flávio criticou Nossa Senhora (poder360.com.br) https://www.poder360.com.br/poder-gente/bispo-que-batizou-flavio-criticou-nossa-senhora-em-livro/</t>
        </is>
      </c>
      <c r="L56" s="25" t="inlineStr">
        <is>
          <t>22/10/2026</t>
        </is>
      </c>
      <c r="M56" s="25" t="inlineStr">
        <is>
          <t>22/10/2026: rodada contexto e imagens (perfil novo). 23/10/2026: campo de resposta do citado incluído.</t>
        </is>
      </c>
      <c r="N56" s="25" t="inlineStr">
        <is>
          <t>jbcarvalho.jpg</t>
        </is>
      </c>
      <c r="O56" s="25" t="inlineStr">
        <is>
          <t>Povoselinguas · CC BY 3.0</t>
        </is>
      </c>
      <c r="P56" s="25" t="inlineStr">
        <is>
          <t>https://commons.wikimedia.org/wiki/File:JB_Carvalho_(3x4_cropped).webp</t>
        </is>
      </c>
    </row>
    <row r="57" ht="15" customHeight="1" s="26">
      <c r="A57" s="25" t="inlineStr">
        <is>
          <t>stf</t>
        </is>
      </c>
      <c r="B57" s="25" t="inlineStr">
        <is>
          <t>STF</t>
        </is>
      </c>
      <c r="C57" s="25" t="inlineStr">
        <is>
          <t>Poder e Justiça</t>
        </is>
      </c>
      <c r="D57" s="25" t="inlineStr">
        <is>
          <t>Supremo Tribunal Federal. Concentra os casos do mapa que envolvem autoridades com foro: o caso Master (relator André Mendonça desde fev/2026), o inquérito sobre o dinheiro de Vorcaro para o filme Dark Horse (Mendonça) e o inquérito sobre suspeita de lavagem de Flávio com Willer Tomaz (Alexandre de Moraes, out/2026). Em 2021 a Segunda Turma anulou relatórios do Coaf do caso da rachadinha.</t>
        </is>
      </c>
      <c r="E57" s="25" t="inlineStr">
        <is>
          <t>Brasília (DF)</t>
        </is>
      </c>
      <c r="F57" s="25" t="inlineStr">
        <is>
          <t>—</t>
        </is>
      </c>
      <c r="G57" s="25" t="inlineStr">
        <is>
          <t>—</t>
        </is>
      </c>
      <c r="H57" s="25" t="inlineStr">
        <is>
          <t>Órgão público</t>
        </is>
      </c>
      <c r="I57" s="25" t="inlineStr">
        <is>
          <t>—</t>
        </is>
      </c>
      <c r="J57" s="25" t="inlineStr">
        <is>
          <t>—</t>
        </is>
      </c>
      <c r="K57" s="25" t="inlineStr">
        <is>
          <t>STF anula 4 relatórios do Coaf (poder360.com.br) https://www.poder360.com.br/justica/stf-anula-4-relatorios-do-coaf-que-miravam-flavio-no-caso-das-rachadinhas/ | Segundo inquérito contra Flávio no STF (oliberal.com) https://www.oliberal.com/politica/flavio-e-investigado-em-2-inquerito-no-stf-para-apurar-suspeitas-de-lavagem-com-advogado-1.1183991</t>
        </is>
      </c>
      <c r="L57" s="25" t="inlineStr">
        <is>
          <t>22/10/2026</t>
        </is>
      </c>
      <c r="M57" s="25" t="inlineStr">
        <is>
          <t>22/10/2026: rodada contexto e imagens (perfil novo).</t>
        </is>
      </c>
      <c r="N57" s="25" t="inlineStr">
        <is>
          <t>stf.jpg</t>
        </is>
      </c>
      <c r="O57" s="25" t="inlineStr">
        <is>
          <t>Daderot · CC0 (domínio público)</t>
        </is>
      </c>
      <c r="P57" s="25" t="inlineStr">
        <is>
          <t>https://commons.wikimedia.org/wiki/File:Supremo_Tribunal_Federal_building_in_Brasilia_-_DSC00288.JPG</t>
        </is>
      </c>
    </row>
    <row r="58" ht="15" customHeight="1" s="26">
      <c r="A58" s="25" t="inlineStr">
        <is>
          <t>abin</t>
        </is>
      </c>
      <c r="B58" s="25" t="inlineStr">
        <is>
          <t>Abin</t>
        </is>
      </c>
      <c r="C58" s="25" t="inlineStr">
        <is>
          <t>Poder e Justiça</t>
        </is>
      </c>
      <c r="D58" s="25" t="inlineStr">
        <is>
          <t>Agência Brasileira de Inteligência. Na investigação da "Abin paralela", a PF achou o áudio de uma reunião de 25/08/2020 entre Jair Bolsonaro, Augusto Heleno e o então diretor Alexandre Ramagem, possivelmente com uma advogada de Flávio, em que Ramagem sugere processos contra auditores da Receita para blindar Flávio no caso da rachadinha.</t>
        </is>
      </c>
      <c r="E58" s="25" t="inlineStr">
        <is>
          <t>Brasília (DF)</t>
        </is>
      </c>
      <c r="F58" s="25" t="inlineStr">
        <is>
          <t>—</t>
        </is>
      </c>
      <c r="G58" s="25" t="inlineStr">
        <is>
          <t>O episódio faz parte do inquérito sobre uso ilegal do sistema First Mile por servidores da Abin.</t>
        </is>
      </c>
      <c r="H58" s="25" t="inlineStr">
        <is>
          <t>Órgão público</t>
        </is>
      </c>
      <c r="I58" s="25" t="inlineStr">
        <is>
          <t>—</t>
        </is>
      </c>
      <c r="J58" s="25" t="inlineStr">
        <is>
          <t>Flávio diz não ter "nenhuma relação" com a Abin.</t>
        </is>
      </c>
      <c r="K58" s="25" t="inlineStr">
        <is>
          <t>Áudio de Ramagem sugere investigar auditores (poder360.com.br) https://www.poder360.com.br/poder-justica/audio-de-ramagem-sugere-investigar-auditores-para-blindar-flavio/ | PF investiga se Abin ajudou defesa de Flávio (congressoemfoco.com.br) https://congressoemfoco.com.br/noticia/7623/pf-investiga-se-abin-ajudou-defesa-de-flavio-bolsonaro-senador-nega</t>
        </is>
      </c>
      <c r="L58" s="25" t="inlineStr">
        <is>
          <t>22/10/2026</t>
        </is>
      </c>
      <c r="M58" s="25" t="inlineStr">
        <is>
          <t>22/10/2026: rodada contexto e imagens (perfil novo).</t>
        </is>
      </c>
      <c r="N58" s="25" t="inlineStr">
        <is>
          <t>abin.jpg</t>
        </is>
      </c>
      <c r="O58" s="25" t="inlineStr">
        <is>
          <t>Antonio Cruz/Agência Brasil · CC BY 3.0 BR</t>
        </is>
      </c>
      <c r="P58" s="25" t="inlineStr">
        <is>
          <t>https://commons.wikimedia.org/wiki/File:Pr%C3%A9dio_da_Abin.jpg</t>
        </is>
      </c>
    </row>
    <row r="59" ht="15" customHeight="1" s="26">
      <c r="A59" s="25" t="inlineStr">
        <is>
          <t>cpi</t>
        </is>
      </c>
      <c r="B59" s="25" t="inlineStr">
        <is>
          <t>CPI da pandemia (Covaxin)</t>
        </is>
      </c>
      <c r="C59" s="25" t="inlineStr">
        <is>
          <t>Willer Tomaz e sua rede</t>
        </is>
      </c>
      <c r="D59" s="25" t="inlineStr">
        <is>
          <t>CPI da Pandemia do Senado (abr a out/2021), relatada por Renan Calheiros. Investigou, entre outros pontos, a compra da vacina Covaxin pelo Ministério da Saúde. Flávio, então senador do Patriota, atuou na comissão como defensor do governo do pai.</t>
        </is>
      </c>
      <c r="E59" s="25" t="inlineStr">
        <is>
          <t>Senado Federal, Brasília (DF)</t>
        </is>
      </c>
      <c r="F59" s="25" t="inlineStr">
        <is>
          <t>—</t>
        </is>
      </c>
      <c r="G59" s="25" t="inlineStr">
        <is>
          <t>O relatório final pediu indiciamentos; a CPI foi encerrada em out/2021.</t>
        </is>
      </c>
      <c r="H59" s="25" t="inlineStr">
        <is>
          <t>Órgão público</t>
        </is>
      </c>
      <c r="I59" s="25" t="inlineStr">
        <is>
          <t>—</t>
        </is>
      </c>
      <c r="J59" s="25" t="inlineStr">
        <is>
          <t>A citação de Willer Tomaz no caso Covaxin e o cancelamento da quebra do sigilo dele vêm do vídeo de origem e não foram reverificados nesta rodada.</t>
        </is>
      </c>
      <c r="K59" s="25" t="inlineStr">
        <is>
          <t>Flávio Bolsonaro na CPI da Pandemia (congressoemfoco.com.br) https://congressoemfoco.com.br/artigo/14228/flavio-bolsonaro-na-cpi-da-pandemia | CPI aprova convocações e quebras de sigilo (senado.leg.br) https://www12.senado.leg.br/radio/1/noticia/2021/06/23/cpi-da-pandemia-aprovou-novas-convocacoes-quebras-de-sigilos-e-pedidos-de-informacoes</t>
        </is>
      </c>
      <c r="L59" s="25" t="inlineStr">
        <is>
          <t>22/10/2026</t>
        </is>
      </c>
      <c r="M59" s="25" t="inlineStr">
        <is>
          <t>22/10/2026: rodada contexto e imagens (perfil novo).</t>
        </is>
      </c>
      <c r="N59" s="25" t="inlineStr">
        <is>
          <t>cpi.jpg</t>
        </is>
      </c>
      <c r="O59" s="25" t="inlineStr">
        <is>
          <t>Agência Senado · CC BY 2.0</t>
        </is>
      </c>
      <c r="P59" s="25" t="inlineStr">
        <is>
          <t>https://commons.wikimedia.org/wiki/File:CPIPANDEMIA_-_Comiss%C3%A3o_Parlamentar_de_Inqu%C3%A9rito_da_Pandemia_(1).jpg</t>
        </is>
      </c>
    </row>
    <row r="60" ht="15" customHeight="1" s="26">
      <c r="A60" s="25" t="inlineStr">
        <is>
          <t>loterj</t>
        </is>
      </c>
      <c r="B60" s="25" t="inlineStr">
        <is>
          <t>Loterj</t>
        </is>
      </c>
      <c r="C60" s="25" t="inlineStr">
        <is>
          <t>Poder e Justiça</t>
        </is>
      </c>
      <c r="D60" s="25" t="inlineStr">
        <is>
          <t>Loteria do Estado do Rio de Janeiro, autarquia estadual. Em mai/2023, sob a presidência de Hazenclever Cançado, licenciou a Rede Loto (Best Bet), a primeira bet autorizada no país, sem exigir a identificação dos beneficiários finais. Em 2023 contratou a RioPag para intermediar os pagamentos das bets; a empresa faturou R$ 187,8 mi em taxas entre jun/2023 e ago/2026.</t>
        </is>
      </c>
      <c r="E60" s="25" t="inlineStr">
        <is>
          <t>Rio de Janeiro (RJ)</t>
        </is>
      </c>
      <c r="F60" s="25" t="inlineStr">
        <is>
          <t>—</t>
        </is>
      </c>
      <c r="G60" s="25" t="inlineStr">
        <is>
          <t>Rescindiu o contrato da RioPag em 22/09/2026 e cobra R$ 9,4 mi; uma liminar suspendeu a rescisão.</t>
        </is>
      </c>
      <c r="H60" s="25" t="inlineStr">
        <is>
          <t>Órgão público</t>
        </is>
      </c>
      <c r="I60" s="25" t="inlineStr">
        <is>
          <t>—</t>
        </is>
      </c>
      <c r="J60" s="25" t="inlineStr">
        <is>
          <t>—</t>
        </is>
      </c>
      <c r="K60" s="25" t="inlineStr">
        <is>
          <t>Loterj licencia a Rede Loto (lotterydaily.com) https://lotterydaily.com/2023/06/06/retail/rios-loterj-achieves-2023-betting-ambitions-with-rede-loto-contract/ | Bet de investigado pagou voos de Flávio (diariodepernambuco.com.br) https://www.diariodepernambuco.com.br/politica/2026/10/11726788-bet-de-investigado-por-fraude-no-inss-pagou-voos-de-flavio-bolsonaro-na-europa-aponta-pf.html | Loterj rescinde contrato com a RioPag (bnldata.com.br) https://bnldata.com.br/loterj-rescinde-contrato-com-riopag-e-cobra-r-94-mi-da-empresa/</t>
        </is>
      </c>
      <c r="L60" s="25" t="inlineStr">
        <is>
          <t>22/10/2026</t>
        </is>
      </c>
      <c r="M60" s="25" t="inlineStr">
        <is>
          <t>22/10/2026: rodada contexto e imagens (perfil novo).</t>
        </is>
      </c>
    </row>
    <row r="61" ht="15" customHeight="1" s="26">
      <c r="A61" s="25" t="inlineStr">
        <is>
          <t>pgr</t>
        </is>
      </c>
      <c r="B61" s="25" t="inlineStr">
        <is>
          <t>Procuradoria-Geral (PGR)</t>
        </is>
      </c>
      <c r="C61" s="25" t="inlineStr">
        <is>
          <t>Poder e Justiça</t>
        </is>
      </c>
      <c r="D61" s="25" t="inlineStr">
        <is>
          <t>Procuradoria-Geral da República, chefiada por Paulo Gonet. Cabe a ela denunciar autoridades com foro no STF, como os investigados do caso Master. Em 2026 negociava com a PF a delação de Vorcaro e sustentou que Mendonça investigou Alexandre de Moraes sem aval do plenário. Não foi ouvida antes do afastamento do diretor-geral da PF.</t>
        </is>
      </c>
      <c r="E61" s="25" t="inlineStr">
        <is>
          <t>Brasília (DF)</t>
        </is>
      </c>
      <c r="F61" s="25" t="inlineStr">
        <is>
          <t>—</t>
        </is>
      </c>
      <c r="G61" s="25" t="inlineStr">
        <is>
          <t>—</t>
        </is>
      </c>
      <c r="H61" s="25" t="inlineStr">
        <is>
          <t>Órgão público</t>
        </is>
      </c>
      <c r="I61" s="25" t="inlineStr">
        <is>
          <t>—</t>
        </is>
      </c>
      <c r="J61" s="25" t="inlineStr">
        <is>
          <t>—</t>
        </is>
      </c>
      <c r="K61" s="25" t="inlineStr">
        <is>
          <t>Afastamento do diretor-geral da PF sem ouvir a PGR (cnnbrasil.com.br) https://www.cnnbrasil.com.br/blogs/teo-cury/politica/mendonca-ordenou-afastamento-de-diretor-geral-da-pf-sem-ouvir-pgr/ | Gonet diz que Mendonça investigou Moraes (iclnoticias.com.br) https://iclnoticias.com.br/gonet-diz-que-mendonca-investigou-moraes/ | Delação de Vorcaro em negociação (timesbrasil.com.br) https://timesbrasil.com.br/brasil/operacoes-da-pf/pf-prende-paulo-henrique-costa-ex-presidente-do-brb-em-nova-fase-da-compliance-zero/</t>
        </is>
      </c>
      <c r="L61" s="25" t="inlineStr">
        <is>
          <t>22/10/2026</t>
        </is>
      </c>
      <c r="M61" s="25" t="inlineStr">
        <is>
          <t>22/10/2026: rodada contexto e imagens (perfil novo).</t>
        </is>
      </c>
      <c r="N61" s="25" t="inlineStr">
        <is>
          <t>pgr.jpg</t>
        </is>
      </c>
      <c r="O61" s="25" t="inlineStr">
        <is>
          <t>Webysther · CC BY-SA 4.0</t>
        </is>
      </c>
      <c r="P61" s="25" t="inlineStr">
        <is>
          <t>https://commons.wikimedia.org/wiki/File:Webysther_20180212174501_-_PGR_-_Procuradoria_Geral_da_Rep%C3%BAblica.jpg</t>
        </is>
      </c>
    </row>
    <row r="62" ht="15" customHeight="1" s="26">
      <c r="A62" s="25" t="inlineStr">
        <is>
          <t>receita</t>
        </is>
      </c>
      <c r="B62" s="25" t="inlineStr">
        <is>
          <t>Receita Federal</t>
        </is>
      </c>
      <c r="C62" s="25" t="inlineStr">
        <is>
          <t>Poder e Justiça</t>
        </is>
      </c>
      <c r="D62" s="25" t="inlineStr">
        <is>
          <t>Receita Federal. O secretário José Barroso Tostes Neto teve três reuniões com Flávio em ago e set/2020, a pedido do senador e com a advogada dele no caso Queiroz; a última teria sido na casa de Flávio. Os temas declarados foram a situação fiscal de pessoas e empresas ligadas a ele e supostas condutas irregulares de servidores do órgão.</t>
        </is>
      </c>
      <c r="E62" s="25" t="inlineStr">
        <is>
          <t>Brasília (DF)</t>
        </is>
      </c>
      <c r="F62" s="25" t="inlineStr">
        <is>
          <t>—</t>
        </is>
      </c>
      <c r="G62" s="25" t="inlineStr">
        <is>
          <t>—</t>
        </is>
      </c>
      <c r="H62" s="25" t="inlineStr">
        <is>
          <t>Órgão público</t>
        </is>
      </c>
      <c r="I62" s="25" t="inlineStr">
        <is>
          <t>—</t>
        </is>
      </c>
      <c r="J62" s="25" t="inlineStr">
        <is>
          <t>O local da última reunião é relatado com "teria".</t>
        </is>
      </c>
      <c r="K62" s="25" t="inlineStr">
        <is>
          <t>Receita confirma visita de secretário a Flávio (poder360.com.br) https://www.poder360.com.br/governo/receita-federal-confirma-visita-de-secretario-do-fisco-a-flavio-bolsonaro/ | Chefe da Receita foi à casa de Flávio (infomoney.com.br) https://www.infomoney.com.br/?p=2535322</t>
        </is>
      </c>
      <c r="L62" s="25" t="inlineStr">
        <is>
          <t>22/10/2026</t>
        </is>
      </c>
      <c r="M62" s="25" t="inlineStr">
        <is>
          <t>22/10/2026: rodada contexto e imagens (perfil novo).</t>
        </is>
      </c>
      <c r="N62" s="25" t="inlineStr">
        <is>
          <t>receita.jpg</t>
        </is>
      </c>
      <c r="O62" s="25" t="inlineStr">
        <is>
          <t>Academia de Letras de Campo Maior · CC BY-SA 4.0</t>
        </is>
      </c>
      <c r="P62" s="25" t="inlineStr">
        <is>
          <t>https://commons.wikimedia.org/wiki/File:Ag%C3%AAncia_da_Receita_Federal_de_Campo_Maior,_Piau%C3%AD,_Brasil.JPG</t>
        </is>
      </c>
    </row>
    <row r="63" ht="15" customHeight="1" s="26">
      <c r="A63" s="25" t="inlineStr">
        <is>
          <t>tse</t>
        </is>
      </c>
      <c r="B63" s="25" t="inlineStr">
        <is>
          <t>TSE</t>
        </is>
      </c>
      <c r="C63" s="25" t="inlineStr">
        <is>
          <t>Poder e Justiça</t>
        </is>
      </c>
      <c r="D63" s="25" t="inlineStr">
        <is>
          <t>Tribunal Superior Eleitoral. Kassio Nunes Marques assumiu a presidência em mai/2026 e conduz as eleições de 2026. Em mar/2026 o tribunal tornou Cláudio Castro inelegível; Nunes Marques votou pela absolvição.</t>
        </is>
      </c>
      <c r="E63" s="25" t="inlineStr">
        <is>
          <t>Brasília (DF)</t>
        </is>
      </c>
      <c r="F63" s="25" t="inlineStr">
        <is>
          <t>—</t>
        </is>
      </c>
      <c r="G63" s="25" t="inlineStr">
        <is>
          <t>—</t>
        </is>
      </c>
      <c r="H63" s="25" t="inlineStr">
        <is>
          <t>Órgão público</t>
        </is>
      </c>
      <c r="I63" s="25" t="inlineStr">
        <is>
          <t>—</t>
        </is>
      </c>
      <c r="J63" s="25" t="inlineStr">
        <is>
          <t>—</t>
        </is>
      </c>
      <c r="K63" s="25" t="inlineStr">
        <is>
          <t>Nunes Marques assume a presidência do TSE (poder360.com.br) https://www.poder360.com.br/brasil/nunes-marques-assume-presidencia-do-tse/ | TSE torna Castro inelegível (jovempan.com.br) https://jovempan.com.br/politica/tse-forma-maioria-para-tornar-castro-inelegivel-por-8-anos/</t>
        </is>
      </c>
      <c r="L63" s="25" t="inlineStr">
        <is>
          <t>22/10/2026</t>
        </is>
      </c>
      <c r="M63" s="25" t="inlineStr">
        <is>
          <t>22/10/2026: rodada contexto e imagens (perfil novo).</t>
        </is>
      </c>
      <c r="N63" s="25" t="inlineStr">
        <is>
          <t>tse.jpg</t>
        </is>
      </c>
      <c r="O63" s="25" t="inlineStr">
        <is>
          <t>Alexandresena · CC BY-SA 4.0</t>
        </is>
      </c>
      <c r="P63" s="25" t="inlineStr">
        <is>
          <t>https://commons.wikimedia.org/wiki/File:Sede_do_Tribunal_Superior_Eleitoral,_em_Bras%C3%ADlia.jpg</t>
        </is>
      </c>
    </row>
    <row r="64" ht="15" customHeight="1" s="26">
      <c r="A64" s="25" t="inlineStr">
        <is>
          <t>brb</t>
        </is>
      </c>
      <c r="B64" s="25" t="inlineStr">
        <is>
          <t>BRB (Banco de Brasília)</t>
        </is>
      </c>
      <c r="C64" s="25" t="inlineStr">
        <is>
          <t>Vorcaro e o Banco Master</t>
        </is>
      </c>
      <c r="D64" s="25" t="inlineStr">
        <is>
          <t>Banco de Brasília, banco público controlado pelo governo do DF. Pôs cerca de R$ 12 bi no Master comprando carteiras de crédito consignado que a investigação aponta como fraudulentas, e tentou comprar o próprio Master em 2025. O ex-presidente Paulo Henrique Costa foi afastado em nov/2025 e preso em 16/04/2026 na Compliance Zero. Em 2021 financiou R$ 3,1 mi da mansão de Flávio em Brasília.</t>
        </is>
      </c>
      <c r="E64" s="25" t="inlineStr">
        <is>
          <t>Brasília (DF)</t>
        </is>
      </c>
      <c r="F64" s="25" t="inlineStr">
        <is>
          <t>—</t>
        </is>
      </c>
      <c r="G64" s="25" t="inlineStr">
        <is>
          <t>Ex-dirigentes investigados no inquérito do caso Master. A PF também apura as condições do empréstimo a Flávio.</t>
        </is>
      </c>
      <c r="H64" s="25" t="inlineStr">
        <is>
          <t>Investigado / alvo (sem denúncia)</t>
        </is>
      </c>
      <c r="I64" s="25" t="inlineStr">
        <is>
          <t>—</t>
        </is>
      </c>
      <c r="J64" s="25" t="inlineStr">
        <is>
          <t>Resposta do citado: não localizada nas fontes consultadas (checagem de 23/10/2026). Pedidos de correção ou resposta: ver “Sobre este mapa”.</t>
        </is>
      </c>
      <c r="K64" s="25" t="inlineStr">
        <is>
          <t>PF prende ex-presidente do BRB (timesbrasil.com.br) https://timesbrasil.com.br/brasil/operacoes-da-pf/pf-prende-paulo-henrique-costa-ex-presidente-do-brb-em-nova-fase-da-compliance-zero/ | PF apura financiamento do BRB a Flávio (diariodepernambuco.com.br) https://www.diariodepernambuco.com.br/politica/2026/10/11725606-pf-apura-condicoes-de-financiamento-do-brb-a-flavio-bolsonaro-para-mansao-de-rs-6-milhoes.html</t>
        </is>
      </c>
      <c r="L64" s="25" t="inlineStr">
        <is>
          <t>22/10/2026</t>
        </is>
      </c>
      <c r="M64" s="25" t="inlineStr">
        <is>
          <t>22/10/2026: rodada contexto e imagens (perfil novo). 23/10/2026: campo de resposta do citado incluído.</t>
        </is>
      </c>
      <c r="N64" s="25" t="inlineStr">
        <is>
          <t>brb.png</t>
        </is>
      </c>
      <c r="O64" s="25" t="inlineStr">
        <is>
          <t>Banco de Brasília · domínio público (logo simples, sem direito autoral)</t>
        </is>
      </c>
      <c r="P64" s="25" t="inlineStr">
        <is>
          <t>https://commons.wikimedia.org/wiki/File:Logotipo_do_Banco_de_Bras%C3%ADlia.svg</t>
        </is>
      </c>
    </row>
    <row r="65" ht="15" customHeight="1" s="26">
      <c r="A65" s="25" t="inlineStr">
        <is>
          <t>govlula</t>
        </is>
      </c>
      <c r="B65" s="25" t="inlineStr">
        <is>
          <t>Governo Lula (Haddad, Gleisi, Mercadante)</t>
        </is>
      </c>
      <c r="C65" s="25" t="inlineStr">
        <is>
          <t>Poder e Justiça</t>
        </is>
      </c>
      <c r="D65" s="25" t="inlineStr">
        <is>
          <t>Ministros do governo Lula citados em mensagens do celular de Vorcaro. Em 29/10/2025, enquanto a compra do Master pelo BRB estava em análise no Banco Central, Vorcaro escreveu que Fernando Haddad era "um dos meus maiores opositores". A planilha também registra pedido de ajuda para "bloquear" Gleisi Hoffmann e Aloizio Mercadante.</t>
        </is>
      </c>
      <c r="E65" s="25" t="inlineStr">
        <is>
          <t>Brasília (DF)</t>
        </is>
      </c>
      <c r="F65" s="25" t="inlineStr">
        <is>
          <t>—</t>
        </is>
      </c>
      <c r="G65" s="25" t="inlineStr">
        <is>
          <t>Nenhum dos ministros é investigado nas fontes.</t>
        </is>
      </c>
      <c r="H65" s="25" t="inlineStr">
        <is>
          <t>Órgão público</t>
        </is>
      </c>
      <c r="I65" s="25" t="inlineStr">
        <is>
          <t>—</t>
        </is>
      </c>
      <c r="J65" s="25" t="inlineStr">
        <is>
          <t>Haddad diz que nunca recebeu Vorcaro e que recusou "diversas vezes" encontrá-lo. O trecho sobre Gleisi e Mercadante não foi reverificado nesta rodada.</t>
        </is>
      </c>
      <c r="K65" s="25" t="inlineStr">
        <is>
          <t>Vorcaro sobre Haddad: um de meus maiores opositores (em.com.br) https://www.em.com.br/politica/2026/10/7513704-vorcaro-sobre-haddad-um-de-meus-maiores-opositores.html | Haddad nega ter recebido Vorcaro (dgabc.com.br) https://www.dgabc.com.br/Noticia/4346805/haddad-nega-ter-recebido-vorcaro-ou-estado-no-mesmo-ambiente-que-ele</t>
        </is>
      </c>
      <c r="L65" s="25" t="inlineStr">
        <is>
          <t>22/10/2026</t>
        </is>
      </c>
      <c r="M65" s="25" t="inlineStr">
        <is>
          <t>22/10/2026: rodada contexto e imagens (perfil novo).</t>
        </is>
      </c>
    </row>
    <row r="66" ht="15" customHeight="1" s="26">
      <c r="A66" s="25" t="inlineStr">
        <is>
          <t>adriano</t>
        </is>
      </c>
      <c r="B66" s="25" t="inlineStr">
        <is>
          <t>Adriano da Nóbrega</t>
        </is>
      </c>
      <c r="C66" s="25" t="inlineStr">
        <is>
          <t>Flávio e família</t>
        </is>
      </c>
      <c r="D66" s="25" t="inlineStr">
        <is>
          <t>Adriano Magalhães da Nóbrega, ex-capitão do Bope apontado pelo MP-RJ como chefe do Escritório do Crime e da milícia de Rio das Pedras. Flávio o homenageou com moção de louvor em 2003 e com a Medalha Tiradentes em jun/2005, quando ele estava preso por homicídio (depois absolvido, em 2007). A mãe e a mulher dele trabalharam no gabinete de Flávio na Alerj.</t>
        </is>
      </c>
      <c r="E66" s="25" t="inlineStr">
        <is>
          <t>Rio de Janeiro (RJ)</t>
        </is>
      </c>
      <c r="F66" s="25" t="inlineStr">
        <is>
          <t>Morto (fev/2020)</t>
        </is>
      </c>
      <c r="G66" s="25" t="inlineStr">
        <is>
          <t>Foragido desde a Operação Os Intocáveis (jan/2019); morto pela polícia na Bahia em fev/2020.</t>
        </is>
      </c>
      <c r="H66" s="25" t="inlineStr">
        <is>
          <t>Investigado / alvo (sem denúncia)</t>
        </is>
      </c>
      <c r="I66" s="25" t="inlineStr">
        <is>
          <t>Apontado pelo MP-RJ como chefe da milícia de Rio das Pedras e do Escritório do Crime.</t>
        </is>
      </c>
      <c r="J66" s="25" t="inlineStr">
        <is>
          <t>Mesmo sendo uma figura notória, fica sem foto porque não era pessoa pública por escolha.</t>
        </is>
      </c>
      <c r="K66" s="25" t="inlineStr">
        <is>
          <t>Ex-PM estava preso quando Flávio o homenageou (agazeta.com.br) https://www.agazeta.com.br/brasil/ex-pm-estava-preso-por-homicidio-quando-flavio-bolsonaro-o-homenageou-0119 | Miliciano ligado a Flávio é morto (congressoemfoco.com.br) https://www.congressoemfoco.com.br/governo/miliciano-ligado-a-flavio-bolsonaro-e-morto-durante-operacao/ | Entre medalhas e milícias (vermelho.org.br) https://vermelho.org.br/?p=740865</t>
        </is>
      </c>
      <c r="L66" s="25" t="inlineStr">
        <is>
          <t>22/10/2026</t>
        </is>
      </c>
      <c r="M66" s="25" t="inlineStr">
        <is>
          <t>22/10/2026: rodada contexto e imagens (perfil novo).</t>
        </is>
      </c>
    </row>
    <row r="67" ht="15" customHeight="1" s="26">
      <c r="A67" s="25" t="inlineStr">
        <is>
          <t>ronald</t>
        </is>
      </c>
      <c r="B67" s="25" t="inlineStr">
        <is>
          <t>Ronald Paulo Alves Pereira</t>
        </is>
      </c>
      <c r="C67" s="25" t="inlineStr">
        <is>
          <t>Flávio e família</t>
        </is>
      </c>
      <c r="D67" s="25" t="inlineStr">
        <is>
          <t>Major da PM do Rio. Flávio apresentou em 2004 uma moção de louvor a ele na Alerj. Foi preso em jan/2019 na Operação Os Intocáveis, contra a milícia de Rio das Pedras, e em fev/2026 condenado pela Primeira Turma do STF a 56 anos de prisão no caso Marielle Franco e Anderson Gomes.</t>
        </is>
      </c>
      <c r="E67" s="25" t="inlineStr">
        <is>
          <t>Cumpre pena na Penitenciária Federal de Brasília (DF)</t>
        </is>
      </c>
      <c r="F67" s="25" t="inlineStr">
        <is>
          <t>Vivo (preso)</t>
        </is>
      </c>
      <c r="G67" s="25" t="inlineStr">
        <is>
          <t>Condenado pelo STF (56 anos); trânsito em julgado declarado em 13/07/2026.</t>
        </is>
      </c>
      <c r="H67" s="25" t="inlineStr">
        <is>
          <t>Condenado</t>
        </is>
      </c>
      <c r="I67" s="25" t="inlineStr">
        <is>
          <t>Preso na operação contra a milícia de Rio das Pedras e Muzema.</t>
        </is>
      </c>
      <c r="J67" s="25" t="inlineStr">
        <is>
          <t>—</t>
        </is>
      </c>
      <c r="K67" s="25" t="inlineStr">
        <is>
          <t>Moraes determina cumprimento das penas no caso Marielle (agenciabrasil.ebc.com.br) https://agenciabrasil.ebc.com.br/justica/noticia/2026-07/caso-marielle-moraes-determina-cumprimento-imediato-de-penas | Flávio homenageou em 2004 suspeito do caso Marielle (jb.com.br) https://www.jb.com.br/rio/2019/01/974171-flavio-bolsonaro-homenageou-em-2004-suspeito-de-participar-da-morte-de-marielle.html</t>
        </is>
      </c>
      <c r="L67" s="25" t="inlineStr">
        <is>
          <t>22/10/2026</t>
        </is>
      </c>
      <c r="M67" s="25" t="inlineStr">
        <is>
          <t>22/10/2026: rodada contexto e imagens (perfil novo).</t>
        </is>
      </c>
    </row>
    <row r="69" ht="15" customHeight="1" s="26">
      <c r="A69" s="25" t="inlineStr">
        <is>
          <t>peixe</t>
        </is>
      </c>
      <c r="B69" s="25" t="inlineStr">
        <is>
          <t>Robson Calixto (“Peixe”)</t>
        </is>
      </c>
      <c r="C69" s="25" t="inlineStr">
        <is>
          <t>Flávio e família</t>
        </is>
      </c>
      <c r="D69" s="25" t="inlineStr">
        <is>
          <t>Robson Calixto da Fonseca, PM da reserva e ex-assessor de Domingos Brazão na Alerj e no TCE-RJ. Em fev/2026 o STF o condenou a 9 anos por integrar organização criminosa armada ligada ao assassinato de Marielle Franco; não foi condenado pelos homicídios. Segundo a PF, em out/2023 pediu a uma assessora de Flávio uma emenda de R$ 199 mil para o Instituto Ifop, paga em nov/2023.</t>
        </is>
      </c>
      <c r="E69" s="25" t="inlineStr">
        <is>
          <t>Rio de Janeiro (RJ)</t>
        </is>
      </c>
      <c r="F69" s="25" t="inlineStr">
        <is>
          <t>Vivo (preso)</t>
        </is>
      </c>
      <c r="G69" s="25" t="inlineStr">
        <is>
          <t>Condenado pelo STF a 9 anos (organização criminosa armada); trânsito em julgado em jul/2026. A PF apura a emenda.</t>
        </is>
      </c>
      <c r="H69" s="25" t="inlineStr">
        <is>
          <t>Condenado</t>
        </is>
      </c>
      <c r="I69" s="25" t="inlineStr">
        <is>
          <t>A PGR o descreveu como operador e intermediário dos irmãos Brazão.</t>
        </is>
      </c>
      <c r="J69" s="25" t="inlineStr">
        <is>
          <t>Flávio diz que a emenda seguiu critérios técnicos e que a execução cabe ao beneficiário.</t>
        </is>
      </c>
      <c r="K69" s="25" t="inlineStr">
        <is>
          <t>Quem é Peixe (tvtnews.com.br) https://tvtnews.com.br/?p=804271 | PF apura emenda de Flávio para ONG dos Brazão (infomoney.com.br) https://www.infomoney.com.br/politica/pf-apura-emenda-de-flavio-para-ong-suspeita-de-integrar-esquema-dos-irmaos-brazao/ | Penas do caso Marielle (agenciabrasil.ebc.com.br) https://agenciabrasil.ebc.com.br/justica/noticia/2026-07/caso-marielle-moraes-determina-cumprimento-imediato-de-penas</t>
        </is>
      </c>
      <c r="L69" s="25" t="inlineStr">
        <is>
          <t>22/10/2026</t>
        </is>
      </c>
      <c r="M69" s="25" t="inlineStr">
        <is>
          <t>22/10/2026: rodada contexto e imagens (perfil novo).</t>
        </is>
      </c>
    </row>
    <row r="70" ht="15" customHeight="1" s="26">
      <c r="A70" s="25" t="inlineStr">
        <is>
          <t>pms16</t>
        </is>
      </c>
      <c r="B70" s="25" t="inlineStr">
        <is>
          <t>16 PMs denunciados</t>
        </is>
      </c>
      <c r="C70" s="25" t="inlineStr">
        <is>
          <t>Flávio e família</t>
        </is>
      </c>
      <c r="D70" s="25" t="inlineStr">
        <is>
          <t>Grupo de policiais militares que receberam homenagens de Flávio e Carlos Bolsonaro e depois foram denunciados por organização criminosa ou ligação com milícias. Entre os casos documentados estão quatro PMs da Operação Quarto Elemento, denunciados por extorsão de comerciantes e mototaxistas. Os nomes individuais não são listados aqui.</t>
        </is>
      </c>
      <c r="E70" s="25" t="inlineStr">
        <is>
          <t>Rio de Janeiro (RJ)</t>
        </is>
      </c>
      <c r="F70" s="25" t="inlineStr">
        <is>
          <t>—</t>
        </is>
      </c>
      <c r="G70" s="25" t="inlineStr">
        <is>
          <t>Denunciados pelo MP-RJ; a situação varia caso a caso.</t>
        </is>
      </c>
      <c r="H70" s="25" t="inlineStr">
        <is>
          <t>Investigado / alvo (sem denúncia)</t>
        </is>
      </c>
      <c r="I70" s="25" t="inlineStr">
        <is>
          <t>Parte do grupo é ligada a milícias, segundo o MP-RJ.</t>
        </is>
      </c>
      <c r="J70" s="25" t="inlineStr">
        <is>
          <t>O total de 16 vem do vídeo de origem. A fonte reverificada nomeia seis homenageados denunciados e não confirma o total. Resposta do citado: não localizada nas fontes consultadas (checagem de 23/10/2026). Pedidos de correção ou resposta: ver “Sobre este mapa”.</t>
        </is>
      </c>
      <c r="K70" s="25" t="inlineStr">
        <is>
          <t>Entre medalhas e milícias (vermelho.org.br) https://vermelho.org.br/?p=740865 | Milicianos presos foram homenageados por Flávio na Alerj (istoe.com.br) https://istoe.com.br/milicianos-presos-no-rio-foram-homenageados-por-flavio-bolsonaro-na-alerj/</t>
        </is>
      </c>
      <c r="L70" s="25" t="inlineStr">
        <is>
          <t>22/10/2026</t>
        </is>
      </c>
      <c r="M70" s="25" t="inlineStr">
        <is>
          <t>22/10/2026: rodada contexto e imagens (perfil novo). 23/10/2026: campo de resposta do citado incluído.</t>
        </is>
      </c>
    </row>
    <row r="71" ht="15" customHeight="1" s="26">
      <c r="A71" s="25" t="inlineStr">
        <is>
          <t>pmacusado</t>
        </is>
      </c>
      <c r="B71" s="25" t="inlineStr">
        <is>
          <t>PM acusado de matar menina de 5 anos</t>
        </is>
      </c>
      <c r="C71" s="25" t="inlineStr">
        <is>
          <t>Flávio e família</t>
        </is>
      </c>
      <c r="D71" s="25" t="inlineStr">
        <is>
          <t>Policial militar denunciado pelo MP-RJ por um disparo de fuzil que matou uma criança de 5 anos durante patrulha em Niterói, em fev/2021. Flávio integrou a defesa e assinou um recurso ao STJ em 2024 para evitar o júri popular. O STJ negou o recurso, e o PM aguarda o júri.</t>
        </is>
      </c>
      <c r="E71" s="25" t="inlineStr">
        <is>
          <t>Niterói (RJ)</t>
        </is>
      </c>
      <c r="F71" s="25" t="inlineStr">
        <is>
          <t>Vivo</t>
        </is>
      </c>
      <c r="G71" s="25" t="inlineStr">
        <is>
          <t>Réu; pronunciado a júri popular, sem mais recursos. A prisão preventiva foi revogada em nov/2021.</t>
        </is>
      </c>
      <c r="H71" s="25" t="inlineStr">
        <is>
          <t>Investigado / alvo (sem denúncia)</t>
        </is>
      </c>
      <c r="I71" s="25" t="inlineStr">
        <is>
          <t>Nada nas fontes.</t>
        </is>
      </c>
      <c r="J71" s="25" t="inlineStr">
        <is>
          <t>Por envolver uma criança, o mapa não traz o nome da vítima. A defesa do PM diz que ele reagiu a um ataque; o MP-RJ diz que não houve confronto.</t>
        </is>
      </c>
      <c r="K71" s="25" t="inlineStr">
        <is>
          <t>Flávio atuou na defesa de PM acusado (iclnoticias.com.br) https://iclnoticias.com.br/flavio-bolsonaro-defesa-pm-acusado-matar-menina/ | Flávio advogou para PM (eshoje.com.br) https://eshoje.com.br/brasil/2026/10/flavio-advogou-para-pm/</t>
        </is>
      </c>
      <c r="L71" s="25" t="inlineStr">
        <is>
          <t>22/10/2026</t>
        </is>
      </c>
      <c r="M71" s="25" t="inlineStr">
        <is>
          <t>22/10/2026: rodada contexto e imagens (perfil novo).</t>
        </is>
      </c>
    </row>
    <row r="72" ht="15" customHeight="1" s="26">
      <c r="A72" s="25" t="inlineStr">
        <is>
          <t>cirorocha</t>
        </is>
      </c>
      <c r="B72" s="25" t="inlineStr">
        <is>
          <t>Ciro Rocha Soares</t>
        </is>
      </c>
      <c r="C72" s="25" t="inlineStr">
        <is>
          <t>Vorcaro e o Banco Master</t>
        </is>
      </c>
      <c r="D72" s="25" t="inlineStr">
        <is>
          <t>Advogado baiano, sócio da Rocha Soares Advogados Associados (Salvador) e ex-ouvidor do Ministério do Turismo (2016-2017). Em mensagens obtidas pela PF aparece articulando, com Cezinha de Madureira, a aproximação de Vorcaro com Mendonça: em 08/02/2025 mandou foto e áudio dizendo que levara o ministro a uma alfaiataria "trabalhando por você".</t>
        </is>
      </c>
      <c r="E72" s="25" t="inlineStr">
        <is>
          <t>Salvador (BA)</t>
        </is>
      </c>
      <c r="F72" s="25" t="inlineStr">
        <is>
          <t>Vivo</t>
        </is>
      </c>
      <c r="G72" s="25" t="inlineStr">
        <is>
          <t>Não há acusação contra ele nas fontes.</t>
        </is>
      </c>
      <c r="H72" s="25" t="inlineStr">
        <is>
          <t>Citado, sem acusação</t>
        </is>
      </c>
      <c r="I72" s="25" t="inlineStr">
        <is>
          <t>Nada nas fontes.</t>
        </is>
      </c>
      <c r="J72" s="25" t="inlineStr">
        <is>
          <t>Ele diz que não há irregularidade em pedir conversas com magistrados e que Vorcaro não era investigado em fev/2025.</t>
        </is>
      </c>
      <c r="K72" s="25"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72" s="25" t="inlineStr">
        <is>
          <t>22/10/2026</t>
        </is>
      </c>
      <c r="M72" s="25" t="inlineStr">
        <is>
          <t>22/10/2026: rodada contexto e imagens (perfil novo).</t>
        </is>
      </c>
    </row>
    <row r="73" ht="15" customHeight="1" s="26">
      <c r="A73" s="25" t="inlineStr">
        <is>
          <t>ong</t>
        </is>
      </c>
      <c r="B73" s="25" t="inlineStr">
        <is>
          <t>ONG e produtora do filme</t>
        </is>
      </c>
      <c r="C73" s="25" t="inlineStr">
        <is>
          <t>Flávio e família</t>
        </is>
      </c>
      <c r="D73" s="25" t="inlineStr">
        <is>
          <t>Entidades ligadas a Karina Ferreira da Gama, sócia da GoUp, produtora do filme Dark Horse, sobre Jair Bolsonaro: o Instituto Conhecer Brasil e a Associação (ou Academia) Nacional de Cultura. Receberam emendas de deputados paulistas. Segundo o Intercept, houve negociação de US$ 24 mi de Vorcaro para o filme; Flávio admitiu ter recebido mais de US$ 12 mi, que chama de "patrocínio".</t>
        </is>
      </c>
      <c r="E73" s="25" t="inlineStr">
        <is>
          <t>Av. Paulista, São Paulo (SP)</t>
        </is>
      </c>
      <c r="F73" s="25" t="inlineStr">
        <is>
          <t>—</t>
        </is>
      </c>
      <c r="G73" s="25" t="inlineStr">
        <is>
          <t>Flávio é investigado no STF pelo dinheiro do filme (relator André Mendonça). A Prefeitura de SP pediu explicações a uma das entidades sobre despesas.</t>
        </is>
      </c>
      <c r="H73" s="25" t="inlineStr">
        <is>
          <t>Investigado / alvo (sem denúncia)</t>
        </is>
      </c>
      <c r="I73" s="25" t="inlineStr">
        <is>
          <t>—</t>
        </is>
      </c>
      <c r="J73" s="25" t="inlineStr">
        <is>
          <t>Karina diz que Vorcaro foi intermediário e que o dinheiro veio do fundo Heavengate, do Texas. O papel de tesoureiro de fachada atribuído ao eletricista vem do vídeo e não foi reverificado.</t>
        </is>
      </c>
      <c r="K73" s="25" t="inlineStr">
        <is>
          <t>Produtora diz que filme já custou R$ 65,7 mi (oliberal.com) https://www.oliberal.com/politica/produtora-diz-que-filme-de-bolsonaro-ja-custou-r-65-7-milhoes-vorcaro-bancou-90-do-custo-1.1123519 | Deputados indicaram R$ 700 mil a entidades da produtora (cnnbrasil.com.br) https://www.cnnbrasil.com.br/politica/deputados-de-sp-indicaram-r-700-mil-a-entidades-da-produtora-de-dark-horse/ | Prefeitura pede explicações a ONG ligada a Dark Horse (dgabc.com.br) https://www.dgabc.com.br/Noticia/4334231/prefeitura-de-sp-pede-explicacoes-a-ong-ligada-a-dark-horse-por-despesas-de-rs-13-4-milhoes</t>
        </is>
      </c>
      <c r="L73" s="25" t="inlineStr">
        <is>
          <t>22/10/2026</t>
        </is>
      </c>
      <c r="M73" s="25" t="inlineStr">
        <is>
          <t>22/10/2026: rodada contexto e imagens (perfil novo).</t>
        </is>
      </c>
    </row>
    <row r="74" ht="15" customHeight="1" s="26">
      <c r="A74" s="25" t="inlineStr">
        <is>
          <t>bestbet</t>
        </is>
      </c>
      <c r="B74" s="25" t="inlineStr">
        <is>
          <t>Best Bet (Rede Loto)</t>
        </is>
      </c>
      <c r="C74" s="25" t="inlineStr">
        <is>
          <t>Willer Tomaz e sua rede</t>
        </is>
      </c>
      <c r="D74" s="25" t="inlineStr">
        <is>
          <t>Nome fantasia da Rede Loto, registrada em SP em fev/2023 e licenciada pela Loterj em 25/05/2023, a primeira bet autorizada no país. A única acionista é a Cathedral Holdings, de Willer Tomaz e sócios. A PF apura se Willer controla a empresa de fato e encontrou canhotos de voos de Flávio na Europa (2025) pagos via Cathedral.</t>
        </is>
      </c>
      <c r="E74" s="25" t="inlineStr">
        <is>
          <t>São Paulo (SP)</t>
        </is>
      </c>
      <c r="F74" s="25" t="inlineStr">
        <is>
          <t>—</t>
        </is>
      </c>
      <c r="G74" s="25" t="inlineStr">
        <is>
          <t>Citada no inquérito enviado ao STF em out/2026 (relator Moraes).</t>
        </is>
      </c>
      <c r="H74" s="25" t="inlineStr">
        <is>
          <t>Investigado / alvo (sem denúncia)</t>
        </is>
      </c>
      <c r="I74" s="25" t="inlineStr">
        <is>
          <t>—</t>
        </is>
      </c>
      <c r="J74" s="25" t="inlineStr">
        <is>
          <t>A defesa diz que a bet nunca chegou a operar e que os voos foram pagos por Willer, como passeios entre famílias.</t>
        </is>
      </c>
      <c r="K74" s="25" t="inlineStr">
        <is>
          <t>Bet de investigado pagou voos de Flávio (diariodepernambuco.com.br) https://www.diariodepernambuco.com.br/politica/2026/10/11726788-bet-de-investigado-por-fraude-no-inss-pagou-voos-de-flavio-bolsonaro-na-europa-aponta-pf.html | Segundo inquérito contra Flávio no STF (oliberal.com) https://www.oliberal.com/politica/flavio-e-investigado-em-2-inquerito-no-stf-para-apurar-suspeitas-de-lavagem-com-advogado-1.1183991</t>
        </is>
      </c>
      <c r="L74" s="25" t="inlineStr">
        <is>
          <t>22/10/2026</t>
        </is>
      </c>
      <c r="M74" s="25" t="inlineStr">
        <is>
          <t>22/10/2026: rodada contexto e imagens (perfil novo).</t>
        </is>
      </c>
    </row>
    <row r="75" ht="15" customHeight="1" s="26">
      <c r="A75" s="25" t="inlineStr">
        <is>
          <t>cathedral</t>
        </is>
      </c>
      <c r="B75" s="25" t="inlineStr">
        <is>
          <t>Cathedral Holdings</t>
        </is>
      </c>
      <c r="C75" s="25" t="inlineStr">
        <is>
          <t>Willer Tomaz e sua rede</t>
        </is>
      </c>
      <c r="D75" s="25" t="inlineStr">
        <is>
          <t>Cathedral Holdings S.A., aberta na Ilha da Madeira (Portugal) em jan/2023 só com sócios brasileiros: Willer Tomaz, a mulher e a irmã dele, Jorge Barbosa Dias e um parente de Dias. É a única acionista da Rede Loto (Best Bet). Segundo a PF, pagou voos de Flávio e da mulher entre Lisboa, Cascais, Nice e Paris em abr e mai/2025.</t>
        </is>
      </c>
      <c r="E75" s="25" t="inlineStr">
        <is>
          <t>Funchal, Ilha da Madeira (Portugal)</t>
        </is>
      </c>
      <c r="F75" s="25" t="inlineStr">
        <is>
          <t>—</t>
        </is>
      </c>
      <c r="G75" s="25" t="inlineStr">
        <is>
          <t>Citada no inquérito da PF sobre Flávio e Willer (STF, out/2026).</t>
        </is>
      </c>
      <c r="H75" s="25" t="inlineStr">
        <is>
          <t>Investigado / alvo (sem denúncia)</t>
        </is>
      </c>
      <c r="I75" s="25" t="inlineStr">
        <is>
          <t>—</t>
        </is>
      </c>
      <c r="J75" s="25" t="inlineStr">
        <is>
          <t>Dias foi processado por jogo ilegal e lavagem em 2022 e absolvido em 2023. A defesa diz que os voos foram pagos por Willer.</t>
        </is>
      </c>
      <c r="K75" s="25" t="inlineStr">
        <is>
          <t>Bet de investigado pagou voos de Flávio (diariodepernambuco.com.br) https://www.diariodepernambuco.com.br/politica/2026/10/11726788-bet-de-investigado-por-fraude-no-inss-pagou-voos-de-flavio-bolsonaro-na-europa-aponta-pf.html | Bet de investigado pagou voos de Flávio, aponta PF (bahianoticias.com.br) https://www.bahianoticias.com.br/folha/noticia/412847-bet-de-investigado-por-fraude-do-inss-pagou-voos-de-flavio-bolsonaro-na-europa</t>
        </is>
      </c>
      <c r="L75" s="25" t="inlineStr">
        <is>
          <t>22/10/2026</t>
        </is>
      </c>
      <c r="M75" s="25" t="inlineStr">
        <is>
          <t>22/10/2026: rodada contexto e imagens (perfil novo).</t>
        </is>
      </c>
    </row>
    <row r="76" ht="15" customHeight="1" s="26">
      <c r="A76" s="25" t="inlineStr">
        <is>
          <t>bravo</t>
        </is>
      </c>
      <c r="B76" s="25" t="inlineStr">
        <is>
          <t>Bravo Grafeno</t>
        </is>
      </c>
      <c r="C76" s="25" t="inlineStr">
        <is>
          <t>Esquema do INSS</t>
        </is>
      </c>
      <c r="D76" s="25" t="inlineStr">
        <is>
          <t>Fábrica de capacetes aberta em jun/2024, com capital de R$ 100 mil, que tem como sócios Flávio e Carlos Bolsonaro (Jair já foi sócio e é garoto-propaganda). Está registrada na sala 2601 de um edifício em Águas Claras (DF), mesmo endereço de ao menos 16 empresas ligadas ao Careca do INSS, e usa o mesmo contador, Alexandre Caetano dos Reis.</t>
        </is>
      </c>
      <c r="E76" s="25" t="inlineStr">
        <is>
          <t>Águas Claras (DF)</t>
        </is>
      </c>
      <c r="F76" s="25" t="inlineStr">
        <is>
          <t>—</t>
        </is>
      </c>
      <c r="G76" s="25" t="inlineStr">
        <is>
          <t>Não há acusação contra a empresa nas fontes.</t>
        </is>
      </c>
      <c r="H76" s="25" t="inlineStr">
        <is>
          <t>Citado, sem acusação</t>
        </is>
      </c>
      <c r="I76" s="25" t="inlineStr">
        <is>
          <t>—</t>
        </is>
      </c>
      <c r="J76" s="25" t="inlineStr">
        <is>
          <t>O escritório do contador diz que a sala é um coworking de outra empresa. Flávio nega envolvimento com o caso INSS.</t>
        </is>
      </c>
      <c r="K76" s="25"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76" s="25" t="inlineStr">
        <is>
          <t>22/10/2026</t>
        </is>
      </c>
      <c r="M76" s="25" t="inlineStr">
        <is>
          <t>22/10/2026: rodada contexto e imagens (perfil novo).</t>
        </is>
      </c>
    </row>
    <row r="77" ht="15" customHeight="1" s="26">
      <c r="A77" s="25" t="inlineStr">
        <is>
          <t>escf</t>
        </is>
      </c>
      <c r="B77" s="25" t="inlineStr">
        <is>
          <t>Escritório de advocacia de Flávio</t>
        </is>
      </c>
      <c r="C77" s="25" t="inlineStr">
        <is>
          <t>Flávio e família</t>
        </is>
      </c>
      <c r="D77" s="25" t="inlineStr">
        <is>
          <t>Banca de advocacia de Flávio, ativa desde 2021 e com sede na casa do senador, em Brasília. É administrada à distância por Letícia Caetano dos Reis, e a contabilidade é feita pelo escritório do irmão dela, Alexandre. Em abr/2025 emitiu nota de R$ 500 mil por "assessoria jurídica" a uma empresa ligada a uma consultoria que recebeu R$ 58 mi do Master.</t>
        </is>
      </c>
      <c r="E77" s="25" t="inlineStr">
        <is>
          <t>Brasília (DF)</t>
        </is>
      </c>
      <c r="F77" s="25" t="inlineStr">
        <is>
          <t>—</t>
        </is>
      </c>
      <c r="G77" s="25" t="inlineStr">
        <is>
          <t>Não há acusação contra o escritório nas fontes. Figura em ao menos 18 processos.</t>
        </is>
      </c>
      <c r="H77" s="25" t="inlineStr">
        <is>
          <t>Citado, sem acusação</t>
        </is>
      </c>
      <c r="I77" s="25" t="inlineStr">
        <is>
          <t>—</t>
        </is>
      </c>
      <c r="J77" s="25" t="inlineStr">
        <is>
          <t>Flávio alega sigilo profissional e não revela os clientes.</t>
        </is>
      </c>
      <c r="K77" s="25" t="inlineStr">
        <is>
          <t>Escritório de Flávio que emitiu nota de R$ 500 mil (tribunadosertao.com.br) https://www.tribunadosertao.com.br/poder-e-governo/2026/07/26/946935-escritorio-de-advocacia-de-flavio-que-emitiu-nota-de-r-500-mil-tem-atuacao-discreta-e-gestao-a-distancia | Firma de advocacia de Flávio (apublica.org) https://apublica.org/2022/06/firma-de-advocacia-de-flavio-bolsonaro-tem-contratos-consideraveis-diz-administradora/</t>
        </is>
      </c>
      <c r="L77" s="25" t="inlineStr">
        <is>
          <t>22/10/2026</t>
        </is>
      </c>
      <c r="M77" s="25" t="inlineStr">
        <is>
          <t>22/10/2026: rodada contexto e imagens (perfil novo).</t>
        </is>
      </c>
    </row>
    <row r="78" ht="15" customHeight="1" s="26">
      <c r="A78" s="25" t="inlineStr">
        <is>
          <t>consult</t>
        </is>
      </c>
      <c r="B78" s="25" t="inlineStr">
        <is>
          <t>Consultoria do amigo de Nunes</t>
        </is>
      </c>
      <c r="C78" s="25" t="inlineStr">
        <is>
          <t>Poder e Justiça</t>
        </is>
      </c>
      <c r="D78" s="25" t="inlineStr">
        <is>
          <t>Consult Inteligência Tributária. Segundo relatório do Coaf, recebeu R$ 6,6 mi do Banco Master e R$ 11,3 mi da JBS entre 2024 e 2025, e repassou R$ 281,6 mil, em 11 parcelas, ao escritório de Kevin Marques, filho do ministro Nunes Marques.</t>
        </is>
      </c>
      <c r="E78" s="25" t="inlineStr">
        <is>
          <t>—</t>
        </is>
      </c>
      <c r="F78" s="25" t="inlineStr">
        <is>
          <t>—</t>
        </is>
      </c>
      <c r="G78" s="25" t="inlineStr">
        <is>
          <t>Aparece em relatório do Coaf sobre movimentações atípicas; sem acusação formal nas fontes.</t>
        </is>
      </c>
      <c r="H78" s="25" t="inlineStr">
        <is>
          <t>Citado, sem acusação</t>
        </is>
      </c>
      <c r="I78" s="25" t="inlineStr">
        <is>
          <t>—</t>
        </is>
      </c>
      <c r="J78" s="25" t="inlineStr">
        <is>
          <t>As reportagens não nomeiam o dono, e a ligação "amigo de Nunes" vem do vídeo de origem, sem confirmação. A defesa de Kevin diz que ele prestou serviços tributários e nunca recebeu direto das empresas. A JBS diz que contrata consultorias pela complexidade tributária.</t>
        </is>
      </c>
      <c r="K78" s="25" t="inlineStr">
        <is>
          <t>Quem é Kevin Nunes Marques (istoe.com.br) https://istoe.com.br/quem-e-kelvin-nunes-marques-filho-do-ministro-do-stf-que-diz | Consultoria ligada ao Master e à JBS contratou filho de Nunes Marques (metropoles.com) https://www.metropoles.com/brasil/consultoria-ligada-ao-master-e-a-jbs-contratou-filho-de-nunes-marques</t>
        </is>
      </c>
      <c r="L78" s="25" t="inlineStr">
        <is>
          <t>22/10/2026</t>
        </is>
      </c>
      <c r="M78" s="25" t="inlineStr">
        <is>
          <t>22/10/2026: rodada contexto e imagens (perfil novo).</t>
        </is>
      </c>
    </row>
    <row r="79" ht="15" customHeight="1" s="26">
      <c r="A79" s="25" t="inlineStr">
        <is>
          <t>riopag</t>
        </is>
      </c>
      <c r="B79" s="25" t="inlineStr">
        <is>
          <t>Rio Pag</t>
        </is>
      </c>
      <c r="C79" s="25" t="inlineStr">
        <is>
          <t>Willer Tomaz e sua rede</t>
        </is>
      </c>
      <c r="D79" s="25" t="inlineStr">
        <is>
          <t>Intermediadora de pagamentos (depósitos e saques) das bets licenciadas pela Loterj, contratada em 2023. Faturou R$ 187,8 mi em taxas entre jun/2023 e ago/2026. A única acionista é a Capital Pretium, representada por Lídia Mazelli. Em e-mail achado pela PF, Willer se apresentou como sócio.</t>
        </is>
      </c>
      <c r="E79" s="25" t="inlineStr">
        <is>
          <t>Rio de Janeiro (RJ)</t>
        </is>
      </c>
      <c r="F79" s="25" t="inlineStr">
        <is>
          <t>—</t>
        </is>
      </c>
      <c r="G79" s="25" t="inlineStr">
        <is>
          <t>A Loterj rescindiu o contrato em 22/09/2026 e cobra R$ 9,4 mi, acusando a empresa de reter R$ 20,9 mi; três dias depois uma liminar suspendeu a rescisão.</t>
        </is>
      </c>
      <c r="H79" s="25" t="inlineStr">
        <is>
          <t>Investigado / alvo (sem denúncia)</t>
        </is>
      </c>
      <c r="I79" s="25" t="inlineStr">
        <is>
          <t>—</t>
        </is>
      </c>
      <c r="J79" s="25" t="inlineStr">
        <is>
          <t>Willer nega ser sócio ou gestor e diz que a relação é só de advogado. Antes dizia não ter participação; depois admitiu participação indireta (O Globo).</t>
        </is>
      </c>
      <c r="K79" s="25" t="inlineStr">
        <is>
          <t>Empresa ligada a amigo de Flávio faturou R$ 187,8 mi (ncnews.com.br) https://ncnews.com.br/?p=55340 | Loterj rescinde contrato com a RioPag (bnldata.com.br) https://bnldata.com.br/loterj-rescinde-contrato-com-riopag-e-cobra-r-94-mi-da-empresa/</t>
        </is>
      </c>
      <c r="L79" s="25" t="inlineStr">
        <is>
          <t>22/10/2026</t>
        </is>
      </c>
      <c r="M79" s="25" t="inlineStr">
        <is>
          <t>22/10/2026: rodada contexto e imagens (perfil novo).</t>
        </is>
      </c>
    </row>
    <row r="80" ht="15" customHeight="1" s="26">
      <c r="A80" s="25" t="inlineStr">
        <is>
          <t>luri</t>
        </is>
      </c>
      <c r="B80" s="25" t="inlineStr">
        <is>
          <t>Allure Eventos</t>
        </is>
      </c>
      <c r="C80" s="25" t="inlineStr">
        <is>
          <t>Vorcaro e o Banco Master</t>
        </is>
      </c>
      <c r="D80" s="25" t="inlineStr">
        <is>
          <t>Allure Eventos, agência de eventos de Felipe Nisti Cataldo. Segundo o UOL, recrutava mulheres, inclusive estrangeiras, para festas privadas de Vorcaro no Brasil e no exterior. Mensagens indicam Vorcaro como sócio oculto, e um contrato de dez/2023 previa a compra de 50% da agência por R$ 1,5 mi.</t>
        </is>
      </c>
      <c r="E80" s="25" t="inlineStr">
        <is>
          <t>São Paulo (SP)</t>
        </is>
      </c>
      <c r="F80" s="25" t="inlineStr">
        <is>
          <t>—</t>
        </is>
      </c>
      <c r="G80" s="25" t="inlineStr">
        <is>
          <t>A PF abriu inquérito em mai/2026 sobre a contratação das estrangeiras.</t>
        </is>
      </c>
      <c r="H80" s="25" t="inlineStr">
        <is>
          <t>Investigado / alvo (sem denúncia)</t>
        </is>
      </c>
      <c r="I80" s="25" t="inlineStr">
        <is>
          <t>—</t>
        </is>
      </c>
      <c r="J80" s="25" t="inlineStr">
        <is>
          <t>O dono confirma o interesse de Vorcaro, mas nega que a compra tenha avançado e contesta a versão das mensagens. Uma das reportagens não afirma explicitamente que a Allure é a agência usada no recrutamento.</t>
        </is>
      </c>
      <c r="K80" s="25" t="inlineStr">
        <is>
          <t>Mensagens apontam Vorcaro como sócio de agência (maisgoias.com.br) https://www.maisgoias.com.br/brasil/justica/mensagens-apontam-vorcaro-como-socio-de-agencia-que-recrutava-refugiadas-para-prostituicao/ | Mensagens ligam Vorcaro a recrutamento (jornalopcao.com.br) https://www.jornalopcao.com.br/ultimas-noticias/daniel-vorcaro-esquema-prostituicao-878361/ | Mensagens ligam Vorcaro a esquema de recrutamento (acritica.net) https://acritica.net/policia/mensagens-ligam-daniel-vorcaro-a-esquema-de-prostituicao-e-recrutamento-de-refugiadas/</t>
        </is>
      </c>
      <c r="L80" s="25" t="inlineStr">
        <is>
          <t>22/10/2026</t>
        </is>
      </c>
      <c r="M80" s="25" t="inlineStr">
        <is>
          <t>22/10/2026: rodada contexto e imagens (perfil novo).</t>
        </is>
      </c>
    </row>
    <row r="81" ht="15" customHeight="1" s="26">
      <c r="A81" s="25" t="inlineStr">
        <is>
          <t>ongbrazao</t>
        </is>
      </c>
      <c r="B81" s="25" t="inlineStr">
        <is>
          <t>ONG ligada aos irmãos Brazão</t>
        </is>
      </c>
      <c r="C81" s="25" t="inlineStr">
        <is>
          <t>Flávio e família</t>
        </is>
      </c>
      <c r="D81" s="25" t="inlineStr">
        <is>
          <t>Instituto de Formação Profissional José Carlos Procópio (Ifop), numa sala comercial em Taquara, Zona Oeste do Rio, área de influência dos Brazão. Recebeu R$ 199 mil de emenda de Flávio em 29/11/2023 para um projeto de futebol infantil. A PF apura se o repasse fez parte de um esquema de desvio de verbas de entidades ligadas aos Brazão, que teriam recebido R$ 268 mi entre 2020 e 2024.</t>
        </is>
      </c>
      <c r="E81" s="25" t="inlineStr">
        <is>
          <t>Taquara, Rio de Janeiro (RJ)</t>
        </is>
      </c>
      <c r="F81" s="25" t="inlineStr">
        <is>
          <t>—</t>
        </is>
      </c>
      <c r="G81" s="25" t="inlineStr">
        <is>
          <t>Investigação da PF em andamento; sem denúncia nas fontes.</t>
        </is>
      </c>
      <c r="H81" s="25" t="inlineStr">
        <is>
          <t>Investigado / alvo (sem denúncia)</t>
        </is>
      </c>
      <c r="I81" s="25" t="inlineStr">
        <is>
          <t>—</t>
        </is>
      </c>
      <c r="J81" s="25" t="inlineStr">
        <is>
          <t>O Ifop nega relação com Peixe ou com os Brazão e diz que prestou contas ao Ministério do Esporte e devolveu o que sobrou.</t>
        </is>
      </c>
      <c r="K81" s="25" t="inlineStr">
        <is>
          <t>PF apura emenda de Flávio para ONG dos Brazão (infomoney.com.br) https://www.infomoney.com.br/politica/pf-apura-emenda-de-flavio-para-ong-suspeita-de-integrar-esquema-dos-irmaos-brazao/ | Quem é Peixe (tvtnews.com.br) https://tvtnews.com.br/?p=804271</t>
        </is>
      </c>
      <c r="L81" s="25" t="inlineStr">
        <is>
          <t>22/10/2026</t>
        </is>
      </c>
      <c r="M81" s="25" t="inlineStr">
        <is>
          <t>22/10/2026: rodada contexto e imagens (perfil novo).</t>
        </is>
      </c>
    </row>
    <row r="82" ht="15" customHeight="1" s="26">
      <c r="A82" s="25" t="inlineStr">
        <is>
          <t>kopenhagen</t>
        </is>
      </c>
      <c r="B82" s="25" t="inlineStr">
        <is>
          <t>Loja Kopenhagen de Flávio</t>
        </is>
      </c>
      <c r="C82" s="25" t="inlineStr">
        <is>
          <t>Flávio e família</t>
        </is>
      </c>
      <c r="D82" s="25" t="inlineStr">
        <is>
          <t>Franquia de chocolates no Shopping Via Parque (Barra da Tijuca), da empresa Bolsotini Chocolates e Café, de Flávio e do sócio Alexandre Santini, comprada entre 2014 e 2015. O MP-RJ suspeitou que a loja servia para lavar dinheiro da rachadinha, com até R$ 2,1 mi "legalizados" e depósitos em espécie desproporcionais ao faturamento. A operação foi repassada ao grupo CRM em fev/2021.</t>
        </is>
      </c>
      <c r="E82" s="25" t="inlineStr">
        <is>
          <t>Barra da Tijuca, Rio de Janeiro (RJ)</t>
        </is>
      </c>
      <c r="F82" s="25" t="inlineStr">
        <is>
          <t>—</t>
        </is>
      </c>
      <c r="G82" s="25" t="inlineStr">
        <is>
          <t>Fazia parte da denúncia da rachadinha, que perdeu efeito com as anulações de provas.</t>
        </is>
      </c>
      <c r="H82" s="25" t="inlineStr">
        <is>
          <t>Caso</t>
        </is>
      </c>
      <c r="I82" s="25" t="inlineStr">
        <is>
          <t>—</t>
        </is>
      </c>
      <c r="J82" s="25" t="inlineStr">
        <is>
          <t>Flávio nega crime e diz que as operações da loja eram legais. A marca Kopenhagen não é parte do caso; por isso o nó fica sem logo.</t>
        </is>
      </c>
      <c r="K82" s="25" t="inlineStr">
        <is>
          <t>Flávio entrega loja investigada pelo MP (poder360.com.br) https://www.poder360.com.br/brasil/flavio-bolsonaro-entrega-loja-de-chocolates-investigada-pelo-mp/ | Investigação apura se loja lavou R$ 2,1 mi (opovo.com.br) https://www.opovo.com.br/noticias/politica/2020/08/20/investigacao-apura-se-loja-de-flavio-bolsonaro--lavou--r--2-1-milhoes.html</t>
        </is>
      </c>
      <c r="L82" s="25" t="inlineStr">
        <is>
          <t>22/10/2026</t>
        </is>
      </c>
      <c r="M82" s="25" t="inlineStr">
        <is>
          <t>22/10/2026: rodada contexto e imagens (perfil novo).</t>
        </is>
      </c>
    </row>
    <row r="83" ht="15" customHeight="1" s="26">
      <c r="A83" s="25" t="inlineStr">
        <is>
          <t>santander</t>
        </is>
      </c>
      <c r="B83" s="25" t="inlineStr">
        <is>
          <t>Santander</t>
        </is>
      </c>
      <c r="C83" s="25" t="inlineStr">
        <is>
          <t>Willer Tomaz e sua rede</t>
        </is>
      </c>
      <c r="D83" s="25" t="inlineStr">
        <is>
          <t>Banco onde a Alcazar Holdings, de Willer Tomaz, mantinha conta. Segundo a PF e a piauí, Flávio aparecia como "usuário master" dessa conta, e um e-mail da secretária de Willer em 22/05/2025 pediu ao banco a exclusão dele, confirmada no mesmo dia.</t>
        </is>
      </c>
      <c r="E83" s="25" t="inlineStr">
        <is>
          <t>—</t>
        </is>
      </c>
      <c r="F83" s="25" t="inlineStr">
        <is>
          <t>—</t>
        </is>
      </c>
      <c r="G83" s="25" t="inlineStr">
        <is>
          <t>O banco não é investigado; a conta é citada no inquérito sobre Flávio e Willer.</t>
        </is>
      </c>
      <c r="H83" s="25" t="inlineStr">
        <is>
          <t>Citado, sem acusação</t>
        </is>
      </c>
      <c r="I83" s="25" t="inlineStr">
        <is>
          <t>—</t>
        </is>
      </c>
      <c r="J83" s="25" t="inlineStr">
        <is>
          <t>Willer atribui o vínculo a um erro cadastral do banco. Resposta do citado: não localizada nas fontes consultadas (checagem de 23/10/2026). Pedidos de correção ou resposta: ver “Sobre este mapa”.</t>
        </is>
      </c>
      <c r="K83" s="25" t="inlineStr">
        <is>
          <t>Flávio era usuário master de conta de offshore (maisgoias.com.br) https://www.maisgoias.com.br/brasil/flavio-bolsonaro-era-usuario-master-de-conta-de-offshore-socia-do-jato-usado-por-vorcaro/ | Offshore ligada a Flávio (jornalopcao.com.br) https://www.jornalopcao.com.br/ultimas-noticias/offshore-ligada-a-flavio-bolsonaro-reune-conexoes-com-o-mercado-de-bets-879306/</t>
        </is>
      </c>
      <c r="L83" s="25" t="inlineStr">
        <is>
          <t>22/10/2026</t>
        </is>
      </c>
      <c r="M83" s="25" t="inlineStr">
        <is>
          <t>22/10/2026: rodada contexto e imagens (perfil novo). 23/10/2026: campo de resposta do citado incluído.</t>
        </is>
      </c>
      <c r="N83" s="25" t="inlineStr">
        <is>
          <t>santander.png</t>
        </is>
      </c>
      <c r="O83" s="25" t="inlineStr">
        <is>
          <t>Interbrand · domínio público (logo simples, sem direito autoral)</t>
        </is>
      </c>
      <c r="P83" s="25" t="inlineStr">
        <is>
          <t>https://commons.wikimedia.org/wiki/File:Banco_Santander_Logotipo.svg</t>
        </is>
      </c>
    </row>
    <row r="84" ht="15" customHeight="1" s="26">
      <c r="A84" s="25" t="inlineStr">
        <is>
          <t>bets</t>
        </is>
      </c>
      <c r="B84" s="25" t="inlineStr">
        <is>
          <t>Blaze e sites de apostas</t>
        </is>
      </c>
      <c r="C84" s="25" t="inlineStr">
        <is>
          <t>Willer Tomaz e sua rede</t>
        </is>
      </c>
      <c r="D84" s="25" t="inlineStr">
        <is>
          <t>Plataforma de apostas Blaze. Segundo o Metrópoles, Willer Tomaz movimentou cerca de R$ 5 bi em apostas de cassino on-line nela em 2025, com prejuízo líquido de R$ 163 mi. Ele foi à Justiça de SP alegando vício e cobrando a plataforma. A PF abriu frente de investigação sobre possível lavagem por apostas.</t>
        </is>
      </c>
      <c r="E84" s="25" t="inlineStr">
        <is>
          <t>—</t>
        </is>
      </c>
      <c r="F84" s="25" t="inlineStr">
        <is>
          <t>—</t>
        </is>
      </c>
      <c r="G84" s="25" t="inlineStr">
        <is>
          <t>A plataforma não é acusada nas fontes. A Justiça de SP negou o pedido de ressarcimento de Willer.</t>
        </is>
      </c>
      <c r="H84" s="25" t="inlineStr">
        <is>
          <t>Citado, sem acusação</t>
        </is>
      </c>
      <c r="I84" s="25" t="inlineStr">
        <is>
          <t>—</t>
        </is>
      </c>
      <c r="J84" s="25" t="inlineStr">
        <is>
          <t>Willer nega lavagem e diz que tudo passou pela própria conta, de forma rastreável. As fontes divergem sobre o valor cobrado na ação (R$ 20 mi ou R$ 163 mi).</t>
        </is>
      </c>
      <c r="K84" s="25" t="inlineStr">
        <is>
          <t>Willer movimenta R$ 5 bi em apostas (bahianoticias.com.br) https://www.bahianoticias.com.br/noticia/321709-advogado-willer-tomaz-movimenta-r-5-bi-em-apostas-e-registra-prejuizo-de-r-163-mi | Justiça de SP nega ressarcimento a Willer (bnldata.com.br) https://bnldata.com.br/?p=189317</t>
        </is>
      </c>
      <c r="L84" s="25" t="inlineStr">
        <is>
          <t>22/10/2026</t>
        </is>
      </c>
      <c r="M84" s="25" t="inlineStr">
        <is>
          <t>22/10/2026: rodada contexto e imagens (perfil novo).</t>
        </is>
      </c>
      <c r="N84" s="25" t="inlineStr">
        <is>
          <t>bets.png</t>
        </is>
      </c>
      <c r="O84" s="25" t="inlineStr">
        <is>
          <t>blaze.com · domínio público (logo simples, sem direito autoral)</t>
        </is>
      </c>
      <c r="P84" s="25" t="inlineStr">
        <is>
          <t>https://commons.wikimedia.org/wiki/File:Blaze_apostas_logo.png</t>
        </is>
      </c>
    </row>
    <row r="85" ht="15" customHeight="1" s="26">
      <c r="A85" s="25" t="inlineStr">
        <is>
          <t>aptosp</t>
        </is>
      </c>
      <c r="B85" s="25" t="inlineStr">
        <is>
          <t>Apartamento de luxo em SP</t>
        </is>
      </c>
      <c r="C85" s="25" t="inlineStr">
        <is>
          <t>Casas e ativos</t>
        </is>
      </c>
      <c r="D85" s="25" t="inlineStr">
        <is>
          <t>Apartamento de 159 m² em São Paulo. Fabiano Zettel, cunhado de Vorcaro, comprou em abr/2025 por R$ 5,5 mi e vendeu em fev/2026 à WT, de Willer, por R$ 3,5 mi. Segundo a piauí, Flávio ficou lá por vários dias em ago/2026, onde se reuniu com a equipe e gravou vídeos de campanha.</t>
        </is>
      </c>
      <c r="E85" s="25" t="inlineStr">
        <is>
          <t>São Paulo (SP)</t>
        </is>
      </c>
      <c r="F85" s="25" t="inlineStr">
        <is>
          <t>—</t>
        </is>
      </c>
      <c r="G85" s="25" t="inlineStr">
        <is>
          <t>Não há processo sobre o imóvel nas fontes.</t>
        </is>
      </c>
      <c r="H85" s="25" t="inlineStr">
        <is>
          <t>Bem citado</t>
        </is>
      </c>
      <c r="I85" s="25" t="inlineStr">
        <is>
          <t>—</t>
        </is>
      </c>
      <c r="J85" s="25" t="inlineStr">
        <is>
          <t>Flávio disse à piauí que só se hospedou em hotéis da região. Willer diz não conhecer Zettel nem Vorcaro.</t>
        </is>
      </c>
      <c r="K85" s="25" t="inlineStr">
        <is>
          <t>Flávio usou em campanha imóvel de advogado alvo da PF (diariodocomercio.com.br) https://diariodocomercio.com.br/politica/flavio-bolsonaro-apartamento-pf/ | Apartamento pertenceu a cunhado de Vorcaro (timesbrasil.com.br) https://timesbrasil.com.br/brasil/apartamento-usado-por-flavio-bolsonaro-durante-campanha-eleitoral-pertenceu-a-cunhado-de-daniel-vorcaro/</t>
        </is>
      </c>
      <c r="L85" s="25" t="inlineStr">
        <is>
          <t>22/10/2026</t>
        </is>
      </c>
      <c r="M85" s="25" t="inlineStr">
        <is>
          <t>22/10/2026: rodada contexto e imagens (perfil novo).</t>
        </is>
      </c>
    </row>
    <row r="86" ht="15" customHeight="1" s="26">
      <c r="A86" s="25" t="inlineStr">
        <is>
          <t>atibaia</t>
        </is>
      </c>
      <c r="B86" s="25" t="inlineStr">
        <is>
          <t>Casa de Wassef em Atibaia</t>
        </is>
      </c>
      <c r="C86" s="25" t="inlineStr">
        <is>
          <t>Casas e ativos</t>
        </is>
      </c>
      <c r="D86" s="25" t="inlineStr">
        <is>
          <t>Casa do advogado Frederick Wassef, que defendia Flávio e Jair Bolsonaro, em Atibaia (SP). Fabrício Queiroz foi preso lá em 18/06/2020, na Operação Anjo, desdobramento da Furna da Onça.</t>
        </is>
      </c>
      <c r="E86" s="25" t="inlineStr">
        <is>
          <t>Atibaia (SP)</t>
        </is>
      </c>
      <c r="F86" s="25" t="inlineStr">
        <is>
          <t>—</t>
        </is>
      </c>
      <c r="G86" s="25" t="inlineStr">
        <is>
          <t>Não há processo sobre o imóvel.</t>
        </is>
      </c>
      <c r="H86" s="25" t="inlineStr">
        <is>
          <t>Bem citado</t>
        </is>
      </c>
      <c r="I86" s="25" t="inlineStr">
        <is>
          <t>—</t>
        </is>
      </c>
      <c r="J86" s="25" t="inlineStr">
        <is>
          <t>Wassef negou ter escondido Queiroz.</t>
        </is>
      </c>
      <c r="K86" s="25" t="inlineStr">
        <is>
          <t>Queiroz é preso em Atibaia (poder360.com.br) https://www.poder360.com.br/justica/fabricio-queiroz-ex-assessor-de-flavio-bolsonaro-e-preso/ | Advogado de Bolsonaro diz que não escondeu Queiroz (poder360.com.br) https://poder360.com.br/justica/advogado-de-bolsonaro-diz-que-nao-escondeu-queiroz-e-nega-ser-o-anjo/</t>
        </is>
      </c>
      <c r="L86" s="25" t="inlineStr">
        <is>
          <t>22/10/2026</t>
        </is>
      </c>
      <c r="M86" s="25" t="inlineStr">
        <is>
          <t>22/10/2026: rodada contexto e imagens (perfil novo).</t>
        </is>
      </c>
    </row>
    <row r="87" ht="15" customHeight="1" s="26">
      <c r="A87" s="25" t="inlineStr">
        <is>
          <t>mansaobsb</t>
        </is>
      </c>
      <c r="B87" s="25" t="inlineStr">
        <is>
          <t>Mansão de Flávio em Brasília</t>
        </is>
      </c>
      <c r="C87" s="25" t="inlineStr">
        <is>
          <t>Casas e ativos</t>
        </is>
      </c>
      <c r="D87" s="25" t="inlineStr">
        <is>
          <t>Casa comprada por Flávio em 2021 por R$ 6 mi, num terreno de 2.400 m² no Setor de Mansões Dom Bosco (Lago Sul). Foram R$ 2,87 mi de entrada e R$ 3,1 mi financiados pelo BRB a 3,71% ao ano, abaixo da média do banco; ele quitou em cerca de três anos. Também abriga o escritório de advocacia dele.</t>
        </is>
      </c>
      <c r="E87" s="25" t="inlineStr">
        <is>
          <t>Lago Sul, Brasília (DF)</t>
        </is>
      </c>
      <c r="F87" s="25" t="inlineStr">
        <is>
          <t>—</t>
        </is>
      </c>
      <c r="G87" s="25" t="inlineStr">
        <is>
          <t>A PF apura as condições do empréstimo dentro do inquérito BRB-Master.</t>
        </is>
      </c>
      <c r="H87" s="25" t="inlineStr">
        <is>
          <t>Bem citado</t>
        </is>
      </c>
      <c r="I87" s="25" t="inlineStr">
        <is>
          <t>—</t>
        </is>
      </c>
      <c r="J87" s="25" t="inlineStr">
        <is>
          <t>Flávio diz que a compra foi legal, paga com a venda de outro imóvel e da loja de chocolates.</t>
        </is>
      </c>
      <c r="K87" s="25" t="inlineStr">
        <is>
          <t>PF apura financiamento do BRB a Flávio (diariodepernambuco.com.br) https://www.diariodepernambuco.com.br/politica/2026/10/11725606-pf-apura-condicoes-de-financiamento-do-brb-a-flavio-bolsonaro-para-mansao-de-rs-6-milhoes.html | PF investiga financiamento de mansão de Flávio (jb.com.br) https://www.jb.com.br/brasil/policia/2026/10/1061098-pf-investiga-financiamento-de-mansao-de-flavio-bolsonaro-em-brasilia.html</t>
        </is>
      </c>
      <c r="L87" s="25" t="inlineStr">
        <is>
          <t>22/10/2026</t>
        </is>
      </c>
      <c r="M87" s="25" t="inlineStr">
        <is>
          <t>22/10/2026: rodada contexto e imagens (perfil novo).</t>
        </is>
      </c>
    </row>
    <row r="88" ht="15" customHeight="1" s="26">
      <c r="A88" s="25" t="inlineStr">
        <is>
          <t>hangar</t>
        </is>
      </c>
      <c r="B88" s="25" t="inlineStr">
        <is>
          <t>Hangares de Willer (Aeroporto de Brasília)</t>
        </is>
      </c>
      <c r="C88" s="25" t="inlineStr">
        <is>
          <t>Casas e ativos</t>
        </is>
      </c>
      <c r="D88" s="25" t="inlineStr">
        <is>
          <t>Hangares 36 e 37 do Aeroporto de Brasília, operados por empresas de aviação de Willer Tomaz (Ícaro Aviation e Jet Line). Na busca de ago/2026 da Operação Sem Desconto, a PF encontrou uma sala oculta, máquina de contar e malas vazias, sem dinheiro.</t>
        </is>
      </c>
      <c r="E88" s="25" t="inlineStr">
        <is>
          <t>Aeroporto de Brasília (DF)</t>
        </is>
      </c>
      <c r="F88" s="25" t="inlineStr">
        <is>
          <t>—</t>
        </is>
      </c>
      <c r="G88" s="25" t="inlineStr">
        <is>
          <t>Alvo de busca na Operação Sem Desconto (ago/2026).</t>
        </is>
      </c>
      <c r="H88" s="25" t="inlineStr">
        <is>
          <t>Bem citado</t>
        </is>
      </c>
      <c r="I88" s="25" t="inlineStr">
        <is>
          <t>—</t>
        </is>
      </c>
      <c r="J88" s="25" t="inlineStr">
        <is>
          <t>Willer nega uso irregular e diz que o espaço atende transporte de valores.</t>
        </is>
      </c>
      <c r="K88" s="25" t="inlineStr">
        <is>
          <t>Empresas e hangar de Willer (iclnoticias.com.br) https://iclnoticias.com.br/domestica-preside-empresas-fraude-flavio/ | PF mira advogado camaleão de Brasília (opovo.com.br) https://www.opovo.com.br/noticias/economia/2026/08/04/fraudes-do-inss-pf-mira-advogado-camaleao-de-brasilia-por-suspeita-de-lavagem-para-senador.html</t>
        </is>
      </c>
      <c r="L88" s="25" t="inlineStr">
        <is>
          <t>22/10/2026</t>
        </is>
      </c>
      <c r="M88" s="25" t="inlineStr">
        <is>
          <t>22/10/2026: rodada contexto e imagens (perfil novo).</t>
        </is>
      </c>
    </row>
    <row r="89" ht="15" customHeight="1" s="26">
      <c r="A89" s="25" t="inlineStr">
        <is>
          <t>sala</t>
        </is>
      </c>
      <c r="B89" s="25" t="inlineStr">
        <is>
          <t>Sala em Águas Claras (DF)</t>
        </is>
      </c>
      <c r="C89" s="25" t="inlineStr">
        <is>
          <t>Esquema do INSS</t>
        </is>
      </c>
      <c r="D89" s="25" t="inlineStr">
        <is>
          <t>Sala 2601 de um edifício comercial em Águas Claras (DF). É o endereço de ao menos 16 empresas ligadas ao Careca do INSS, oito delas abertas no mesmo dia (05/10/2023), e da Bravo Grafeno, de Flávio e Carlos. Uma das empresas do Careca, a Prospect, recebeu R$ 204,2 mi de entidades, segundo a CPMI do INSS.</t>
        </is>
      </c>
      <c r="E89" s="25" t="inlineStr">
        <is>
          <t>Águas Claras (DF)</t>
        </is>
      </c>
      <c r="F89" s="25" t="inlineStr">
        <is>
          <t>—</t>
        </is>
      </c>
      <c r="G89" s="25" t="inlineStr">
        <is>
          <t>Várias empresas do endereço são investigadas no caso INSS; algumas foram baixadas.</t>
        </is>
      </c>
      <c r="H89" s="25" t="inlineStr">
        <is>
          <t>Bem citado</t>
        </is>
      </c>
      <c r="I89" s="25" t="inlineStr">
        <is>
          <t>—</t>
        </is>
      </c>
      <c r="J89" s="25" t="inlineStr">
        <is>
          <t>O escritório do contador diz que a sala é um coworking de outra empresa.</t>
        </is>
      </c>
      <c r="K89" s="25"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89" s="25" t="inlineStr">
        <is>
          <t>22/10/2026</t>
        </is>
      </c>
      <c r="M89" s="25" t="inlineStr">
        <is>
          <t>22/10/2026: rodada contexto e imagens (perfil novo).</t>
        </is>
      </c>
    </row>
    <row r="90" ht="15" customHeight="1" s="26">
      <c r="A90" s="25" t="inlineStr">
        <is>
          <t>escw</t>
        </is>
      </c>
      <c r="B90" s="25" t="inlineStr">
        <is>
          <t>Escritório de Willer</t>
        </is>
      </c>
      <c r="C90" s="25" t="inlineStr">
        <is>
          <t>Willer Tomaz e sua rede</t>
        </is>
      </c>
      <c r="D90" s="25" t="inlineStr">
        <is>
          <t>Escritório de advocacia de Willer Tomaz em Brasília. Foi alvo de busca da PF em 04/08/2026, na nova fase da Operação Sem Desconto, quando os agentes encontraram uma máquina de contar cédulas.</t>
        </is>
      </c>
      <c r="E90" s="25" t="inlineStr">
        <is>
          <t>Brasília (DF)</t>
        </is>
      </c>
      <c r="F90" s="25" t="inlineStr">
        <is>
          <t>—</t>
        </is>
      </c>
      <c r="G90" s="25" t="inlineStr">
        <is>
          <t>Alvo de busca e apreensão autorizada por André Mendonça.</t>
        </is>
      </c>
      <c r="H90" s="25" t="inlineStr">
        <is>
          <t>Bem citado</t>
        </is>
      </c>
      <c r="I90" s="25" t="inlineStr">
        <is>
          <t>—</t>
        </is>
      </c>
      <c r="J90" s="25" t="inlineStr">
        <is>
          <t>O dinheiro escondido em livros-cofre vem do vídeo de origem; as reportagens reverificadas citam a máquina de contar, mas não os livros-cofre. A defesa diz que a busca se deve ao empréstimo pessoal do avião a Weverton.</t>
        </is>
      </c>
      <c r="K90" s="25" t="inlineStr">
        <is>
          <t>PF acha máquina de contar cédulas (metropoles.com) https://www.metropoles.com/colunas/mirelle-pinheiro/fraude-no-inss-pf-acha-maquina-de-contar-cedulas-e-pilhas-de-dinheiro | Uma máquina de dinheiro no escritório do advogado (oantagonista.com.br) https://oantagonista.com.br/brasil/uma-maquina-de-dinheiro-no-escritorio-do-advogado-ligado-a-weverton-rocha/</t>
        </is>
      </c>
      <c r="L90" s="25" t="inlineStr">
        <is>
          <t>22/10/2026</t>
        </is>
      </c>
      <c r="M90" s="25" t="inlineStr">
        <is>
          <t>22/10/2026: rodada contexto e imagens (perfil novo).</t>
        </is>
      </c>
    </row>
    <row r="91" ht="15" customHeight="1" s="26">
      <c r="A91" s="25" t="inlineStr">
        <is>
          <t>assoc</t>
        </is>
      </c>
      <c r="B91" s="25" t="inlineStr">
        <is>
          <t>Associações de aposentados</t>
        </is>
      </c>
      <c r="C91" s="25" t="inlineStr">
        <is>
          <t>Esquema do INSS</t>
        </is>
      </c>
      <c r="D91" s="25" t="inlineStr">
        <is>
          <t>Entidades que descontavam mensalidades direto de aposentadorias e pensões do INSS. PF e CGU estimam R$ 6,3 bi descontados entre 2019 e 2024; em pesquisa da CGU, 97% dos beneficiários ouvidos disseram não ter autorizado. A Operação Sem Desconto (abr/2025) derrubou o presidente do INSS, e o dinheiro passava pelo esquema atribuído ao Careca do INSS.</t>
        </is>
      </c>
      <c r="E91" s="25" t="inlineStr">
        <is>
          <t>Nacional</t>
        </is>
      </c>
      <c r="F91" s="25" t="inlineStr">
        <is>
          <t>—</t>
        </is>
      </c>
      <c r="G91" s="25" t="inlineStr">
        <is>
          <t>Convênios suspensos; o governo prometeu ressarcir os aposentados.</t>
        </is>
      </c>
      <c r="H91" s="25" t="inlineStr">
        <is>
          <t>Investigado / alvo (sem denúncia)</t>
        </is>
      </c>
      <c r="I91" s="25" t="inlineStr">
        <is>
          <t>—</t>
        </is>
      </c>
      <c r="J91" s="25" t="inlineStr">
        <is>
          <t>Nem todo o valor é ilegal: parte dos segurados autorizou os descontos.</t>
        </is>
      </c>
      <c r="K91" s="25" t="inlineStr">
        <is>
          <t>Como funcionava o esquema de fraude no INSS (opovo.com.br) https://www.opovo.com.br/noticias/brasil/2025/04/30/como-funcionava-o-esquema-bilionario-de-fraude-no-inss.html | Crise no INSS (congressoemfoco.com.br) https://www.congressoemfoco.com.br/noticia/108221/crise-no-inss-entenda-escandalo-que-derrubou-ministro-da-previdencia</t>
        </is>
      </c>
      <c r="L91" s="25" t="inlineStr">
        <is>
          <t>22/10/2026</t>
        </is>
      </c>
      <c r="M91" s="25" t="inlineStr">
        <is>
          <t>22/10/2026: rodada contexto e imagens (perfil novo).</t>
        </is>
      </c>
    </row>
    <row r="92" ht="15" customHeight="1" s="26">
      <c r="A92" s="25" t="inlineStr">
        <is>
          <t>rueda</t>
        </is>
      </c>
      <c r="B92" s="25" t="inlineStr">
        <is>
          <t>Antonio Rueda</t>
        </is>
      </c>
      <c r="C92" s="25" t="inlineStr">
        <is>
          <t>Vorcaro e o Banco Master</t>
        </is>
      </c>
      <c r="D92" s="25" t="inlineStr">
        <is>
          <t>Presidente do União Brasil desde 2024. Admitiu à piauí ter prestado serviços de advocacia ao Master (“dezenas de pareceres e centenas de reuniões”). Aparece com 2.712 interações no celular de Vorcaro (nov/2023 a set/2025), o 4º maior volume entre os 56 políticos; 64% delas expiraram ou foram apagadas, quase todas depois de 12/07/2024, data em que a planilha registra um temporizador de 1 dia.</t>
        </is>
      </c>
      <c r="F92" s="25" t="inlineStr">
        <is>
          <t>Vivo</t>
        </is>
      </c>
      <c r="G92" s="25" t="inlineStr">
        <is>
          <t>As fontes lidas não informam se ele é formalmente investigado. Vorcaro o cita em proposta de delação rejeitada pela PF e pela PGR (UOL, set/2026); ele nega irregularidades.</t>
        </is>
      </c>
      <c r="H92" s="25" t="inlineStr">
        <is>
          <t>Citado, sem acusação</t>
        </is>
      </c>
      <c r="I92" s="25" t="inlineStr">
        <is>
          <t>Nada nas fontes.</t>
        </is>
      </c>
      <c r="J92" s="25" t="inlineStr">
        <is>
          <t>Diz ter apenas “contatos sociais eventuais” com Vorcaro e que atuou como advogado do banco (“Prezado, eu era advogado do banco. Obrigado.”, à piauí). Nega irregularidades e disse ao UOL ter dificuldade em comentar documento ao qual não teve acesso. A piauí cita 2.636 interações (sem as 76 ligações do iPhone); aqui vale o total da planilha. Os números de contato são do levantamento piauí/InterSecLab sobre o celular de Vorcaro (base 18/11/2025): medem volume de contato individual (WhatsApp e ligações), não conteúdo; mensagens expiradas ou apagadas não são recuperáveis.</t>
        </is>
      </c>
      <c r="K92" s="25" t="inlineStr">
        <is>
          <t>Piauí: 71% das interações de Vorcaro com políticos eram do governo Bolsonaro (piaui.uol.com.br) https://piaui.uol.com.br/web/mais-de-70-das-interacoes-do-celular-de-vorcaro-com-politicos-eram-com-membros-do-governo-bolsonaro/ | Rueda admite que advogou para o Master (infomoney.com.br) https://www.infomoney.com.br/politica/rueda-admite-que-advogou-para-o-master-apos-alegar-relacao-social-com-vorcaro/ | ACM Neto e Rueda recebiam 10% de aportes, diz Vorcaro em proposta de delação (bahianoticias.com.br) https://www.bahianoticias.com.br/noticia/320957-acm-neto-e-rueda-recebiam-10-de-aportes-de-previdencias-do-banco-master-diz-vorcaro-em-proposta-de-delacao</t>
        </is>
      </c>
      <c r="L92" s="25" t="inlineStr">
        <is>
          <t>23/10/2026</t>
        </is>
      </c>
      <c r="M92" s="25" t="inlineStr">
        <is>
          <t>23/10/2026: perfil novo (base piauí/InterSecLab, rodada de verificação).</t>
        </is>
      </c>
    </row>
    <row r="93" ht="15" customHeight="1" s="26">
      <c r="A93" s="25" t="inlineStr">
        <is>
          <t>wajngarten</t>
        </is>
      </c>
      <c r="B93" s="25" t="inlineStr">
        <is>
          <t>Fabio Wajngarten</t>
        </is>
      </c>
      <c r="C93" s="25" t="inlineStr">
        <is>
          <t>Vorcaro e o Banco Master</t>
        </is>
      </c>
      <c r="D93" s="25" t="inlineStr">
        <is>
          <t>Ex-secretário especial de Comunicação Social do governo Bolsonaro. Integra a defesa de Vorcaro na área de comunicação desde o 1º semestre de 2025. Segundo a Folha (documentos da Receita enviados à CPI do Crime), a WF Comunicação, empresa dele, recebeu do Banco Master ao menos R$ 3,8 mi em 2025. A piauí cita mensagem de 28/04/2025 com dados para pagamento de R$ 3,2 mi à WF. Aparece com 1.151 interações no celular de Vorcaro (mar a nov/2025), o 6º maior volume; 93% expiraram.</t>
        </is>
      </c>
      <c r="F93" s="25" t="inlineStr">
        <is>
          <t>Vivo</t>
        </is>
      </c>
      <c r="G93" s="25" t="inlineStr">
        <is>
          <t>As fontes lidas não informam se ele é formalmente investigado.</t>
        </is>
      </c>
      <c r="H93" s="25" t="inlineStr">
        <is>
          <t>Citado, sem acusação</t>
        </is>
      </c>
      <c r="I93" s="25" t="inlineStr">
        <is>
          <t>Nada nas fontes.</t>
        </is>
      </c>
      <c r="J93" s="25" t="inlineStr">
        <is>
          <t>Diz à piauí que atuou como “agregador de notícias”, distribuindo notícias a mais de 200 contatos; segundo a Folha, afirma que o contrato é confidencial e que não é mais politicamente exposto. Os R$ 3,2 mi (mensagem de 28/04/2025, piauí) e os R$ 3,8 mi (Receita, via Folha) são dados distintos: não somar nem igualar. Os números de contato são do levantamento piauí/InterSecLab sobre o celular de Vorcaro (base 18/11/2025): medem volume de contato individual (WhatsApp e ligações), não conteúdo; mensagens expiradas ou apagadas não são recuperáveis.</t>
        </is>
      </c>
      <c r="K93" s="25" t="inlineStr">
        <is>
          <t>Piauí: 71% das interações de Vorcaro com políticos eram do governo Bolsonaro (piaui.uol.com.br) https://piaui.uol.com.br/web/mais-de-70-das-interacoes-do-celular-de-vorcaro-com-politicos-eram-com-membros-do-governo-bolsonaro/ | Braço direito de Bolsonaro recebe R$ 3 milhões para defender Vorcaro (atarde.com.br) https://atarde.com.br/politica/braco-direito-de-bolsonaro-recebe-r-3-milhoes-para-defender-vorcaro-1385380 | Ex-secretário de Bolsonaro recebeu R$ 3,8 milhões para defender Vorcaro (portaltela.com) https://www.portaltela.com/noticias/politica/2026/04/09/ex-secretario-de-bolsonaro-recebeu-38-milhoes-para-defender-vorcaro/</t>
        </is>
      </c>
      <c r="L93" s="25" t="inlineStr">
        <is>
          <t>23/10/2026</t>
        </is>
      </c>
      <c r="M93" s="25" t="inlineStr">
        <is>
          <t>23/10/2026: perfil novo (base piauí/InterSecLab, rodada de verificação).</t>
        </is>
      </c>
    </row>
    <row r="94" ht="15" customHeight="1" s="26">
      <c r="A94" s="25" t="inlineStr">
        <is>
          <t>mantega</t>
        </is>
      </c>
      <c r="B94" s="25" t="inlineStr">
        <is>
          <t>Guido Mantega</t>
        </is>
      </c>
      <c r="C94" s="25" t="inlineStr">
        <is>
          <t>Poder e Justiça</t>
        </is>
      </c>
      <c r="D94" s="25" t="inlineStr">
        <is>
          <t>Ex-ministro da Fazenda (PT). Disse à piauí ter sido contratado pelo Master entre 2024 e 2025 para consultoria econômica. Aparece com 323 interações no celular de Vorcaro (jun/2024 a nov/2025); 94% expiraram e as 19 ligações não ficaram registradas. Mensagens divulgadas pelo Estadão mostram Vorcaro e um advogado tentando levá-lo a Lula em 2025.</t>
        </is>
      </c>
      <c r="F94" s="25" t="inlineStr">
        <is>
          <t>Vivo</t>
        </is>
      </c>
      <c r="G94" s="25" t="inlineStr">
        <is>
          <t>As fontes lidas não informam se ele é formalmente investigado.</t>
        </is>
      </c>
      <c r="H94" s="25" t="inlineStr">
        <is>
          <t>Citado, sem acusação</t>
        </is>
      </c>
      <c r="I94" s="25" t="inlineStr">
        <is>
          <t>Nada nas fontes.</t>
        </is>
      </c>
      <c r="J94" s="25" t="inlineStr">
        <is>
          <t>O Planalto diz que Lula recebeu Vorcaro uma única vez (04/12/2024), acompanhado de Mantega, e que não houve outro contato. A matéria da Gazeta do Povo não traz manifestação de Mantega sobre as mensagens. Os números de contato são do levantamento piauí/InterSecLab sobre o celular de Vorcaro (base 18/11/2025): medem volume de contato individual (WhatsApp e ligações), não conteúdo; mensagens expiradas ou apagadas não são recuperáveis.</t>
        </is>
      </c>
      <c r="K94" s="25" t="inlineStr">
        <is>
          <t>Piauí: 71% das interações de Vorcaro com políticos eram do governo Bolsonaro (piaui.uol.com.br) https://piaui.uol.com.br/web/mais-de-70-das-interacoes-do-celular-de-vorcaro-com-politicos-eram-com-membros-do-governo-bolsonaro/ | Vorcaro acionou Mantega e buscou nova reunião com Lula em 2025 (gazetadopovo.com.br) https://www.gazetadopovo.com.br/republica/vorcaro-acionou-mantega-e-buscou-nova-reuniao-com-lula-em-2025/</t>
        </is>
      </c>
      <c r="L94" s="25" t="inlineStr">
        <is>
          <t>23/10/2026</t>
        </is>
      </c>
      <c r="M94" s="25" t="inlineStr">
        <is>
          <t>23/10/2026: perfil novo (base piauí/InterSecLab, rodada de verificação).</t>
        </is>
      </c>
    </row>
    <row r="95" ht="15" customHeight="1" s="26">
      <c r="A95" s="25" t="inlineStr">
        <is>
          <t>doria</t>
        </is>
      </c>
      <c r="B95" s="25" t="inlineStr">
        <is>
          <t>João Doria</t>
        </is>
      </c>
      <c r="C95" s="25" t="inlineStr">
        <is>
          <t>Vorcaro e o Banco Master</t>
        </is>
      </c>
      <c r="D95" s="25" t="inlineStr">
        <is>
          <t>Ex-governador de São Paulo e fundador do Grupo Lide. Aparece com 2.309 interações no celular de Vorcaro (abr/2022 a nov/2025), o 5º maior volume; 99,7% ainda legíveis. Em mensagem de maio/2025, disse estar “preocupado” com Vorcaro e propôs uma conversa reservada; um print no processo indica que Vorcaro retornou a ligação.</t>
        </is>
      </c>
      <c r="E95" s="25" t="inlineStr">
        <is>
          <t>São Paulo (SP)</t>
        </is>
      </c>
      <c r="F95" s="25" t="inlineStr">
        <is>
          <t>Vivo</t>
        </is>
      </c>
      <c r="G95" s="25" t="inlineStr">
        <is>
          <t>As fontes lidas não informam se ele é formalmente investigado.</t>
        </is>
      </c>
      <c r="H95" s="25" t="inlineStr">
        <is>
          <t>Citado, sem acusação</t>
        </is>
      </c>
      <c r="I95" s="25" t="inlineStr">
        <is>
          <t>Nada nas fontes.</t>
        </is>
      </c>
      <c r="J95" s="25" t="inlineStr">
        <is>
          <t>A assessoria dele confirma o diálogo, diz que a mensagem foi enviada em maio/2025, antes de qualquer tema público grave sobre o Master, e que foi “apenas um gesto cordial”. O texto da piauí não comenta o caso dele. Os números de contato são do levantamento piauí/InterSecLab sobre o celular de Vorcaro (base 18/11/2025): medem volume de contato individual (WhatsApp e ligações), não conteúdo; mensagens expiradas ou apagadas não são recuperáveis.</t>
        </is>
      </c>
      <c r="K95" s="25" t="inlineStr">
        <is>
          <t>Piauí: 71% das interações de Vorcaro com políticos eram do governo Bolsonaro (piaui.uol.com.br) https://piaui.uol.com.br/web/mais-de-70-das-interacoes-do-celular-de-vorcaro-com-politicos-eram-com-membros-do-governo-bolsonaro/ | “Foi apenas um gesto cordial”, diz Doria (poder360.com.br) https://www.poder360.com.br/poder-gente/foi-apenas-um-gesto-cordial-diz-doria-sobre-mensagem-a-vorcaro/ | Em mensagem, Doria se diz preocupado com Vorcaro (cnnbrasil.com.br) https://www.cnnbrasil.com.br/blogs/gustavo-uribe/politica/em-mensagem-doria-se-diz-preocupado-com-vorcaro-e-pede-conversa-reservada/</t>
        </is>
      </c>
      <c r="L95" s="25" t="inlineStr">
        <is>
          <t>23/10/2026</t>
        </is>
      </c>
      <c r="M95" s="25" t="inlineStr">
        <is>
          <t>23/10/2026: perfil novo (base piauí/InterSecLab, rodada de verificação).</t>
        </is>
      </c>
    </row>
    <row r="96" ht="15" customHeight="1" s="26">
      <c r="A96" s="25" t="inlineStr">
        <is>
          <t>bacelar</t>
        </is>
      </c>
      <c r="B96" s="25" t="inlineStr">
        <is>
          <t>João Carlos Bacelar</t>
        </is>
      </c>
      <c r="C96" s="25" t="inlineStr">
        <is>
          <t>Vorcaro e o Banco Master</t>
        </is>
      </c>
      <c r="D96" s="25" t="inlineStr">
        <is>
          <t>Deputado federal (PL-BA). A PF encontrou, em endereço ligado a Vorcaro, uma pasta com o nome dele e um termo de opção de compra de um terreno de ~892 mil m² em Trancoso (BA), avaliado em ~R$ 250 mi, em nome da empresa dele (Costa Esmeralda). O documento não cita Vorcaro nem o Master; a defesa de Vorcaro pediu a remessa do caso ao STF e Toffoli aceitou em 03/12/2025. Aparece com 597 interações no celular de Vorcaro (jul/2024 a nov/2025); 98% ainda legíveis.</t>
        </is>
      </c>
      <c r="E96" s="25" t="inlineStr">
        <is>
          <t>Bahia (BA); mandato em Brasília</t>
        </is>
      </c>
      <c r="F96" s="25" t="inlineStr">
        <is>
          <t>Vivo</t>
        </is>
      </c>
      <c r="G96" s="25" t="inlineStr">
        <is>
          <t>Em 01/12/2025 a PF ainda não havia analisado se há indícios de irregularidade no documento (Estadão). O caso foi enviado ao STF por decisão de Toffoli.</t>
        </is>
      </c>
      <c r="H96" s="25" t="inlineStr">
        <is>
          <t>Citado, sem acusação</t>
        </is>
      </c>
      <c r="I96" s="25" t="inlineStr">
        <is>
          <t>Nada nas fontes.</t>
        </is>
      </c>
      <c r="J96" s="25" t="inlineStr">
        <is>
          <t>Bacelar diz que ajudou a montar um fundo para um empreendimento em Trancoso, que Vorcaro o consultou sobre o imóvel, que o negócio “não se concretizou” e que o documento deu a Vorcaro a opção de compra. Questionado sobre a ausência do nome de Vorcaro no papel, não respondeu. Os números de contato são do levantamento piauí/InterSecLab sobre o celular de Vorcaro (base 18/11/2025): medem volume de contato individual (WhatsApp e ligações), não conteúdo; mensagens expiradas ou apagadas não são recuperáveis.</t>
        </is>
      </c>
      <c r="K96" s="25" t="inlineStr">
        <is>
          <t>Piauí: 71% das interações de Vorcaro com políticos eram do governo Bolsonaro (piaui.uol.com.br) https://piaui.uol.com.br/web/mais-de-70-das-interacoes-do-celular-de-vorcaro-com-politicos-eram-com-membros-do-governo-bolsonaro/ | PF encontra documentos sobre negócio imobiliário entre Vorcaro e Bacelar (bahianoticias.com.br) https://www.bahianoticias.com.br/noticia/311096-pf-encontra-documentos-sobre-negocio-imobiliario-entre-vorcaro-e-deputado-jonga-bacelar-durante-investigacao-do-banco-master | Documento com Vorcaro previa compra de terreno de R$ 250 milhões por deputado (timesbrasil.com.br) https://timesbrasil.com.br/brasil/documento-com-vorcaro-previa-compra-de-casa-de-r-250-milhoes-por-deputado-e-levou-caso-ao-stf/</t>
        </is>
      </c>
      <c r="L96" s="25" t="inlineStr">
        <is>
          <t>23/10/2026</t>
        </is>
      </c>
      <c r="M96" s="25" t="inlineStr">
        <is>
          <t>23/10/2026: perfil novo (base piauí/InterSecLab, rodada de verificação).</t>
        </is>
      </c>
    </row>
    <row r="97" ht="15" customHeight="1" s="26">
      <c r="A97" s="25" t="inlineStr">
        <is>
          <t>feitosa</t>
        </is>
      </c>
      <c r="B97" s="25" t="inlineStr">
        <is>
          <t>Chiquinho Feitosa</t>
        </is>
      </c>
      <c r="C97" s="25" t="inlineStr">
        <is>
          <t>Poder e Justiça</t>
        </is>
      </c>
      <c r="D97" s="25" t="inlineStr">
        <is>
          <t>Ex-senador e presidente do Republicanos no Ceará; à época cunhado do ministro do STF Gilmar Mendes. Mensagens obtidas pela PF indicam que foi apresentado a Vorcaro em abr/2024 e se ofereceu como ponte com Gilmar em temas de interesse do Master, como um processo de precatórios do setor sucroalcooleiro. Aparece com 446 interações no celular de Vorcaro (abr/2024 a mai/2025); 85% ainda legíveis.</t>
        </is>
      </c>
      <c r="E97" s="25" t="inlineStr">
        <is>
          <t>Ceará (CE)</t>
        </is>
      </c>
      <c r="F97" s="25" t="inlineStr">
        <is>
          <t>Vivo</t>
        </is>
      </c>
      <c r="G97" s="25" t="inlineStr">
        <is>
          <t>As fontes lidas não informam se ele é formalmente investigado.</t>
        </is>
      </c>
      <c r="H97" s="25" t="inlineStr">
        <is>
          <t>Citado, sem acusação</t>
        </is>
      </c>
      <c r="I97" s="25" t="inlineStr">
        <is>
          <t>Nada nas fontes.</t>
        </is>
      </c>
      <c r="J97" s="25" t="inlineStr">
        <is>
          <t>Não respondeu à piauí nem aos veículos citados. Gilmar Mendes nega que o jantar citado nas mensagens tenha ocorrido, diz que elas foram trocadas por terceiros e que votou contra pagamentos desse tipo. O advogado citado nas mensagens diz que não houve irregularidade. Os números de contato são do levantamento piauí/InterSecLab sobre o celular de Vorcaro (base 18/11/2025): medem volume de contato individual (WhatsApp e ligações), não conteúdo; mensagens expiradas ou apagadas não são recuperáveis.</t>
        </is>
      </c>
      <c r="K97" s="25" t="inlineStr">
        <is>
          <t>Piauí: 71% das interações de Vorcaro com políticos eram do governo Bolsonaro (piaui.uol.com.br) https://piaui.uol.com.br/web/mais-de-70-das-interacoes-do-celular-de-vorcaro-com-politicos-eram-com-membros-do-governo-bolsonaro/ | Chiquinho Feitosa teria atuado como ponte entre Vorcaro e Gilmar (mais.opovo.com.br) https://mais.opovo.com.br/jornal/politica/2026/09/19/chiquinho-feitosa-teria-atuado-como-ponte-entre-vorcaro-e-ex-mulher-de-ministro-aponta-pf.html | Mensagens apontam tentativa de aproximar Vorcaro e Gilmar (timesbrasil.com.br) https://timesbrasil.com.br/brasil/mensagens-apontam-tentativa-de-aproximar-vorcaro-e-gilmar/</t>
        </is>
      </c>
      <c r="L97" s="25" t="inlineStr">
        <is>
          <t>23/10/2026</t>
        </is>
      </c>
      <c r="M97" s="25" t="inlineStr">
        <is>
          <t>23/10/2026: perfil novo (base piauí/InterSecLab, rodada de verificação).</t>
        </is>
      </c>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5" min="1" max="1"/>
    <col width="32" customWidth="1" style="25" min="2" max="2"/>
    <col width="20" customWidth="1" style="25" min="3" max="3"/>
    <col width="26" customWidth="1" style="25" min="4" max="4"/>
    <col width="70" customWidth="1" style="25" min="5" max="5"/>
    <col width="10" customWidth="1" style="25" min="6" max="6"/>
  </cols>
  <sheetData>
    <row r="1" ht="15" customHeight="1" s="26">
      <c r="A1" s="45" t="inlineStr">
        <is>
          <t>Id</t>
        </is>
      </c>
      <c r="B1" s="45" t="inlineStr">
        <is>
          <t>Label</t>
        </is>
      </c>
      <c r="C1" s="45" t="inlineStr">
        <is>
          <t>Type</t>
        </is>
      </c>
      <c r="D1" s="45" t="inlineStr">
        <is>
          <t>Group</t>
        </is>
      </c>
      <c r="E1" s="45" t="inlineStr">
        <is>
          <t>Description</t>
        </is>
      </c>
      <c r="F1" s="45" t="inlineStr">
        <is>
          <t>Degree</t>
        </is>
      </c>
      <c r="G1" s="25" t="inlineStr">
        <is>
          <t>Foto (arquivo)</t>
        </is>
      </c>
      <c r="H1" s="25" t="inlineStr">
        <is>
          <t>Crédito da foto</t>
        </is>
      </c>
      <c r="I1" s="25" t="inlineStr">
        <is>
          <t>Link da fonte da foto</t>
        </is>
      </c>
      <c r="J1" s="25" t="inlineStr">
        <is>
          <t>Nota da foto (opcional)</t>
        </is>
      </c>
    </row>
    <row r="2" ht="15" customHeight="1" s="26">
      <c r="A2" s="46" t="inlineStr">
        <is>
          <t>assoc</t>
        </is>
      </c>
      <c r="B2" s="46" t="inlineStr">
        <is>
          <t>Associações de aposentados</t>
        </is>
      </c>
      <c r="C2" s="46" t="inlineStr">
        <is>
          <t>Instituição ou caso</t>
        </is>
      </c>
      <c r="D2" s="46" t="inlineStr">
        <is>
          <t>Esquema do INSS</t>
        </is>
      </c>
      <c r="E2" s="46" t="inlineStr">
        <is>
          <t>Descontos sem autorização: mais de R$ 6 bi em 5 anos</t>
        </is>
      </c>
      <c r="F2" s="46">
        <f>COUNTIF(Edges!$A$2:$A$221,A2)+COUNTIF(Edges!$B$2:$B$221,A2)</f>
        <v/>
      </c>
      <c r="G2" s="25" t="n"/>
      <c r="H2" s="25" t="n"/>
      <c r="I2" s="25" t="n"/>
      <c r="J2" s="25" t="n"/>
    </row>
    <row r="3" ht="23.25" customHeight="1" s="26">
      <c r="A3" s="46" t="inlineStr">
        <is>
          <t>careca</t>
        </is>
      </c>
      <c r="B3" s="46" t="inlineStr">
        <is>
          <t>Careca do INSS</t>
        </is>
      </c>
      <c r="C3" s="46" t="inlineStr">
        <is>
          <t>Pessoa</t>
        </is>
      </c>
      <c r="D3" s="46" t="inlineStr">
        <is>
          <t>Esquema do INSS</t>
        </is>
      </c>
      <c r="E3" s="46" t="inlineStr">
        <is>
          <t>Lobista Antônio C. Camilo Antunes; preso; apontado pela PF como centro do esquema</t>
        </is>
      </c>
      <c r="F3" s="46">
        <f>COUNTIF(Edges!$A$2:$A$221,A3)+COUNTIF(Edges!$B$2:$B$221,A3)</f>
        <v/>
      </c>
    </row>
    <row r="4" ht="15" customHeight="1" s="26">
      <c r="A4" s="46" t="inlineStr">
        <is>
          <t>contador</t>
        </is>
      </c>
      <c r="B4" s="46" t="inlineStr">
        <is>
          <t>Alexandre Caetano dos Reis</t>
        </is>
      </c>
      <c r="C4" s="46" t="inlineStr">
        <is>
          <t>Pessoa</t>
        </is>
      </c>
      <c r="D4" s="46" t="inlineStr">
        <is>
          <t>Esquema do INSS</t>
        </is>
      </c>
      <c r="E4" s="46" t="inlineStr">
        <is>
          <t>Contador do Careca e do escritório de Flávio; preso</t>
        </is>
      </c>
      <c r="F4" s="46">
        <f>COUNTIF(Edges!$A$2:$A$221,A4)+COUNTIF(Edges!$B$2:$B$221,A4)</f>
        <v/>
      </c>
    </row>
    <row r="5" ht="15" customHeight="1" s="26">
      <c r="A5" s="46" t="inlineStr">
        <is>
          <t>leticia</t>
        </is>
      </c>
      <c r="B5" s="46" t="inlineStr">
        <is>
          <t>Letícia Caetano dos Reis</t>
        </is>
      </c>
      <c r="C5" s="46" t="inlineStr">
        <is>
          <t>Pessoa</t>
        </is>
      </c>
      <c r="D5" s="46" t="inlineStr">
        <is>
          <t>Esquema do INSS</t>
        </is>
      </c>
      <c r="E5" s="46" t="inlineStr">
        <is>
          <t>Irmã do contador; administradora registrada do escritório de Flávio</t>
        </is>
      </c>
      <c r="F5" s="46">
        <f>COUNTIF(Edges!$A$2:$A$221,A5)+COUNTIF(Edges!$B$2:$B$221,A5)</f>
        <v/>
      </c>
    </row>
    <row r="6" ht="15" customHeight="1" s="26">
      <c r="A6" s="46" t="inlineStr">
        <is>
          <t>lulinha</t>
        </is>
      </c>
      <c r="B6" s="46" t="inlineStr">
        <is>
          <t>Lulinha</t>
        </is>
      </c>
      <c r="C6" s="46" t="inlineStr">
        <is>
          <t>Pessoa</t>
        </is>
      </c>
      <c r="D6" s="46" t="inlineStr">
        <is>
          <t>Esquema do INSS</t>
        </is>
      </c>
      <c r="E6" s="46" t="inlineStr">
        <is>
          <t>3 inquéritos no STF; nega; sem indiciamento</t>
        </is>
      </c>
      <c r="F6" s="46">
        <f>COUNTIF(Edges!$A$2:$A$221,A6)+COUNTIF(Edges!$B$2:$B$221,A6)</f>
        <v/>
      </c>
    </row>
    <row r="7" ht="15" customHeight="1" s="26">
      <c r="A7" s="46" t="inlineStr">
        <is>
          <t>roberta</t>
        </is>
      </c>
      <c r="B7" s="46" t="inlineStr">
        <is>
          <t>Roberta (lobista)</t>
        </is>
      </c>
      <c r="C7" s="46" t="inlineStr">
        <is>
          <t>Pessoa</t>
        </is>
      </c>
      <c r="D7" s="46" t="inlineStr">
        <is>
          <t>Esquema do INSS</t>
        </is>
      </c>
      <c r="E7" s="46" t="inlineStr">
        <is>
          <t>Amiga de Lulinha; segundo o Correio da Manhã, teria recebido R$ 1,5 mi do Careca; ela nega irregularidades</t>
        </is>
      </c>
      <c r="F7" s="46">
        <f>COUNTIF(Edges!$A$2:$A$221,A7)+COUNTIF(Edges!$B$2:$B$221,A7)</f>
        <v/>
      </c>
    </row>
    <row r="8" ht="15" customHeight="1" s="26">
      <c r="A8" s="46" t="inlineStr">
        <is>
          <t>sala</t>
        </is>
      </c>
      <c r="B8" s="46" t="inlineStr">
        <is>
          <t>Sala em Águas Claras (DF)</t>
        </is>
      </c>
      <c r="C8" s="46" t="inlineStr">
        <is>
          <t>Casa ou ativo</t>
        </is>
      </c>
      <c r="D8" s="46" t="inlineStr">
        <is>
          <t>Esquema do INSS</t>
        </is>
      </c>
      <c r="E8" s="46" t="inlineStr">
        <is>
          <t>Endereço de Bravo Grafeno e de 16 empresas do Careca</t>
        </is>
      </c>
      <c r="F8" s="46">
        <f>COUNTIF(Edges!$A$2:$A$221,A8)+COUNTIF(Edges!$B$2:$B$221,A8)</f>
        <v/>
      </c>
      <c r="G8" s="25" t="n"/>
      <c r="H8" s="25" t="n"/>
      <c r="I8" s="25" t="n"/>
      <c r="J8" s="25" t="n"/>
    </row>
    <row r="9" ht="15" customHeight="1" s="26">
      <c r="A9" s="46" t="inlineStr">
        <is>
          <t>bravo</t>
        </is>
      </c>
      <c r="B9" s="46" t="inlineStr">
        <is>
          <t>Bravo Grafeno</t>
        </is>
      </c>
      <c r="C9" s="46" t="inlineStr">
        <is>
          <t>Empresa</t>
        </is>
      </c>
      <c r="D9" s="46" t="inlineStr">
        <is>
          <t>Esquema do INSS</t>
        </is>
      </c>
      <c r="E9" s="46" t="inlineStr">
        <is>
          <t>Fábrica de capacetes de Flávio e Carlos</t>
        </is>
      </c>
      <c r="F9" s="46">
        <f>COUNTIF(Edges!$A$2:$A$221,A9)+COUNTIF(Edges!$B$2:$B$221,A9)</f>
        <v/>
      </c>
      <c r="G9" s="25" t="n"/>
      <c r="H9" s="25" t="n"/>
      <c r="I9" s="25" t="n"/>
      <c r="J9" s="25" t="n"/>
    </row>
    <row r="10" ht="15" customHeight="1" s="26">
      <c r="A10" s="46" t="inlineStr">
        <is>
          <t>willer</t>
        </is>
      </c>
      <c r="B10" s="46" t="inlineStr">
        <is>
          <t>Willer Tomaz</t>
        </is>
      </c>
      <c r="C10" s="46" t="inlineStr">
        <is>
          <t>Pessoa</t>
        </is>
      </c>
      <c r="D10" s="46" t="inlineStr">
        <is>
          <t>Willer Tomaz e sua rede</t>
        </is>
      </c>
      <c r="E10" s="46" t="inlineStr">
        <is>
          <t>Advogado em Brasília; investigado por lavagem; nega</t>
        </is>
      </c>
      <c r="F10" s="46">
        <f>COUNTIF(Edges!$A$2:$A$221,A10)+COUNTIF(Edges!$B$2:$B$221,A10)</f>
        <v/>
      </c>
    </row>
    <row r="11" ht="15" customHeight="1" s="26">
      <c r="A11" s="46" t="inlineStr">
        <is>
          <t>escw</t>
        </is>
      </c>
      <c r="B11" s="46" t="inlineStr">
        <is>
          <t>Escritório de Willer</t>
        </is>
      </c>
      <c r="C11" s="46" t="inlineStr">
        <is>
          <t>Casa ou ativo</t>
        </is>
      </c>
      <c r="D11" s="46" t="inlineStr">
        <is>
          <t>Willer Tomaz e sua rede</t>
        </is>
      </c>
      <c r="E11" s="46" t="inlineStr">
        <is>
          <t>PF achou máquina de contar e dinheiro em livros-cofre</t>
        </is>
      </c>
      <c r="F11" s="46">
        <f>COUNTIF(Edges!$A$2:$A$221,A11)+COUNTIF(Edges!$B$2:$B$221,A11)</f>
        <v/>
      </c>
      <c r="G11" s="25" t="n"/>
      <c r="H11" s="25" t="n"/>
      <c r="I11" s="25" t="n"/>
      <c r="J11" s="25" t="n"/>
    </row>
    <row r="12" ht="15" customHeight="1" s="26">
      <c r="A12" s="46" t="inlineStr">
        <is>
          <t>bets</t>
        </is>
      </c>
      <c r="B12" s="46" t="inlineStr">
        <is>
          <t>Blaze e sites de apostas</t>
        </is>
      </c>
      <c r="C12" s="46" t="inlineStr">
        <is>
          <t>Empresa</t>
        </is>
      </c>
      <c r="D12" s="46" t="inlineStr">
        <is>
          <t>Willer Tomaz e sua rede</t>
        </is>
      </c>
      <c r="E12" s="46" t="inlineStr">
        <is>
          <t>~R$ 5 bi movimentados em 2025; PF vê possível lavagem</t>
        </is>
      </c>
      <c r="F12" s="46">
        <f>COUNTIF(Edges!$A$2:$A$221,A12)+COUNTIF(Edges!$B$2:$B$221,A12)</f>
        <v/>
      </c>
      <c r="G12" s="25" t="inlineStr">
        <is>
          <t>bets.png</t>
        </is>
      </c>
      <c r="H12" s="25" t="inlineStr">
        <is>
          <t>blaze.com · domínio público (logo simples, sem direito autoral)</t>
        </is>
      </c>
      <c r="I12" s="25" t="inlineStr">
        <is>
          <t>https://commons.wikimedia.org/wiki/File:Blaze_apostas_logo.png</t>
        </is>
      </c>
      <c r="J12" s="25" t="n"/>
    </row>
    <row r="13" ht="15" customHeight="1" s="26">
      <c r="A13" s="46" t="inlineStr">
        <is>
          <t>lidia</t>
        </is>
      </c>
      <c r="B13" s="46" t="inlineStr">
        <is>
          <t>Lídia Mazelli</t>
        </is>
      </c>
      <c r="C13" s="46" t="inlineStr">
        <is>
          <t>Pessoa</t>
        </is>
      </c>
      <c r="D13" s="46" t="inlineStr">
        <is>
          <t>Willer Tomaz e sua rede</t>
        </is>
      </c>
      <c r="E13" s="46" t="inlineStr">
        <is>
          <t>Apontada como administradora de empresas de Willer (Agência Pública); diz que respondeu "doméstica" por medo (ICL)</t>
        </is>
      </c>
      <c r="F13" s="46">
        <f>COUNTIF(Edges!$A$2:$A$221,A13)+COUNTIF(Edges!$B$2:$B$221,A13)</f>
        <v/>
      </c>
    </row>
    <row r="14" ht="15" customHeight="1" s="26">
      <c r="A14" s="46" t="inlineStr">
        <is>
          <t>wt</t>
        </is>
      </c>
      <c r="B14" s="46" t="inlineStr">
        <is>
          <t>WT (e outras 13 empresas)</t>
        </is>
      </c>
      <c r="C14" s="46" t="inlineStr">
        <is>
          <t>Empresa</t>
        </is>
      </c>
      <c r="D14" s="46" t="inlineStr">
        <is>
          <t>Willer Tomaz e sua rede</t>
        </is>
      </c>
      <c r="E14" s="46" t="inlineStr">
        <is>
          <t>Empresa da “doméstica”; dona de mansão e apartamento</t>
        </is>
      </c>
      <c r="F14" s="46">
        <f>COUNTIF(Edges!$A$2:$A$221,A14)+COUNTIF(Edges!$B$2:$B$221,A14)</f>
        <v/>
      </c>
      <c r="G14" s="25" t="n"/>
      <c r="H14" s="25" t="n"/>
      <c r="I14" s="25" t="n"/>
      <c r="J14" s="25" t="n"/>
    </row>
    <row r="15" ht="15" customHeight="1" s="26">
      <c r="A15" s="46" t="inlineStr">
        <is>
          <t>alcazar</t>
        </is>
      </c>
      <c r="B15" s="46" t="inlineStr">
        <is>
          <t>Alcazar Holdings</t>
        </is>
      </c>
      <c r="C15" s="46" t="inlineStr">
        <is>
          <t>Empresa</t>
        </is>
      </c>
      <c r="D15" s="46" t="inlineStr">
        <is>
          <t>Willer Tomaz e sua rede</t>
        </is>
      </c>
      <c r="E15" s="46" t="inlineStr">
        <is>
          <t>Empresa ligada a Willer; conta no Santander</t>
        </is>
      </c>
      <c r="F15" s="46">
        <f>COUNTIF(Edges!$A$2:$A$221,A15)+COUNTIF(Edges!$B$2:$B$221,A15)</f>
        <v/>
      </c>
      <c r="G15" s="25" t="n"/>
      <c r="H15" s="25" t="n"/>
      <c r="I15" s="25" t="n"/>
      <c r="J15" s="25" t="n"/>
    </row>
    <row r="16" ht="15" customHeight="1" s="26">
      <c r="A16" s="46" t="inlineStr">
        <is>
          <t>santander</t>
        </is>
      </c>
      <c r="B16" s="46" t="inlineStr">
        <is>
          <t>Santander</t>
        </is>
      </c>
      <c r="C16" s="46" t="inlineStr">
        <is>
          <t>Empresa</t>
        </is>
      </c>
      <c r="D16" s="46" t="inlineStr">
        <is>
          <t>Willer Tomaz e sua rede</t>
        </is>
      </c>
      <c r="E16" s="46" t="inlineStr">
        <is>
          <t>Conta da Alcazar com Flávio como “usuário master”</t>
        </is>
      </c>
      <c r="F16" s="46">
        <f>COUNTIF(Edges!$A$2:$A$221,A16)+COUNTIF(Edges!$B$2:$B$221,A16)</f>
        <v/>
      </c>
      <c r="G16" s="25" t="inlineStr">
        <is>
          <t>santander.png</t>
        </is>
      </c>
      <c r="H16" s="25" t="inlineStr">
        <is>
          <t>Interbrand · domínio público (logo simples, sem direito autoral)</t>
        </is>
      </c>
      <c r="I16" s="25" t="inlineStr">
        <is>
          <t>https://commons.wikimedia.org/wiki/File:Banco_Santander_Logotipo.svg</t>
        </is>
      </c>
      <c r="J16" s="25" t="n"/>
    </row>
    <row r="17" ht="15" customHeight="1" s="26">
      <c r="A17" s="46" t="inlineStr">
        <is>
          <t>cpi</t>
        </is>
      </c>
      <c r="B17" s="46" t="inlineStr">
        <is>
          <t>CPI da pandemia (Covaxin)</t>
        </is>
      </c>
      <c r="C17" s="46" t="inlineStr">
        <is>
          <t>Instituição ou caso</t>
        </is>
      </c>
      <c r="D17" s="46" t="inlineStr">
        <is>
          <t>Willer Tomaz e sua rede</t>
        </is>
      </c>
      <c r="E17" s="46" t="inlineStr">
        <is>
          <t>Quebra de sigilo de Willer pedida e depois cancelada</t>
        </is>
      </c>
      <c r="F17" s="46">
        <f>COUNTIF(Edges!$A$2:$A$221,A17)+COUNTIF(Edges!$B$2:$B$221,A17)</f>
        <v/>
      </c>
      <c r="G17" s="25" t="inlineStr">
        <is>
          <t>cpi.jpg</t>
        </is>
      </c>
      <c r="H17" s="25" t="inlineStr">
        <is>
          <t>Agência Senado · CC BY 2.0</t>
        </is>
      </c>
      <c r="I17" s="25" t="inlineStr">
        <is>
          <t>https://commons.wikimedia.org/wiki/File:CPIPANDEMIA_-_Comiss%C3%A3o_Parlamentar_de_Inqu%C3%A9rito_da_Pandemia_(1).jpg</t>
        </is>
      </c>
      <c r="J17" s="25" t="n"/>
    </row>
    <row r="18" ht="15" customHeight="1" s="26">
      <c r="A18" s="46" t="inlineStr">
        <is>
          <t>renan</t>
        </is>
      </c>
      <c r="B18" s="46" t="inlineStr">
        <is>
          <t>Renan Calheiros</t>
        </is>
      </c>
      <c r="C18" s="46" t="inlineStr">
        <is>
          <t>Pessoa</t>
        </is>
      </c>
      <c r="D18" s="46" t="inlineStr">
        <is>
          <t>Willer Tomaz e sua rede</t>
        </is>
      </c>
      <c r="E18" s="46" t="inlineStr">
        <is>
          <t>Relator da CPI; pediu a quebra de sigilo</t>
        </is>
      </c>
      <c r="F18" s="46">
        <f>COUNTIF(Edges!$A$2:$A$221,A18)+COUNTIF(Edges!$B$2:$B$221,A18)</f>
        <v/>
      </c>
    </row>
    <row r="19" ht="15" customHeight="1" s="26">
      <c r="A19" s="46" t="inlineStr">
        <is>
          <t>flavio</t>
        </is>
      </c>
      <c r="B19" s="46" t="inlineStr">
        <is>
          <t>Flávio Bolsonaro</t>
        </is>
      </c>
      <c r="C19" s="46" t="inlineStr">
        <is>
          <t>Pessoa</t>
        </is>
      </c>
      <c r="D19" s="46" t="inlineStr">
        <is>
          <t>Flávio e família</t>
        </is>
      </c>
      <c r="E19" s="46" t="inlineStr">
        <is>
          <t>Senador; disputou a Presidência em 2026 e perdeu; nega irregularidades</t>
        </is>
      </c>
      <c r="F19" s="46">
        <f>COUNTIF(Edges!$A$2:$A$221,A19)+COUNTIF(Edges!$B$2:$B$221,A19)</f>
        <v/>
      </c>
    </row>
    <row r="20" ht="15" customHeight="1" s="26">
      <c r="A20" s="46" t="inlineStr">
        <is>
          <t>fam</t>
        </is>
      </c>
      <c r="B20" s="46" t="inlineStr">
        <is>
          <t>Família de Flávio</t>
        </is>
      </c>
      <c r="C20" s="46" t="inlineStr">
        <is>
          <t>Pessoa</t>
        </is>
      </c>
      <c r="D20" s="46" t="inlineStr">
        <is>
          <t>Flávio e família</t>
        </is>
      </c>
      <c r="E20" s="46" t="inlineStr">
        <is>
          <t>Passageiros do jato em jan/2025</t>
        </is>
      </c>
      <c r="F20" s="46">
        <f>COUNTIF(Edges!$A$2:$A$221,A20)+COUNTIF(Edges!$B$2:$B$221,A20)</f>
        <v/>
      </c>
    </row>
    <row r="21" ht="15" customHeight="1" s="26">
      <c r="A21" s="46" t="inlineStr">
        <is>
          <t>carlos</t>
        </is>
      </c>
      <c r="B21" s="46" t="inlineStr">
        <is>
          <t>Carlos Bolsonaro</t>
        </is>
      </c>
      <c r="C21" s="46" t="inlineStr">
        <is>
          <t>Pessoa</t>
        </is>
      </c>
      <c r="D21" s="46" t="inlineStr">
        <is>
          <t>Flávio e família</t>
        </is>
      </c>
      <c r="E21" s="46" t="inlineStr">
        <is>
          <t>Irmão; sócio na Bravo Grafeno</t>
        </is>
      </c>
      <c r="F21" s="46">
        <f>COUNTIF(Edges!$A$2:$A$221,A21)+COUNTIF(Edges!$B$2:$B$221,A21)</f>
        <v/>
      </c>
    </row>
    <row r="22" ht="15" customHeight="1" s="26">
      <c r="A22" s="46" t="inlineStr">
        <is>
          <t>escf</t>
        </is>
      </c>
      <c r="B22" s="46" t="inlineStr">
        <is>
          <t>Escritório de advocacia de Flávio</t>
        </is>
      </c>
      <c r="C22" s="46" t="inlineStr">
        <is>
          <t>Empresa</t>
        </is>
      </c>
      <c r="D22" s="46" t="inlineStr">
        <is>
          <t>Flávio e família</t>
        </is>
      </c>
      <c r="E22" s="46" t="inlineStr">
        <is>
          <t>Aberto em 2021</t>
        </is>
      </c>
      <c r="F22" s="46">
        <f>COUNTIF(Edges!$A$2:$A$221,A22)+COUNTIF(Edges!$B$2:$B$221,A22)</f>
        <v/>
      </c>
      <c r="G22" s="25" t="n"/>
      <c r="H22" s="25" t="n"/>
      <c r="I22" s="25" t="n"/>
      <c r="J22" s="25" t="n"/>
    </row>
    <row r="23" ht="15" customHeight="1" s="26">
      <c r="A23" s="46" t="inlineStr">
        <is>
          <t>ong</t>
        </is>
      </c>
      <c r="B23" s="46" t="inlineStr">
        <is>
          <t>ONG e produtora do filme</t>
        </is>
      </c>
      <c r="C23" s="46" t="inlineStr">
        <is>
          <t>Empresa</t>
        </is>
      </c>
      <c r="D23" s="46" t="inlineStr">
        <is>
          <t>Flávio e família</t>
        </is>
      </c>
      <c r="E23" s="46" t="inlineStr">
        <is>
          <t>Filme sobre Jair; ~US$ 24 mi negociados com Vorcaro</t>
        </is>
      </c>
      <c r="F23" s="46">
        <f>COUNTIF(Edges!$A$2:$A$221,A23)+COUNTIF(Edges!$B$2:$B$221,A23)</f>
        <v/>
      </c>
      <c r="G23" s="25" t="n"/>
      <c r="H23" s="25" t="n"/>
      <c r="I23" s="25" t="n"/>
      <c r="J23" s="25" t="n"/>
    </row>
    <row r="24" ht="15" customHeight="1" s="26">
      <c r="A24" s="46" t="inlineStr">
        <is>
          <t>eletricista</t>
        </is>
      </c>
      <c r="B24" s="46" t="inlineStr">
        <is>
          <t>Eletricista</t>
        </is>
      </c>
      <c r="C24" s="46" t="inlineStr">
        <is>
          <t>Pessoa</t>
        </is>
      </c>
      <c r="D24" s="46" t="inlineStr">
        <is>
          <t>Flávio e família</t>
        </is>
      </c>
      <c r="E24" s="46" t="inlineStr">
        <is>
          <t>Tesoureiro no papel; diz que só emprestou o nome</t>
        </is>
      </c>
      <c r="F24" s="46">
        <f>COUNTIF(Edges!$A$2:$A$221,A24)+COUNTIF(Edges!$B$2:$B$221,A24)</f>
        <v/>
      </c>
    </row>
    <row r="25" ht="15" customHeight="1" s="26">
      <c r="A25" s="46" t="inlineStr">
        <is>
          <t>jair</t>
        </is>
      </c>
      <c r="B25" s="46" t="inlineStr">
        <is>
          <t>Jair Bolsonaro</t>
        </is>
      </c>
      <c r="C25" s="46" t="inlineStr">
        <is>
          <t>Pessoa</t>
        </is>
      </c>
      <c r="D25" s="46" t="inlineStr">
        <is>
          <t>Flávio e família</t>
        </is>
      </c>
      <c r="E25" s="46" t="inlineStr">
        <is>
          <t>Pai; ex-presidente; hoje preso</t>
        </is>
      </c>
      <c r="F25" s="46">
        <f>COUNTIF(Edges!$A$2:$A$221,A25)+COUNTIF(Edges!$B$2:$B$221,A25)</f>
        <v/>
      </c>
    </row>
    <row r="26" ht="15" customHeight="1" s="26">
      <c r="A26" s="46" t="inlineStr">
        <is>
          <t>wassef</t>
        </is>
      </c>
      <c r="B26" s="46" t="inlineStr">
        <is>
          <t>Frederick Wassef</t>
        </is>
      </c>
      <c r="C26" s="46" t="inlineStr">
        <is>
          <t>Pessoa</t>
        </is>
      </c>
      <c r="D26" s="46" t="inlineStr">
        <is>
          <t>Flávio e família</t>
        </is>
      </c>
      <c r="E26" s="46" t="inlineStr">
        <is>
          <t>Advogado da família Bolsonaro</t>
        </is>
      </c>
      <c r="F26" s="46">
        <f>COUNTIF(Edges!$A$2:$A$221,A26)+COUNTIF(Edges!$B$2:$B$221,A26)</f>
        <v/>
      </c>
    </row>
    <row r="27" ht="15" customHeight="1" s="26">
      <c r="A27" s="46" t="inlineStr">
        <is>
          <t>queiroz</t>
        </is>
      </c>
      <c r="B27" s="46" t="inlineStr">
        <is>
          <t>Fabrício Queiroz</t>
        </is>
      </c>
      <c r="C27" s="46" t="inlineStr">
        <is>
          <t>Pessoa</t>
        </is>
      </c>
      <c r="D27" s="46" t="inlineStr">
        <is>
          <t>Flávio e família</t>
        </is>
      </c>
      <c r="E27" s="46" t="inlineStr">
        <is>
          <t>Operador da rachadinha; 19 meses sem depor</t>
        </is>
      </c>
      <c r="F27" s="46">
        <f>COUNTIF(Edges!$A$2:$A$221,A27)+COUNTIF(Edges!$B$2:$B$221,A27)</f>
        <v/>
      </c>
    </row>
    <row r="28" ht="15" customHeight="1" s="26">
      <c r="A28" s="46" t="inlineStr">
        <is>
          <t>advflavio</t>
        </is>
      </c>
      <c r="B28" s="46" t="inlineStr">
        <is>
          <t>Advogadas de Flávio (2)</t>
        </is>
      </c>
      <c r="C28" s="46" t="inlineStr">
        <is>
          <t>Pessoa</t>
        </is>
      </c>
      <c r="D28" s="46" t="inlineStr">
        <is>
          <t>Flávio e família</t>
        </is>
      </c>
      <c r="E28" s="46" t="inlineStr">
        <is>
          <t>Na reunião de 2020 no Planalto sobre como derrubar a investigação</t>
        </is>
      </c>
      <c r="F28" s="46">
        <f>COUNTIF(Edges!$A$2:$A$221,A28)+COUNTIF(Edges!$B$2:$B$221,A28)</f>
        <v/>
      </c>
    </row>
    <row r="29" ht="15" customHeight="1" s="26">
      <c r="A29" s="46" t="inlineStr">
        <is>
          <t>vorcaro</t>
        </is>
      </c>
      <c r="B29" s="46" t="inlineStr">
        <is>
          <t>Daniel Vorcaro</t>
        </is>
      </c>
      <c r="C29" s="46" t="inlineStr">
        <is>
          <t>Pessoa</t>
        </is>
      </c>
      <c r="D29" s="46" t="inlineStr">
        <is>
          <t>Vorcaro e o Banco Master</t>
        </is>
      </c>
      <c r="E29" s="46" t="inlineStr">
        <is>
          <t>Dono do Banco Master; preso</t>
        </is>
      </c>
      <c r="F29" s="46">
        <f>COUNTIF(Edges!$A$2:$A$221,A29)+COUNTIF(Edges!$B$2:$B$221,A29)</f>
        <v/>
      </c>
    </row>
    <row r="30" ht="15" customHeight="1" s="26">
      <c r="A30" s="46" t="inlineStr">
        <is>
          <t>master</t>
        </is>
      </c>
      <c r="B30" s="46" t="inlineStr">
        <is>
          <t>Banco Master</t>
        </is>
      </c>
      <c r="C30" s="46" t="inlineStr">
        <is>
          <t>Empresa</t>
        </is>
      </c>
      <c r="D30" s="46" t="inlineStr">
        <is>
          <t>Vorcaro e o Banco Master</t>
        </is>
      </c>
      <c r="E30" s="46" t="inlineStr">
        <is>
          <t>Pagou R$ 6,6 mi à consultoria do amigo de Nunes</t>
        </is>
      </c>
      <c r="F30" s="46">
        <f>COUNTIF(Edges!$A$2:$A$221,A30)+COUNTIF(Edges!$B$2:$B$221,A30)</f>
        <v/>
      </c>
      <c r="G30" s="25" t="inlineStr">
        <is>
          <t>master.png</t>
        </is>
      </c>
      <c r="H30" s="25" t="inlineStr">
        <is>
          <t>Banco Master · domínio público (logo simples, sem direito autoral)</t>
        </is>
      </c>
      <c r="I30" s="25" t="inlineStr">
        <is>
          <t>https://commons.wikimedia.org/wiki/File:Logotipo_do_Banco_Master.svg</t>
        </is>
      </c>
      <c r="J30" s="25" t="n"/>
    </row>
    <row r="31" ht="15" customHeight="1" s="26">
      <c r="A31" s="46" t="inlineStr">
        <is>
          <t>zetel</t>
        </is>
      </c>
      <c r="B31" s="46" t="inlineStr">
        <is>
          <t>Fabiano Zettel</t>
        </is>
      </c>
      <c r="C31" s="46" t="inlineStr">
        <is>
          <t>Pessoa</t>
        </is>
      </c>
      <c r="D31" s="46" t="inlineStr">
        <is>
          <t>Vorcaro e o Banco Master</t>
        </is>
      </c>
      <c r="E31" s="46" t="inlineStr">
        <is>
          <t>Cunhado de Vorcaro; preso</t>
        </is>
      </c>
      <c r="F31" s="46">
        <f>COUNTIF(Edges!$A$2:$A$221,A31)+COUNTIF(Edges!$B$2:$B$221,A31)</f>
        <v/>
      </c>
    </row>
    <row r="32" ht="15" customHeight="1" s="26">
      <c r="A32" s="46" t="inlineStr">
        <is>
          <t>dirjur</t>
        </is>
      </c>
      <c r="B32" s="46" t="inlineStr">
        <is>
          <t>Diretor jurídico do Master</t>
        </is>
      </c>
      <c r="C32" s="46" t="inlineStr">
        <is>
          <t>Pessoa</t>
        </is>
      </c>
      <c r="D32" s="46" t="inlineStr">
        <is>
          <t>Vorcaro e o Banco Master</t>
        </is>
      </c>
      <c r="E32" s="46" t="inlineStr">
        <is>
          <t>Mandou o placar do voto ao Vorcaro: “Dominado aqui”</t>
        </is>
      </c>
      <c r="F32" s="46">
        <f>COUNTIF(Edges!$A$2:$A$221,A32)+COUNTIF(Edges!$B$2:$B$221,A32)</f>
        <v/>
      </c>
    </row>
    <row r="33" ht="15" customHeight="1" s="26">
      <c r="A33" s="46" t="inlineStr">
        <is>
          <t>primeu</t>
        </is>
      </c>
      <c r="B33" s="46" t="inlineStr">
        <is>
          <t>Prime U</t>
        </is>
      </c>
      <c r="C33" s="46" t="inlineStr">
        <is>
          <t>Empresa</t>
        </is>
      </c>
      <c r="D33" s="46" t="inlineStr">
        <is>
          <t>Vorcaro e o Banco Master</t>
        </is>
      </c>
      <c r="E33" s="46" t="inlineStr">
        <is>
          <t>Bens de luxo; Vorcaro sócio; pagou passagens das mulheres</t>
        </is>
      </c>
      <c r="F33" s="46">
        <f>COUNTIF(Edges!$A$2:$A$221,A33)+COUNTIF(Edges!$B$2:$B$221,A33)</f>
        <v/>
      </c>
      <c r="G33" s="25" t="n"/>
      <c r="H33" s="25" t="n"/>
      <c r="I33" s="25" t="n"/>
      <c r="J33" s="25" t="n"/>
    </row>
    <row r="34" ht="15" customHeight="1" s="26">
      <c r="A34" s="46" t="inlineStr">
        <is>
          <t>luri</t>
        </is>
      </c>
      <c r="B34" s="46" t="inlineStr">
        <is>
          <t>Allure Eventos</t>
        </is>
      </c>
      <c r="C34" s="46" t="inlineStr">
        <is>
          <t>Empresa</t>
        </is>
      </c>
      <c r="D34" s="46" t="inlineStr">
        <is>
          <t>Vorcaro e o Banco Master</t>
        </is>
      </c>
      <c r="E34" s="46" t="inlineStr">
        <is>
          <t>Agência que recrutava as mulheres das festas</t>
        </is>
      </c>
      <c r="F34" s="46">
        <f>COUNTIF(Edges!$A$2:$A$221,A34)+COUNTIF(Edges!$B$2:$B$221,A34)</f>
        <v/>
      </c>
      <c r="G34" s="25" t="n"/>
      <c r="H34" s="25" t="n"/>
      <c r="I34" s="25" t="n"/>
      <c r="J34" s="25" t="n"/>
    </row>
    <row r="35" ht="23.25" customHeight="1" s="26">
      <c r="A35" s="46" t="inlineStr">
        <is>
          <t>promoter</t>
        </is>
      </c>
      <c r="B35" s="46" t="inlineStr">
        <is>
          <t>Promoter</t>
        </is>
      </c>
      <c r="C35" s="46" t="inlineStr">
        <is>
          <t>Pessoa</t>
        </is>
      </c>
      <c r="D35" s="46" t="inlineStr">
        <is>
          <t>Vorcaro e o Banco Master</t>
        </is>
      </c>
      <c r="E35" s="46" t="inlineStr">
        <is>
          <t>Levava as mulheres às festas; valor mensal citado na transcrição é impreciso (~R$ 60 mil)</t>
        </is>
      </c>
      <c r="F35" s="46">
        <f>COUNTIF(Edges!$A$2:$A$221,A35)+COUNTIF(Edges!$B$2:$B$221,A35)</f>
        <v/>
      </c>
    </row>
    <row r="36" ht="15" customHeight="1" s="26">
      <c r="A36" s="46" t="inlineStr">
        <is>
          <t>mordomo</t>
        </is>
      </c>
      <c r="B36" s="46" t="inlineStr">
        <is>
          <t>Mordomo do triplex</t>
        </is>
      </c>
      <c r="C36" s="46" t="inlineStr">
        <is>
          <t>Pessoa</t>
        </is>
      </c>
      <c r="D36" s="46" t="inlineStr">
        <is>
          <t>Vorcaro e o Banco Master</t>
        </is>
      </c>
      <c r="E36" s="46" t="inlineStr">
        <is>
          <t>Mandava mensagens a Vorcaro sobre as festas</t>
        </is>
      </c>
      <c r="F36" s="46">
        <f>COUNTIF(Edges!$A$2:$A$221,A36)+COUNTIF(Edges!$B$2:$B$221,A36)</f>
        <v/>
      </c>
    </row>
    <row r="37" ht="15" customHeight="1" s="26">
      <c r="A37" s="46" t="inlineStr">
        <is>
          <t>mulheres</t>
        </is>
      </c>
      <c r="B37" s="46" t="inlineStr">
        <is>
          <t>Mulheres das festas</t>
        </is>
      </c>
      <c r="C37" s="46" t="inlineStr">
        <is>
          <t>Pessoa</t>
        </is>
      </c>
      <c r="D37" s="46" t="inlineStr">
        <is>
          <t>Vorcaro e o Banco Master</t>
        </is>
      </c>
      <c r="E37" s="46" t="inlineStr">
        <is>
          <t>Agenciadas para as festas</t>
        </is>
      </c>
      <c r="F37" s="46">
        <f>COUNTIF(Edges!$A$2:$A$221,A37)+COUNTIF(Edges!$B$2:$B$221,A37)</f>
        <v/>
      </c>
    </row>
    <row r="38" ht="15" customHeight="1" s="26">
      <c r="A38" s="46" t="inlineStr">
        <is>
          <t>angra</t>
        </is>
      </c>
      <c r="B38" s="46" t="inlineStr">
        <is>
          <t>Mansão em Angra dos Reis</t>
        </is>
      </c>
      <c r="C38" s="46" t="inlineStr">
        <is>
          <t>Casa ou ativo</t>
        </is>
      </c>
      <c r="D38" s="46" t="inlineStr">
        <is>
          <t>Casas e ativos</t>
        </is>
      </c>
      <c r="E38" s="46" t="inlineStr">
        <is>
          <t>Era do Richarlison; hoje da WT; festa da filha de Flávio</t>
        </is>
      </c>
      <c r="F38" s="46">
        <f>COUNTIF(Edges!$A$2:$A$221,A38)+COUNTIF(Edges!$B$2:$B$221,A38)</f>
        <v/>
      </c>
      <c r="G38" s="25" t="n"/>
      <c r="H38" s="25" t="n"/>
      <c r="I38" s="25" t="n"/>
      <c r="J38" s="25" t="n"/>
    </row>
    <row r="39" ht="15" customHeight="1" s="26">
      <c r="A39" s="46" t="inlineStr">
        <is>
          <t>aptosp</t>
        </is>
      </c>
      <c r="B39" s="46" t="inlineStr">
        <is>
          <t>Apartamento de luxo em SP</t>
        </is>
      </c>
      <c r="C39" s="46" t="inlineStr">
        <is>
          <t>Casa ou ativo</t>
        </is>
      </c>
      <c r="D39" s="46" t="inlineStr">
        <is>
          <t>Casas e ativos</t>
        </is>
      </c>
      <c r="E39" s="46" t="inlineStr">
        <is>
          <t>Zetel vendeu à WT com R$ 2 mi de prejuízo; Flávio usou na campanha</t>
        </is>
      </c>
      <c r="F39" s="46">
        <f>COUNTIF(Edges!$A$2:$A$221,A39)+COUNTIF(Edges!$B$2:$B$221,A39)</f>
        <v/>
      </c>
      <c r="G39" s="25" t="n"/>
      <c r="H39" s="25" t="n"/>
      <c r="I39" s="25" t="n"/>
      <c r="J39" s="25" t="n"/>
    </row>
    <row r="40" ht="15" customHeight="1" s="26">
      <c r="A40" s="46" t="inlineStr">
        <is>
          <t>triplex</t>
        </is>
      </c>
      <c r="B40" s="46" t="inlineStr">
        <is>
          <t>Triplex de Vorcaro</t>
        </is>
      </c>
      <c r="C40" s="46" t="inlineStr">
        <is>
          <t>Casa ou ativo</t>
        </is>
      </c>
      <c r="D40" s="46" t="inlineStr">
        <is>
          <t>Casas e ativos</t>
        </is>
      </c>
      <c r="E40" s="46" t="inlineStr">
        <is>
          <t>Palco das festas (segundo a piauí)</t>
        </is>
      </c>
      <c r="F40" s="46">
        <f>COUNTIF(Edges!$A$2:$A$221,A40)+COUNTIF(Edges!$B$2:$B$221,A40)</f>
        <v/>
      </c>
      <c r="G40" s="25" t="n"/>
      <c r="H40" s="25" t="n"/>
      <c r="I40" s="25" t="n"/>
      <c r="J40" s="25" t="n"/>
    </row>
    <row r="41" ht="23.25" customHeight="1" s="26">
      <c r="A41" s="46" t="inlineStr">
        <is>
          <t>jato</t>
        </is>
      </c>
      <c r="B41" s="46" t="inlineStr">
        <is>
          <t>Jato (3 cotistas)</t>
        </is>
      </c>
      <c r="C41" s="46" t="inlineStr">
        <is>
          <t>Casa ou ativo</t>
        </is>
      </c>
      <c r="D41" s="46" t="inlineStr">
        <is>
          <t>Casas e ativos</t>
        </is>
      </c>
      <c r="E41" s="46" t="inlineStr">
        <is>
          <t>Três donos: Alcazar, Prime U e um terceiro não nomeado no vídeo; Flávio voou em jan/2025</t>
        </is>
      </c>
      <c r="F41" s="46">
        <f>COUNTIF(Edges!$A$2:$A$221,A41)+COUNTIF(Edges!$B$2:$B$221,A41)</f>
        <v/>
      </c>
      <c r="G41" s="25" t="n"/>
      <c r="H41" s="25" t="n"/>
      <c r="I41" s="25" t="n"/>
      <c r="J41" s="25" t="n"/>
    </row>
    <row r="42" ht="15" customHeight="1" s="26">
      <c r="A42" s="46" t="inlineStr">
        <is>
          <t>atibaia</t>
        </is>
      </c>
      <c r="B42" s="46" t="inlineStr">
        <is>
          <t>Casa de Wassef em Atibaia</t>
        </is>
      </c>
      <c r="C42" s="46" t="inlineStr">
        <is>
          <t>Casa ou ativo</t>
        </is>
      </c>
      <c r="D42" s="46" t="inlineStr">
        <is>
          <t>Casas e ativos</t>
        </is>
      </c>
      <c r="E42" s="46" t="inlineStr">
        <is>
          <t>Onde Queiroz foi achado escondido (jun/2020)</t>
        </is>
      </c>
      <c r="F42" s="46">
        <f>COUNTIF(Edges!$A$2:$A$221,A42)+COUNTIF(Edges!$B$2:$B$221,A42)</f>
        <v/>
      </c>
      <c r="G42" s="25" t="n"/>
      <c r="H42" s="25" t="n"/>
      <c r="I42" s="25" t="n"/>
      <c r="J42" s="25" t="n"/>
    </row>
    <row r="43" ht="15" customHeight="1" s="26">
      <c r="A43" s="46" t="inlineStr">
        <is>
          <t>richarlison</t>
        </is>
      </c>
      <c r="B43" s="46" t="inlineStr">
        <is>
          <t>Richarlison</t>
        </is>
      </c>
      <c r="C43" s="46" t="inlineStr">
        <is>
          <t>Pessoa</t>
        </is>
      </c>
      <c r="D43" s="46" t="inlineStr">
        <is>
          <t>Casas e ativos</t>
        </is>
      </c>
      <c r="E43" s="46" t="inlineStr">
        <is>
          <t>Jogador; investiu ~R$ 10 mi na casa e perdeu</t>
        </is>
      </c>
      <c r="F43" s="46">
        <f>COUNTIF(Edges!$A$2:$A$221,A43)+COUNTIF(Edges!$B$2:$B$221,A43)</f>
        <v/>
      </c>
    </row>
    <row r="44" ht="15" customHeight="1" s="26">
      <c r="A44" s="46" t="inlineStr">
        <is>
          <t>dono</t>
        </is>
      </c>
      <c r="B44" s="46" t="inlineStr">
        <is>
          <t>Ex-possuidor da mansão (nome não confirmado)</t>
        </is>
      </c>
      <c r="C44" s="46" t="inlineStr">
        <is>
          <t>Pessoa</t>
        </is>
      </c>
      <c r="D44" s="46" t="inlineStr">
        <is>
          <t>Casas e ativos</t>
        </is>
      </c>
      <c r="E44" s="46" t="inlineStr">
        <is>
          <t>Ex-possuidor da mansão; testemunha segundo as fontes</t>
        </is>
      </c>
      <c r="F44" s="46">
        <f>COUNTIF(Edges!$A$2:$A$221,A44)+COUNTIF(Edges!$B$2:$B$221,A44)</f>
        <v/>
      </c>
    </row>
    <row r="45" ht="15" customHeight="1" s="26">
      <c r="A45" s="46" t="inlineStr">
        <is>
          <t>nunes</t>
        </is>
      </c>
      <c r="B45" s="46" t="inlineStr">
        <is>
          <t>Kássio Nunes Marques</t>
        </is>
      </c>
      <c r="C45" s="46" t="inlineStr">
        <is>
          <t>Pessoa</t>
        </is>
      </c>
      <c r="D45" s="46" t="inlineStr">
        <is>
          <t>Poder e Justiça</t>
        </is>
      </c>
      <c r="E45" s="46" t="inlineStr">
        <is>
          <t>Ministro do STF; preside o TSE; nega irregularidades</t>
        </is>
      </c>
      <c r="F45" s="46">
        <f>COUNTIF(Edges!$A$2:$A$221,A45)+COUNTIF(Edges!$B$2:$B$221,A45)</f>
        <v/>
      </c>
    </row>
    <row r="46" ht="15" customHeight="1" s="26">
      <c r="A46" s="46" t="inlineStr">
        <is>
          <t>kevin</t>
        </is>
      </c>
      <c r="B46" s="46" t="inlineStr">
        <is>
          <t>Kevin Marques</t>
        </is>
      </c>
      <c r="C46" s="46" t="inlineStr">
        <is>
          <t>Pessoa</t>
        </is>
      </c>
      <c r="D46" s="46" t="inlineStr">
        <is>
          <t>Poder e Justiça</t>
        </is>
      </c>
      <c r="E46" s="46" t="inlineStr">
        <is>
          <t>Filho de Nunes; ~R$ 300 mil via consultoria</t>
        </is>
      </c>
      <c r="F46" s="46">
        <f>COUNTIF(Edges!$A$2:$A$221,A46)+COUNTIF(Edges!$B$2:$B$221,A46)</f>
        <v/>
      </c>
    </row>
    <row r="47" ht="15" customHeight="1" s="26">
      <c r="A47" s="46" t="inlineStr">
        <is>
          <t>consult</t>
        </is>
      </c>
      <c r="B47" s="46" t="inlineStr">
        <is>
          <t>Consultoria do amigo de Nunes</t>
        </is>
      </c>
      <c r="C47" s="46" t="inlineStr">
        <is>
          <t>Empresa</t>
        </is>
      </c>
      <c r="D47" s="46" t="inlineStr">
        <is>
          <t>Poder e Justiça</t>
        </is>
      </c>
      <c r="E47" s="46" t="inlineStr">
        <is>
          <t>Recebeu R$ 6,6 mi do Master</t>
        </is>
      </c>
      <c r="F47" s="46">
        <f>COUNTIF(Edges!$A$2:$A$221,A47)+COUNTIF(Edges!$B$2:$B$221,A47)</f>
        <v/>
      </c>
    </row>
    <row r="48" ht="15" customHeight="1" s="26">
      <c r="A48" s="46" t="inlineStr">
        <is>
          <t>coaf</t>
        </is>
      </c>
      <c r="B48" s="46" t="inlineStr">
        <is>
          <t>Caso rachadinha / COAF</t>
        </is>
      </c>
      <c r="C48" s="46" t="inlineStr">
        <is>
          <t>Instituição ou caso</t>
        </is>
      </c>
      <c r="D48" s="46" t="inlineStr">
        <is>
          <t>Poder e Justiça</t>
        </is>
      </c>
      <c r="E48" s="46" t="inlineStr">
        <is>
          <t>Relatórios anulados pelo STF (nov/2021)</t>
        </is>
      </c>
      <c r="F48" s="46">
        <f>COUNTIF(Edges!$A$2:$A$221,A48)+COUNTIF(Edges!$B$2:$B$221,A48)</f>
        <v/>
      </c>
      <c r="G48" s="25" t="n"/>
      <c r="H48" s="25" t="n"/>
      <c r="I48" s="25" t="n"/>
      <c r="J48" s="25" t="n"/>
    </row>
    <row r="49" ht="15" customHeight="1" s="26">
      <c r="A49" s="46" t="inlineStr">
        <is>
          <t>ramagem</t>
        </is>
      </c>
      <c r="B49" s="46" t="inlineStr">
        <is>
          <t>Alexandre Ramagem</t>
        </is>
      </c>
      <c r="C49" s="46" t="inlineStr">
        <is>
          <t>Pessoa</t>
        </is>
      </c>
      <c r="D49" s="46" t="inlineStr">
        <is>
          <t>Poder e Justiça</t>
        </is>
      </c>
      <c r="E49" s="46" t="inlineStr">
        <is>
          <t>Ex-chefe da Abin; condenado a 16 anos; foragido na Flórida</t>
        </is>
      </c>
      <c r="F49" s="46">
        <f>COUNTIF(Edges!$A$2:$A$221,A49)+COUNTIF(Edges!$B$2:$B$221,A49)</f>
        <v/>
      </c>
    </row>
    <row r="50" ht="15" customHeight="1" s="26">
      <c r="A50" s="46" t="inlineStr">
        <is>
          <t>heleno</t>
        </is>
      </c>
      <c r="B50" s="46" t="inlineStr">
        <is>
          <t>General Heleno</t>
        </is>
      </c>
      <c r="C50" s="46" t="inlineStr">
        <is>
          <t>Pessoa</t>
        </is>
      </c>
      <c r="D50" s="46" t="inlineStr">
        <is>
          <t>Poder e Justiça</t>
        </is>
      </c>
      <c r="E50" s="46" t="inlineStr">
        <is>
          <t>Na reunião de 2020 sobre a rachadinha</t>
        </is>
      </c>
      <c r="F50" s="46">
        <f>COUNTIF(Edges!$A$2:$A$221,A50)+COUNTIF(Edges!$B$2:$B$221,A50)</f>
        <v/>
      </c>
    </row>
    <row r="51" ht="15" customHeight="1" s="26">
      <c r="A51" s="46" t="inlineStr">
        <is>
          <t>moro</t>
        </is>
      </c>
      <c r="B51" s="46" t="inlineStr">
        <is>
          <t>Sérgio Moro</t>
        </is>
      </c>
      <c r="C51" s="46" t="inlineStr">
        <is>
          <t>Pessoa</t>
        </is>
      </c>
      <c r="D51" s="46" t="inlineStr">
        <is>
          <t>Poder e Justiça</t>
        </is>
      </c>
      <c r="E51" s="46" t="inlineStr">
        <is>
          <t>Deixou o Ministério da Justiça (abr/2020)</t>
        </is>
      </c>
      <c r="F51" s="46">
        <f>COUNTIF(Edges!$A$2:$A$221,A51)+COUNTIF(Edges!$B$2:$B$221,A51)</f>
        <v/>
      </c>
    </row>
    <row r="52" ht="15" customHeight="1" s="26">
      <c r="A52" s="46" t="inlineStr">
        <is>
          <t>abin</t>
        </is>
      </c>
      <c r="B52" s="46" t="inlineStr">
        <is>
          <t>Abin</t>
        </is>
      </c>
      <c r="C52" s="46" t="inlineStr">
        <is>
          <t>Instituição ou caso</t>
        </is>
      </c>
      <c r="D52" s="46" t="inlineStr">
        <is>
          <t>Poder e Justiça</t>
        </is>
      </c>
      <c r="E52" s="46" t="inlineStr">
        <is>
          <t>Relatórios para “defender FB”</t>
        </is>
      </c>
      <c r="F52" s="46">
        <f>COUNTIF(Edges!$A$2:$A$221,A52)+COUNTIF(Edges!$B$2:$B$221,A52)</f>
        <v/>
      </c>
      <c r="G52" s="25" t="inlineStr">
        <is>
          <t>abin.jpg</t>
        </is>
      </c>
      <c r="H52" s="25" t="inlineStr">
        <is>
          <t>Antonio Cruz/Agência Brasil · CC BY 3.0 BR</t>
        </is>
      </c>
      <c r="I52" s="25" t="inlineStr">
        <is>
          <t>https://commons.wikimedia.org/wiki/File:Pr%C3%A9dio_da_Abin.jpg</t>
        </is>
      </c>
      <c r="J52" s="25" t="n"/>
    </row>
    <row r="53" ht="15" customHeight="1" s="26">
      <c r="A53" s="46" t="inlineStr">
        <is>
          <t>receita</t>
        </is>
      </c>
      <c r="B53" s="46" t="inlineStr">
        <is>
          <t>Receita Federal</t>
        </is>
      </c>
      <c r="C53" s="46" t="inlineStr">
        <is>
          <t>Instituição ou caso</t>
        </is>
      </c>
      <c r="D53" s="46" t="inlineStr">
        <is>
          <t>Poder e Justiça</t>
        </is>
      </c>
      <c r="E53" s="46" t="inlineStr">
        <is>
          <t>Chefe foi pessoalmente à casa de Flávio</t>
        </is>
      </c>
      <c r="F53" s="46">
        <f>COUNTIF(Edges!$A$2:$A$221,A53)+COUNTIF(Edges!$B$2:$B$221,A53)</f>
        <v/>
      </c>
      <c r="G53" s="25" t="inlineStr">
        <is>
          <t>receita.jpg</t>
        </is>
      </c>
      <c r="H53" s="25" t="inlineStr">
        <is>
          <t>Academia de Letras de Campo Maior · CC BY-SA 4.0</t>
        </is>
      </c>
      <c r="I53" s="25" t="inlineStr">
        <is>
          <t>https://commons.wikimedia.org/wiki/File:Ag%C3%AAncia_da_Receita_Federal_de_Campo_Maior,_Piau%C3%AD,_Brasil.JPG</t>
        </is>
      </c>
      <c r="J53" s="25" t="n"/>
    </row>
    <row r="54" ht="15" customHeight="1" s="26">
      <c r="A54" s="46" t="inlineStr">
        <is>
          <t>pf</t>
        </is>
      </c>
      <c r="B54" s="46" t="inlineStr">
        <is>
          <t>Polícia Federal</t>
        </is>
      </c>
      <c r="C54" s="46" t="inlineStr">
        <is>
          <t>Instituição ou caso</t>
        </is>
      </c>
      <c r="D54" s="46" t="inlineStr">
        <is>
          <t>Poder e Justiça</t>
        </is>
      </c>
      <c r="E54" s="46" t="inlineStr">
        <is>
          <t>Investiga Willer e o Careca; diretor é indicado pelo presidente</t>
        </is>
      </c>
      <c r="F54" s="46">
        <f>COUNTIF(Edges!$A$2:$A$221,A54)+COUNTIF(Edges!$B$2:$B$221,A54)</f>
        <v/>
      </c>
      <c r="G54" s="25" t="inlineStr">
        <is>
          <t>pf.jpg</t>
        </is>
      </c>
      <c r="H54" s="25" t="inlineStr">
        <is>
          <t>Agência Senado · CC BY 2.0</t>
        </is>
      </c>
      <c r="I54" s="25" t="inlineStr">
        <is>
          <t>https://commons.wikimedia.org/wiki/File:Sede_da_Pol%C3%ADcia_Federal_(52830107256).jpg</t>
        </is>
      </c>
      <c r="J54" s="25" t="n"/>
    </row>
    <row r="55" ht="15" customHeight="1" s="26">
      <c r="A55" s="46" t="inlineStr">
        <is>
          <t>pgr</t>
        </is>
      </c>
      <c r="B55" s="46" t="inlineStr">
        <is>
          <t>Procuradoria-Geral (PGR)</t>
        </is>
      </c>
      <c r="C55" s="46" t="inlineStr">
        <is>
          <t>Instituição ou caso</t>
        </is>
      </c>
      <c r="D55" s="46" t="inlineStr">
        <is>
          <t>Poder e Justiça</t>
        </is>
      </c>
      <c r="E55" s="46" t="inlineStr">
        <is>
          <t>Decide se denuncia Vorcaro; chefe indicado pelo presidente</t>
        </is>
      </c>
      <c r="F55" s="46">
        <f>COUNTIF(Edges!$A$2:$A$221,A55)+COUNTIF(Edges!$B$2:$B$221,A55)</f>
        <v/>
      </c>
      <c r="G55" s="25" t="inlineStr">
        <is>
          <t>pgr.jpg</t>
        </is>
      </c>
      <c r="H55" s="25" t="inlineStr">
        <is>
          <t>Webysther · CC BY-SA 4.0</t>
        </is>
      </c>
      <c r="I55" s="25" t="inlineStr">
        <is>
          <t>https://commons.wikimedia.org/wiki/File:Webysther_20180212174501_-_PGR_-_Procuradoria_Geral_da_Rep%C3%BAblica.jpg</t>
        </is>
      </c>
      <c r="J55" s="25" t="n"/>
    </row>
    <row r="56" ht="23.25" customHeight="1" s="26">
      <c r="A56" s="46" t="inlineStr">
        <is>
          <t>ciro</t>
        </is>
      </c>
      <c r="B56" s="46" t="inlineStr">
        <is>
          <t>Ciro Nogueira</t>
        </is>
      </c>
      <c r="C56" s="46" t="inlineStr">
        <is>
          <t>Pessoa</t>
        </is>
      </c>
      <c r="D56" s="46" t="inlineStr">
        <is>
          <t>Poder e Justiça</t>
        </is>
      </c>
      <c r="E56" s="46" t="inlineStr">
        <is>
          <t>Teria influenciado a escolha de Nunes Marques com Flávio (Folha, set/2020). A transcrição grafa “Círio Nogueira”; identificação inferida</t>
        </is>
      </c>
      <c r="F56" s="46">
        <f>COUNTIF(Edges!$A$2:$A$221,A56)+COUNTIF(Edges!$B$2:$B$221,A56)</f>
        <v/>
      </c>
    </row>
    <row r="57" ht="23.25" customHeight="1" s="26">
      <c r="A57" s="46" t="inlineStr">
        <is>
          <t>stf</t>
        </is>
      </c>
      <c r="B57" s="46" t="inlineStr">
        <is>
          <t>STF</t>
        </is>
      </c>
      <c r="C57" s="46" t="inlineStr">
        <is>
          <t>Instituição ou caso</t>
        </is>
      </c>
      <c r="D57" s="46" t="inlineStr">
        <is>
          <t>Poder e Justiça</t>
        </is>
      </c>
      <c r="E57" s="46" t="inlineStr">
        <is>
          <t>Nunes é ministro; anulou provas da rachadinha; abriu 3 inquéritos de Lulinha; investiga Flávio no caso do filme</t>
        </is>
      </c>
      <c r="F57" s="46">
        <f>COUNTIF(Edges!$A$2:$A$221,A57)+COUNTIF(Edges!$B$2:$B$221,A57)</f>
        <v/>
      </c>
      <c r="G57" s="25" t="inlineStr">
        <is>
          <t>stf.jpg</t>
        </is>
      </c>
      <c r="H57" s="25" t="inlineStr">
        <is>
          <t>Daderot · CC0 (domínio público)</t>
        </is>
      </c>
      <c r="I57" s="25" t="inlineStr">
        <is>
          <t>https://commons.wikimedia.org/wiki/File:Supremo_Tribunal_Federal_building_in_Brasilia_-_DSC00288.JPG</t>
        </is>
      </c>
      <c r="J57" s="25" t="n"/>
    </row>
    <row r="58" ht="15" customHeight="1" s="26">
      <c r="A58" s="46" t="inlineStr">
        <is>
          <t>tse</t>
        </is>
      </c>
      <c r="B58" s="46" t="inlineStr">
        <is>
          <t>TSE</t>
        </is>
      </c>
      <c r="C58" s="46" t="inlineStr">
        <is>
          <t>Instituição ou caso</t>
        </is>
      </c>
      <c r="D58" s="46" t="inlineStr">
        <is>
          <t>Poder e Justiça</t>
        </is>
      </c>
      <c r="E58" s="46" t="inlineStr">
        <is>
          <t>Presidido por Nunes; suspendeu propaganda sobre o dinheiro do Master</t>
        </is>
      </c>
      <c r="F58" s="46">
        <f>COUNTIF(Edges!$A$2:$A$221,A58)+COUNTIF(Edges!$B$2:$B$221,A58)</f>
        <v/>
      </c>
      <c r="G58" s="25" t="inlineStr">
        <is>
          <t>tse.jpg</t>
        </is>
      </c>
      <c r="H58" s="25" t="inlineStr">
        <is>
          <t>Alexandresena · CC BY-SA 4.0</t>
        </is>
      </c>
      <c r="I58" s="25" t="inlineStr">
        <is>
          <t>https://commons.wikimedia.org/wiki/File:Sede_do_Tribunal_Superior_Eleitoral,_em_Bras%C3%ADlia.jpg</t>
        </is>
      </c>
      <c r="J58" s="25" t="n"/>
    </row>
    <row r="59" ht="15" customHeight="1" s="26">
      <c r="A59" s="46" t="inlineStr">
        <is>
          <t>mendonca</t>
        </is>
      </c>
      <c r="B59" s="46" t="inlineStr">
        <is>
          <t>André Mendonça</t>
        </is>
      </c>
      <c r="C59" s="46" t="inlineStr">
        <is>
          <t>Pessoa</t>
        </is>
      </c>
      <c r="D59" s="46" t="inlineStr">
        <is>
          <t>Poder e Justiça</t>
        </is>
      </c>
      <c r="E59" s="46" t="inlineStr">
        <is>
          <t>Ministro do STF indicado por Jair; relator do caso Master desde fev/2026</t>
        </is>
      </c>
      <c r="F59" s="46">
        <f>COUNTIF(Edges!$A$2:$A$221,A59)+COUNTIF(Edges!$B$2:$B$221,A59)</f>
        <v/>
      </c>
      <c r="G59" s="25" t="n"/>
      <c r="H59" s="25" t="n"/>
      <c r="I59" s="25" t="n"/>
      <c r="J59" s="25" t="n"/>
    </row>
    <row r="60" ht="23.85" customHeight="1" s="26">
      <c r="A60" s="46" t="inlineStr">
        <is>
          <t>iter</t>
        </is>
      </c>
      <c r="B60" s="46" t="inlineStr">
        <is>
          <t>Instituto ITER</t>
        </is>
      </c>
      <c r="C60" s="46" t="inlineStr">
        <is>
          <t>Instituição ou caso</t>
        </is>
      </c>
      <c r="D60" s="46" t="inlineStr">
        <is>
          <t>Poder e Justiça</t>
        </is>
      </c>
      <c r="E60" s="46" t="inlineStr">
        <is>
          <t>Fundado por Mendonça; contratos públicos sem licitação; aporte de empresa de sócio de Vorcaro</t>
        </is>
      </c>
      <c r="F60" s="46">
        <f>COUNTIF(Edges!$A$2:$A$221,A60)+COUNTIF(Edges!$B$2:$B$221,A60)</f>
        <v/>
      </c>
      <c r="G60" s="25" t="n"/>
      <c r="H60" s="25" t="n"/>
      <c r="I60" s="25" t="n"/>
      <c r="J60" s="25" t="n"/>
    </row>
    <row r="61" ht="15" customHeight="1" s="26">
      <c r="A61" s="46" t="inlineStr">
        <is>
          <t>cirorocha</t>
        </is>
      </c>
      <c r="B61" s="46" t="inlineStr">
        <is>
          <t>Ciro Rocha Soares</t>
        </is>
      </c>
      <c r="C61" s="46" t="inlineStr">
        <is>
          <t>Pessoa</t>
        </is>
      </c>
      <c r="D61" s="46" t="inlineStr">
        <is>
          <t>Vorcaro e o Banco Master</t>
        </is>
      </c>
      <c r="E61" s="46" t="inlineStr">
        <is>
          <t>Advogado de Vorcaro; mensagens o mostram aproximando o banqueiro de Mendonça</t>
        </is>
      </c>
      <c r="F61" s="46">
        <f>COUNTIF(Edges!$A$2:$A$221,A61)+COUNTIF(Edges!$B$2:$B$221,A61)</f>
        <v/>
      </c>
      <c r="G61" s="25" t="n"/>
      <c r="H61" s="25" t="n"/>
      <c r="I61" s="25" t="n"/>
      <c r="J61" s="25" t="n"/>
    </row>
    <row r="62" ht="23.85" customHeight="1" s="26">
      <c r="A62" s="46" t="inlineStr">
        <is>
          <t>cezinha</t>
        </is>
      </c>
      <c r="B62" s="46" t="inlineStr">
        <is>
          <t>Cezinha de Madureira</t>
        </is>
      </c>
      <c r="C62" s="46" t="inlineStr">
        <is>
          <t>Pessoa</t>
        </is>
      </c>
      <c r="D62" s="46" t="inlineStr">
        <is>
          <t>Poder e Justiça</t>
        </is>
      </c>
      <c r="E62" s="46" t="inlineStr">
        <is>
          <t>Deputado federal; ajudou a articular a reunião Mendonça–Vorcaro de mar/2025; alvo de operação autorizada por Dino</t>
        </is>
      </c>
      <c r="F62" s="46">
        <f>COUNTIF(Edges!$A$2:$A$221,A62)+COUNTIF(Edges!$B$2:$B$221,A62)</f>
        <v/>
      </c>
      <c r="G62" s="25" t="n"/>
      <c r="H62" s="25" t="n"/>
      <c r="I62" s="25" t="n"/>
      <c r="J62" s="25" t="n"/>
    </row>
    <row r="63" ht="15" customHeight="1" s="26">
      <c r="A63" s="46" t="inlineStr">
        <is>
          <t>bianco</t>
        </is>
      </c>
      <c r="B63" s="46" t="inlineStr">
        <is>
          <t>Bruno Bianco Leal</t>
        </is>
      </c>
      <c r="C63" s="46" t="inlineStr">
        <is>
          <t>Pessoa</t>
        </is>
      </c>
      <c r="D63" s="46" t="inlineStr">
        <is>
          <t>Poder e Justiça</t>
        </is>
      </c>
      <c r="E63" s="46" t="inlineStr">
        <is>
          <t>Ex-AGU do governo Jair; convidado para a reunião com Vorcaro</t>
        </is>
      </c>
      <c r="F63" s="46">
        <f>COUNTIF(Edges!$A$2:$A$221,A63)+COUNTIF(Edges!$B$2:$B$221,A63)</f>
        <v/>
      </c>
      <c r="G63" s="25" t="n"/>
      <c r="H63" s="25" t="n"/>
      <c r="I63" s="25" t="n"/>
      <c r="J63" s="25" t="n"/>
    </row>
    <row r="64" ht="23.85" customHeight="1" s="26">
      <c r="A64" s="46" t="inlineStr">
        <is>
          <t>tarcisio</t>
        </is>
      </c>
      <c r="B64" s="46" t="inlineStr">
        <is>
          <t>Tarcísio de Freitas</t>
        </is>
      </c>
      <c r="C64" s="46" t="inlineStr">
        <is>
          <t>Pessoa</t>
        </is>
      </c>
      <c r="D64" s="46" t="inlineStr">
        <is>
          <t>Poder e Justiça</t>
        </is>
      </c>
      <c r="E64" s="46" t="inlineStr">
        <is>
          <t>Governador de SP; recebeu R$ 2 mi de Zettel em 2022; governo dele contratou o ITER</t>
        </is>
      </c>
      <c r="F64" s="46">
        <f>COUNTIF(Edges!$A$2:$A$221,A64)+COUNTIF(Edges!$B$2:$B$221,A64)</f>
        <v/>
      </c>
      <c r="G64" s="25" t="n"/>
      <c r="H64" s="25" t="n"/>
      <c r="I64" s="25" t="n"/>
      <c r="J64" s="25" t="n"/>
    </row>
    <row r="65" ht="15" customHeight="1" s="26">
      <c r="A65" s="46" t="inlineStr">
        <is>
          <t>rnunes</t>
        </is>
      </c>
      <c r="B65" s="46" t="inlineStr">
        <is>
          <t>Ricardo Nunes</t>
        </is>
      </c>
      <c r="C65" s="46" t="inlineStr">
        <is>
          <t>Pessoa</t>
        </is>
      </c>
      <c r="D65" s="46" t="inlineStr">
        <is>
          <t>Poder e Justiça</t>
        </is>
      </c>
      <c r="E65" s="46" t="inlineStr">
        <is>
          <t>Prefeito de SP; prefeitura contratou o ITER</t>
        </is>
      </c>
      <c r="F65" s="46">
        <f>COUNTIF(Edges!$A$2:$A$221,A65)+COUNTIF(Edges!$B$2:$B$221,A65)</f>
        <v/>
      </c>
      <c r="G65" s="25" t="n"/>
      <c r="H65" s="25" t="n"/>
      <c r="I65" s="25" t="n"/>
      <c r="J65" s="25" t="n"/>
    </row>
    <row r="66" ht="15" customHeight="1" s="26">
      <c r="A66" s="46" t="inlineStr">
        <is>
          <t>castro</t>
        </is>
      </c>
      <c r="B66" s="46" t="inlineStr">
        <is>
          <t>Cláudio Castro</t>
        </is>
      </c>
      <c r="C66" s="46" t="inlineStr">
        <is>
          <t>Pessoa</t>
        </is>
      </c>
      <c r="D66" s="46" t="inlineStr">
        <is>
          <t>Poder e Justiça</t>
        </is>
      </c>
      <c r="E66" s="46" t="inlineStr">
        <is>
          <t>Governo dele no RJ contratou o ITER</t>
        </is>
      </c>
      <c r="F66" s="46">
        <f>COUNTIF(Edges!$A$2:$A$221,A66)+COUNTIF(Edges!$B$2:$B$221,A66)</f>
        <v/>
      </c>
      <c r="G66" s="25" t="n"/>
      <c r="H66" s="25" t="n"/>
      <c r="I66" s="25" t="n"/>
      <c r="J66" s="25" t="n"/>
    </row>
    <row r="67" ht="15" customHeight="1" s="26">
      <c r="A67" s="46" t="inlineStr">
        <is>
          <t>moraes</t>
        </is>
      </c>
      <c r="B67" s="46" t="inlineStr">
        <is>
          <t>Alexandre de Moraes</t>
        </is>
      </c>
      <c r="C67" s="46" t="inlineStr">
        <is>
          <t>Pessoa</t>
        </is>
      </c>
      <c r="D67" s="46" t="inlineStr">
        <is>
          <t>Poder e Justiça</t>
        </is>
      </c>
      <c r="E67" s="46" t="inlineStr">
        <is>
          <t>Ministro do STF</t>
        </is>
      </c>
      <c r="F67" s="46">
        <f>COUNTIF(Edges!$A$2:$A$221,A67)+COUNTIF(Edges!$B$2:$B$221,A67)</f>
        <v/>
      </c>
      <c r="G67" s="25" t="n"/>
      <c r="H67" s="25" t="n"/>
      <c r="I67" s="25" t="n"/>
      <c r="J67" s="25" t="n"/>
    </row>
    <row r="68" ht="23.85" customHeight="1" s="26">
      <c r="A68" s="46" t="inlineStr">
        <is>
          <t>faria</t>
        </is>
      </c>
      <c r="B68" s="46" t="inlineStr">
        <is>
          <t>Fábio Faria</t>
        </is>
      </c>
      <c r="C68" s="46" t="inlineStr">
        <is>
          <t>Pessoa</t>
        </is>
      </c>
      <c r="D68" s="46" t="inlineStr">
        <is>
          <t>Vorcaro e o Banco Master</t>
        </is>
      </c>
      <c r="E68" s="46" t="inlineStr">
        <is>
          <t>Ex-ministro das Comunicações de Jair; PF o aponta como articulador de Vorcaro em Brasília</t>
        </is>
      </c>
      <c r="F68" s="46">
        <f>COUNTIF(Edges!$A$2:$A$221,A68)+COUNTIF(Edges!$B$2:$B$221,A68)</f>
        <v/>
      </c>
      <c r="G68" s="25" t="n"/>
      <c r="H68" s="25" t="n"/>
      <c r="I68" s="25" t="n"/>
      <c r="J68" s="25" t="n"/>
    </row>
    <row r="69" ht="15" customHeight="1" s="26">
      <c r="A69" s="46" t="inlineStr">
        <is>
          <t>motta</t>
        </is>
      </c>
      <c r="B69" s="46" t="inlineStr">
        <is>
          <t>Hugo Motta</t>
        </is>
      </c>
      <c r="C69" s="46" t="inlineStr">
        <is>
          <t>Pessoa</t>
        </is>
      </c>
      <c r="D69" s="46" t="inlineStr">
        <is>
          <t>Vorcaro e o Banco Master</t>
        </is>
      </c>
      <c r="E69" s="46" t="inlineStr">
        <is>
          <t>Presidente da Câmara; em grupo de mensagens com Vorcaro</t>
        </is>
      </c>
      <c r="F69" s="46">
        <f>COUNTIF(Edges!$A$2:$A$221,A69)+COUNTIF(Edges!$B$2:$B$221,A69)</f>
        <v/>
      </c>
      <c r="G69" s="25" t="n"/>
      <c r="H69" s="25" t="n"/>
      <c r="I69" s="25" t="n"/>
      <c r="J69" s="25" t="n"/>
    </row>
    <row r="70" ht="15" customHeight="1" s="26">
      <c r="A70" s="46" t="inlineStr">
        <is>
          <t>frias</t>
        </is>
      </c>
      <c r="B70" s="46" t="inlineStr">
        <is>
          <t>Mario Frias</t>
        </is>
      </c>
      <c r="C70" s="46" t="inlineStr">
        <is>
          <t>Pessoa</t>
        </is>
      </c>
      <c r="D70" s="46" t="inlineStr">
        <is>
          <t>Flávio e família</t>
        </is>
      </c>
      <c r="E70" s="46" t="inlineStr">
        <is>
          <t>Ex-secretário de Cultura de Jair; produtor-executivo de Dark Horse</t>
        </is>
      </c>
      <c r="F70" s="46">
        <f>COUNTIF(Edges!$A$2:$A$221,A70)+COUNTIF(Edges!$B$2:$B$221,A70)</f>
        <v/>
      </c>
      <c r="G70" s="25" t="n"/>
      <c r="H70" s="25" t="n"/>
      <c r="I70" s="25" t="n"/>
      <c r="J70" s="25" t="n"/>
    </row>
    <row r="71" ht="23.85" customHeight="1" s="26">
      <c r="A71" s="46" t="inlineStr">
        <is>
          <t>marcal</t>
        </is>
      </c>
      <c r="B71" s="46" t="inlineStr">
        <is>
          <t>Pablo Marçal</t>
        </is>
      </c>
      <c r="C71" s="46" t="inlineStr">
        <is>
          <t>Pessoa</t>
        </is>
      </c>
      <c r="D71" s="46" t="inlineStr">
        <is>
          <t>Vorcaro e o Banco Master</t>
        </is>
      </c>
      <c r="E71" s="46" t="inlineStr">
        <is>
          <t>Ex-coach; voo de R$ 1,17 mi pago pela Prime You, de que Vorcaro era sócio; confirmou o uso</t>
        </is>
      </c>
      <c r="F71" s="46">
        <f>COUNTIF(Edges!$A$2:$A$221,A71)+COUNTIF(Edges!$B$2:$B$221,A71)</f>
        <v/>
      </c>
      <c r="G71" s="25" t="n"/>
      <c r="H71" s="25" t="n"/>
      <c r="I71" s="25" t="n"/>
      <c r="J71" s="25" t="n"/>
    </row>
    <row r="72" ht="23.85" customHeight="1" s="26">
      <c r="A72" s="46" t="inlineStr">
        <is>
          <t>govlula</t>
        </is>
      </c>
      <c r="B72" s="46" t="inlineStr">
        <is>
          <t>Governo Lula (Haddad, Gleisi, Mercadante)</t>
        </is>
      </c>
      <c r="C72" s="46" t="inlineStr">
        <is>
          <t>Instituição ou caso</t>
        </is>
      </c>
      <c r="D72" s="46" t="inlineStr">
        <is>
          <t>Poder e Justiça</t>
        </is>
      </c>
      <c r="E72" s="46" t="inlineStr">
        <is>
          <t>Mensagens: Vorcaro via Haddad como opositor e tentou “bloquear” Gleisi e Mercadante</t>
        </is>
      </c>
      <c r="F72" s="46">
        <f>COUNTIF(Edges!$A$2:$A$221,A72)+COUNTIF(Edges!$B$2:$B$221,A72)</f>
        <v/>
      </c>
      <c r="G72" s="25" t="n"/>
      <c r="H72" s="25" t="n"/>
      <c r="I72" s="25" t="n"/>
      <c r="J72" s="25" t="n"/>
    </row>
    <row r="73" ht="15" customHeight="1" s="26">
      <c r="A73" s="46" t="inlineStr">
        <is>
          <t>brb</t>
        </is>
      </c>
      <c r="B73" s="46" t="inlineStr">
        <is>
          <t>BRB (Banco de Brasília)</t>
        </is>
      </c>
      <c r="C73" s="46" t="inlineStr">
        <is>
          <t>Empresa</t>
        </is>
      </c>
      <c r="D73" s="46" t="inlineStr">
        <is>
          <t>Vorcaro e o Banco Master</t>
        </is>
      </c>
      <c r="E73" s="46" t="inlineStr">
        <is>
          <t>Banco público do DF, citado no caso Master; financiou a mansão de Flávio</t>
        </is>
      </c>
      <c r="F73" s="46">
        <f>COUNTIF(Edges!$A$2:$A$221,A73)+COUNTIF(Edges!$B$2:$B$221,A73)</f>
        <v/>
      </c>
      <c r="G73" s="25" t="n"/>
      <c r="H73" s="25" t="n"/>
      <c r="I73" s="25" t="n"/>
      <c r="J73" s="25" t="n"/>
    </row>
    <row r="74" ht="15" customHeight="1" s="26">
      <c r="A74" s="46" t="inlineStr">
        <is>
          <t>mansaobsb</t>
        </is>
      </c>
      <c r="B74" s="46" t="inlineStr">
        <is>
          <t>Mansão de Flávio em Brasília</t>
        </is>
      </c>
      <c r="C74" s="46" t="inlineStr">
        <is>
          <t>Casa ou ativo</t>
        </is>
      </c>
      <c r="D74" s="46" t="inlineStr">
        <is>
          <t>Casas e ativos</t>
        </is>
      </c>
      <c r="E74" s="46" t="inlineStr">
        <is>
          <t>R$ 6 mi, 2.400 m², Setor de Mansões Dom Bosco; R$ 3,1 mi financiados pelo BRB</t>
        </is>
      </c>
      <c r="F74" s="46">
        <f>COUNTIF(Edges!$A$2:$A$221,A74)+COUNTIF(Edges!$B$2:$B$221,A74)</f>
        <v/>
      </c>
      <c r="G74" s="25" t="n"/>
      <c r="H74" s="25" t="n"/>
      <c r="I74" s="25" t="n"/>
      <c r="J74" s="25" t="n"/>
    </row>
    <row r="75" ht="15" customHeight="1" s="26">
      <c r="A75" s="46" t="inlineStr">
        <is>
          <t>kopenhagen</t>
        </is>
      </c>
      <c r="B75" s="46" t="inlineStr">
        <is>
          <t>Loja Kopenhagen de Flávio</t>
        </is>
      </c>
      <c r="C75" s="46" t="inlineStr">
        <is>
          <t>Empresa</t>
        </is>
      </c>
      <c r="D75" s="46" t="inlineStr">
        <is>
          <t>Flávio e família</t>
        </is>
      </c>
      <c r="E75" s="46" t="inlineStr">
        <is>
          <t>Franquia no Via Parque (RJ), já vendida; MP suspeitou de lavagem da rachadinha</t>
        </is>
      </c>
      <c r="F75" s="46">
        <f>COUNTIF(Edges!$A$2:$A$221,A75)+COUNTIF(Edges!$B$2:$B$221,A75)</f>
        <v/>
      </c>
      <c r="G75" s="25" t="n"/>
      <c r="H75" s="25" t="n"/>
      <c r="I75" s="25" t="n"/>
      <c r="J75" s="25" t="n"/>
    </row>
    <row r="76" ht="15" customHeight="1" s="26">
      <c r="A76" s="46" t="inlineStr">
        <is>
          <t>adriano</t>
        </is>
      </c>
      <c r="B76" s="46" t="inlineStr">
        <is>
          <t>Adriano da Nóbrega</t>
        </is>
      </c>
      <c r="C76" s="46" t="inlineStr">
        <is>
          <t>Pessoa</t>
        </is>
      </c>
      <c r="D76" s="46" t="inlineStr">
        <is>
          <t>Flávio e família</t>
        </is>
      </c>
      <c r="E76" s="46" t="inlineStr">
        <is>
          <t>Ex-capitão do Bope, apontado como chefe do Escritório do Crime; morto em fev/2020</t>
        </is>
      </c>
      <c r="F76" s="46">
        <f>COUNTIF(Edges!$A$2:$A$221,A76)+COUNTIF(Edges!$B$2:$B$221,A76)</f>
        <v/>
      </c>
      <c r="G76" s="25" t="n"/>
      <c r="H76" s="25" t="n"/>
      <c r="I76" s="25" t="n"/>
      <c r="J76" s="25" t="n"/>
    </row>
    <row r="77" ht="15" customHeight="1" s="26">
      <c r="A77" s="46" t="inlineStr">
        <is>
          <t>ronald</t>
        </is>
      </c>
      <c r="B77" s="46" t="inlineStr">
        <is>
          <t>Ronald Paulo Alves Pereira</t>
        </is>
      </c>
      <c r="C77" s="46" t="inlineStr">
        <is>
          <t>Pessoa</t>
        </is>
      </c>
      <c r="D77" s="46" t="inlineStr">
        <is>
          <t>Flávio e família</t>
        </is>
      </c>
      <c r="E77" s="46" t="inlineStr">
        <is>
          <t>Apontado como liderança de milícia no Rio; homenageado por Flávio em 2004</t>
        </is>
      </c>
      <c r="F77" s="46">
        <f>COUNTIF(Edges!$A$2:$A$221,A77)+COUNTIF(Edges!$B$2:$B$221,A77)</f>
        <v/>
      </c>
      <c r="G77" s="25" t="n"/>
      <c r="H77" s="25" t="n"/>
      <c r="I77" s="25" t="n"/>
      <c r="J77" s="25" t="n"/>
    </row>
    <row r="78" ht="15" customHeight="1" s="26">
      <c r="A78" s="46" t="n"/>
      <c r="B78" s="46" t="n"/>
      <c r="C78" s="46" t="n"/>
      <c r="D78" s="46" t="n"/>
      <c r="E78" s="46" t="n"/>
      <c r="F78" s="46" t="n"/>
      <c r="G78" s="25" t="n"/>
      <c r="H78" s="25" t="n"/>
      <c r="I78" s="25" t="n"/>
      <c r="J78" s="25" t="n"/>
    </row>
    <row r="79" ht="23.85" customHeight="1" s="26">
      <c r="A79" s="46" t="inlineStr">
        <is>
          <t>pms16</t>
        </is>
      </c>
      <c r="B79" s="46" t="inlineStr">
        <is>
          <t>16 PMs denunciados</t>
        </is>
      </c>
      <c r="C79" s="46" t="inlineStr">
        <is>
          <t>Pessoa</t>
        </is>
      </c>
      <c r="D79" s="46" t="inlineStr">
        <is>
          <t>Flávio e família</t>
        </is>
      </c>
      <c r="E79" s="46" t="inlineStr">
        <is>
          <t>Condecorados por Flávio e Carlos; denunciados como integrantes de organizações criminosas</t>
        </is>
      </c>
      <c r="F79" s="46">
        <f>COUNTIF(Edges!$A$2:$A$221,A79)+COUNTIF(Edges!$B$2:$B$221,A79)</f>
        <v/>
      </c>
      <c r="G79" s="25" t="n"/>
      <c r="H79" s="25" t="n"/>
      <c r="I79" s="25" t="n"/>
      <c r="J79" s="25" t="n"/>
    </row>
    <row r="80" ht="23.85" customHeight="1" s="26">
      <c r="A80" s="46" t="inlineStr">
        <is>
          <t>peixe</t>
        </is>
      </c>
      <c r="B80" s="46" t="inlineStr">
        <is>
          <t>Robson Calixto (“Peixe”)</t>
        </is>
      </c>
      <c r="C80" s="46" t="inlineStr">
        <is>
          <t>Pessoa</t>
        </is>
      </c>
      <c r="D80" s="46" t="inlineStr">
        <is>
          <t>Flávio e família</t>
        </is>
      </c>
      <c r="E80" s="46" t="inlineStr">
        <is>
          <t>PM da reserva condenado no caso Marielle (organização criminosa); PF diz que intermediou emenda de Flávio</t>
        </is>
      </c>
      <c r="F80" s="46">
        <f>COUNTIF(Edges!$A$2:$A$221,A80)+COUNTIF(Edges!$B$2:$B$221,A80)</f>
        <v/>
      </c>
      <c r="G80" s="25" t="n"/>
      <c r="H80" s="25" t="n"/>
      <c r="I80" s="25" t="n"/>
      <c r="J80" s="25" t="n"/>
    </row>
    <row r="81" ht="15" customHeight="1" s="26">
      <c r="A81" s="46" t="inlineStr">
        <is>
          <t>ongbrazao</t>
        </is>
      </c>
      <c r="B81" s="46" t="inlineStr">
        <is>
          <t>ONG ligada aos irmãos Brazão</t>
        </is>
      </c>
      <c r="C81" s="46" t="inlineStr">
        <is>
          <t>Empresa</t>
        </is>
      </c>
      <c r="D81" s="46" t="inlineStr">
        <is>
          <t>Flávio e família</t>
        </is>
      </c>
      <c r="E81" s="46" t="inlineStr">
        <is>
          <t>Instituto Ifop (Taquara, RJ); PF suspeita de ligação com os Brazão; a ONG nega</t>
        </is>
      </c>
      <c r="F81" s="46">
        <f>COUNTIF(Edges!$A$2:$A$221,A81)+COUNTIF(Edges!$B$2:$B$221,A81)</f>
        <v/>
      </c>
      <c r="G81" s="25" t="n"/>
      <c r="H81" s="25" t="n"/>
      <c r="I81" s="25" t="n"/>
      <c r="J81" s="25" t="n"/>
    </row>
    <row r="82" ht="15" customHeight="1" s="26">
      <c r="A82" s="46" t="inlineStr">
        <is>
          <t>gaspar</t>
        </is>
      </c>
      <c r="B82" s="46" t="inlineStr">
        <is>
          <t>Alfredo Gaspar</t>
        </is>
      </c>
      <c r="C82" s="46" t="inlineStr">
        <is>
          <t>Pessoa</t>
        </is>
      </c>
      <c r="D82" s="46" t="inlineStr">
        <is>
          <t>Flávio e família</t>
        </is>
      </c>
      <c r="E82" s="46" t="inlineStr">
        <is>
          <t>Vice na chapa derrotada de Flávio em 2026</t>
        </is>
      </c>
      <c r="F82" s="46">
        <f>COUNTIF(Edges!$A$2:$A$221,A82)+COUNTIF(Edges!$B$2:$B$221,A82)</f>
        <v/>
      </c>
      <c r="G82" s="25" t="n"/>
      <c r="H82" s="25" t="n"/>
      <c r="I82" s="25" t="n"/>
      <c r="J82" s="25" t="n"/>
    </row>
    <row r="83" ht="23.85" customHeight="1" s="26">
      <c r="A83" s="46" t="inlineStr">
        <is>
          <t>jbcarvalho</t>
        </is>
      </c>
      <c r="B83" s="46" t="inlineStr">
        <is>
          <t>Bispo JB Carvalho</t>
        </is>
      </c>
      <c r="C83" s="46" t="inlineStr">
        <is>
          <t>Pessoa</t>
        </is>
      </c>
      <c r="D83" s="46" t="inlineStr">
        <is>
          <t>Flávio e família</t>
        </is>
      </c>
      <c r="E83" s="46" t="inlineStr">
        <is>
          <t>Bispo da Comunidade das Nações; defendeu em livro retirar o título de padroeira de N. Sra. Aparecida</t>
        </is>
      </c>
      <c r="F83" s="46">
        <f>COUNTIF(Edges!$A$2:$A$221,A83)+COUNTIF(Edges!$B$2:$B$221,A83)</f>
        <v/>
      </c>
      <c r="G83" s="25" t="n"/>
      <c r="H83" s="25" t="n"/>
      <c r="I83" s="25" t="n"/>
      <c r="J83" s="25" t="n"/>
    </row>
    <row r="84" ht="23.85" customHeight="1" s="26">
      <c r="A84" s="46" t="inlineStr">
        <is>
          <t>pmacusado</t>
        </is>
      </c>
      <c r="B84" s="46" t="inlineStr">
        <is>
          <t>PM acusado de matar menina de 5 anos</t>
        </is>
      </c>
      <c r="C84" s="46" t="inlineStr">
        <is>
          <t>Pessoa</t>
        </is>
      </c>
      <c r="D84" s="46" t="inlineStr">
        <is>
          <t>Flávio e família</t>
        </is>
      </c>
      <c r="E84" s="46" t="inlineStr">
        <is>
          <t>Preso em flagrante no RJ; Flávio atuou como advogado dele no STJ</t>
        </is>
      </c>
      <c r="F84" s="46">
        <f>COUNTIF(Edges!$A$2:$A$221,A84)+COUNTIF(Edges!$B$2:$B$221,A84)</f>
        <v/>
      </c>
      <c r="G84" s="25" t="n"/>
      <c r="H84" s="25" t="n"/>
      <c r="I84" s="25" t="n"/>
      <c r="J84" s="25" t="n"/>
    </row>
    <row r="85" ht="23.85" customHeight="1" s="26">
      <c r="A85" s="46" t="inlineStr">
        <is>
          <t>cathedral</t>
        </is>
      </c>
      <c r="B85" s="46" t="inlineStr">
        <is>
          <t>Cathedral Holdings</t>
        </is>
      </c>
      <c r="C85" s="46" t="inlineStr">
        <is>
          <t>Empresa</t>
        </is>
      </c>
      <c r="D85" s="46" t="inlineStr">
        <is>
          <t>Willer Tomaz e sua rede</t>
        </is>
      </c>
      <c r="E85" s="46" t="inlineStr">
        <is>
          <t>Offshore na Ilha da Madeira criada por Willer em jan/2023; única acionista da Rede Loto</t>
        </is>
      </c>
      <c r="F85" s="46">
        <f>COUNTIF(Edges!$A$2:$A$221,A85)+COUNTIF(Edges!$B$2:$B$221,A85)</f>
        <v/>
      </c>
      <c r="G85" s="25" t="n"/>
      <c r="H85" s="25" t="n"/>
      <c r="I85" s="25" t="n"/>
      <c r="J85" s="25" t="n"/>
    </row>
    <row r="86" ht="15" customHeight="1" s="26">
      <c r="A86" s="46" t="inlineStr">
        <is>
          <t>bestbet</t>
        </is>
      </c>
      <c r="B86" s="46" t="inlineStr">
        <is>
          <t>Best Bet (Rede Loto)</t>
        </is>
      </c>
      <c r="C86" s="46" t="inlineStr">
        <is>
          <t>Empresa</t>
        </is>
      </c>
      <c r="D86" s="46" t="inlineStr">
        <is>
          <t>Willer Tomaz e sua rede</t>
        </is>
      </c>
      <c r="E86" s="46" t="inlineStr">
        <is>
          <t>Bet licenciada pela Loterj em mai/2023; a defesa diz que nunca chegou a operar</t>
        </is>
      </c>
      <c r="F86" s="46">
        <f>COUNTIF(Edges!$A$2:$A$221,A86)+COUNTIF(Edges!$B$2:$B$221,A86)</f>
        <v/>
      </c>
      <c r="G86" s="25" t="n"/>
      <c r="H86" s="25" t="n"/>
      <c r="I86" s="25" t="n"/>
      <c r="J86" s="25" t="n"/>
    </row>
    <row r="87" ht="23.85" customHeight="1" s="26">
      <c r="A87" s="46" t="inlineStr">
        <is>
          <t>riopag</t>
        </is>
      </c>
      <c r="B87" s="46" t="inlineStr">
        <is>
          <t>Rio Pag</t>
        </is>
      </c>
      <c r="C87" s="46" t="inlineStr">
        <is>
          <t>Empresa</t>
        </is>
      </c>
      <c r="D87" s="46" t="inlineStr">
        <is>
          <t>Willer Tomaz e sua rede</t>
        </is>
      </c>
      <c r="E87" s="46" t="inlineStr">
        <is>
          <t>Processava pagamentos das bets da Loterj; o estado rescindiu em set/2026 e cobra R$ 9,4 mi (liminar suspendeu)</t>
        </is>
      </c>
      <c r="F87" s="46">
        <f>COUNTIF(Edges!$A$2:$A$221,A87)+COUNTIF(Edges!$B$2:$B$221,A87)</f>
        <v/>
      </c>
      <c r="G87" s="25" t="n"/>
      <c r="H87" s="25" t="n"/>
      <c r="I87" s="25" t="n"/>
      <c r="J87" s="25" t="n"/>
    </row>
    <row r="88" ht="15" customHeight="1" s="26">
      <c r="A88" s="46" t="inlineStr">
        <is>
          <t>loterj</t>
        </is>
      </c>
      <c r="B88" s="46" t="inlineStr">
        <is>
          <t>Loterj</t>
        </is>
      </c>
      <c r="C88" s="46" t="inlineStr">
        <is>
          <t>Instituição ou caso</t>
        </is>
      </c>
      <c r="D88" s="46" t="inlineStr">
        <is>
          <t>Poder e Justiça</t>
        </is>
      </c>
      <c r="E88" s="46" t="inlineStr">
        <is>
          <t>Loteria do Estado do RJ; licenciou a Best Bet e contratou a Rio Pag em 2023</t>
        </is>
      </c>
      <c r="F88" s="46">
        <f>COUNTIF(Edges!$A$2:$A$221,A88)+COUNTIF(Edges!$B$2:$B$221,A88)</f>
        <v/>
      </c>
      <c r="G88" s="25" t="n"/>
      <c r="H88" s="25" t="n"/>
      <c r="I88" s="25" t="n"/>
      <c r="J88" s="25" t="n"/>
    </row>
    <row r="89" ht="15" customHeight="1" s="26">
      <c r="A89" s="46" t="inlineStr">
        <is>
          <t>cancado</t>
        </is>
      </c>
      <c r="B89" s="46" t="inlineStr">
        <is>
          <t>Hazenclever Cançado</t>
        </is>
      </c>
      <c r="C89" s="46" t="inlineStr">
        <is>
          <t>Pessoa</t>
        </is>
      </c>
      <c r="D89" s="46" t="inlineStr">
        <is>
          <t>Poder e Justiça</t>
        </is>
      </c>
      <c r="E89" s="46" t="inlineStr">
        <is>
          <t>Ex-presidente da Loterj; assinou a licença da Best Bet</t>
        </is>
      </c>
      <c r="F89" s="46">
        <f>COUNTIF(Edges!$A$2:$A$221,A89)+COUNTIF(Edges!$B$2:$B$221,A89)</f>
        <v/>
      </c>
      <c r="G89" s="25" t="n"/>
      <c r="H89" s="25" t="n"/>
      <c r="I89" s="25" t="n"/>
      <c r="J89" s="25" t="n"/>
    </row>
    <row r="90" ht="23.85" customHeight="1" s="26">
      <c r="A90" s="46" t="inlineStr">
        <is>
          <t>hangar</t>
        </is>
      </c>
      <c r="B90" s="46" t="inlineStr">
        <is>
          <t>Hangares de Willer (Aeroporto de Brasília)</t>
        </is>
      </c>
      <c r="C90" s="46" t="inlineStr">
        <is>
          <t>Casa ou ativo</t>
        </is>
      </c>
      <c r="D90" s="46" t="inlineStr">
        <is>
          <t>Casas e ativos</t>
        </is>
      </c>
      <c r="E90" s="46" t="inlineStr">
        <is>
          <t>Hangares 36 e 37; PF achou sala oculta e máquina de contar, sem dinheiro; Willer diz que atende transporte de valores</t>
        </is>
      </c>
      <c r="F90" s="46">
        <f>COUNTIF(Edges!$A$2:$A$221,A90)+COUNTIF(Edges!$B$2:$B$221,A90)</f>
        <v/>
      </c>
      <c r="G90" s="25" t="n"/>
      <c r="H90" s="25" t="n"/>
      <c r="I90" s="25" t="n"/>
      <c r="J90" s="25" t="n"/>
    </row>
    <row r="91" ht="23.85" customHeight="1" s="26">
      <c r="A91" s="46" t="inlineStr">
        <is>
          <t>weverton</t>
        </is>
      </c>
      <c r="B91" s="46" t="inlineStr">
        <is>
          <t>Weverton Rocha</t>
        </is>
      </c>
      <c r="C91" s="46" t="inlineStr">
        <is>
          <t>Pessoa</t>
        </is>
      </c>
      <c r="D91" s="46" t="inlineStr">
        <is>
          <t>Poder e Justiça</t>
        </is>
      </c>
      <c r="E91" s="46" t="inlineStr">
        <is>
          <t>Senador (PDT-MA), vice-líder do governo Lula; investigado na Operação Sem Desconto; nega</t>
        </is>
      </c>
      <c r="F91" s="46">
        <f>COUNTIF(Edges!$A$2:$A$221,A91)+COUNTIF(Edges!$B$2:$B$221,A91)</f>
        <v/>
      </c>
      <c r="G91" s="25" t="n"/>
      <c r="H91" s="25" t="n"/>
      <c r="I91" s="25" t="n"/>
      <c r="J91" s="25" t="n"/>
    </row>
    <row r="92" ht="23.85" customHeight="1" s="26">
      <c r="A92" s="46" t="inlineStr">
        <is>
          <t>rueda</t>
        </is>
      </c>
      <c r="B92" s="46" t="inlineStr">
        <is>
          <t>Antonio Rueda</t>
        </is>
      </c>
      <c r="C92" s="46" t="inlineStr">
        <is>
          <t>Pessoa</t>
        </is>
      </c>
      <c r="D92" s="46" t="inlineStr">
        <is>
          <t>Vorcaro e o Banco Master</t>
        </is>
      </c>
      <c r="E92" s="46" t="inlineStr">
        <is>
          <t>Presidente do União Brasil; admitiu ter advogado para o Master; 4º maior volume de interações no celular de Vorcaro</t>
        </is>
      </c>
      <c r="F92" s="46">
        <f>COUNTIF(Edges!$A$2:$A$221,A92)+COUNTIF(Edges!$B$2:$B$221,A92)</f>
        <v/>
      </c>
      <c r="G92" s="25" t="n"/>
      <c r="H92" s="25" t="n"/>
      <c r="I92" s="25" t="n"/>
      <c r="J92" s="25" t="n"/>
    </row>
    <row r="93" ht="23.85" customHeight="1" s="26">
      <c r="A93" s="46" t="inlineStr">
        <is>
          <t>wajngarten</t>
        </is>
      </c>
      <c r="B93" s="46" t="inlineStr">
        <is>
          <t>Fabio Wajngarten</t>
        </is>
      </c>
      <c r="C93" s="46" t="inlineStr">
        <is>
          <t>Pessoa</t>
        </is>
      </c>
      <c r="D93" s="46" t="inlineStr">
        <is>
          <t>Vorcaro e o Banco Master</t>
        </is>
      </c>
      <c r="E93" s="46" t="inlineStr">
        <is>
          <t>Ex-secretário de Comunicação de Bolsonaro; integra a defesa de Vorcaro na comunicação; 6º maior volume no celular dele</t>
        </is>
      </c>
      <c r="F93" s="46">
        <f>COUNTIF(Edges!$A$2:$A$221,A93)+COUNTIF(Edges!$B$2:$B$221,A93)</f>
        <v/>
      </c>
      <c r="G93" s="25" t="n"/>
      <c r="H93" s="25" t="n"/>
      <c r="I93" s="25" t="n"/>
      <c r="J93" s="25" t="n"/>
    </row>
    <row r="94" ht="23.85" customHeight="1" s="26">
      <c r="A94" s="46" t="inlineStr">
        <is>
          <t>mantega</t>
        </is>
      </c>
      <c r="B94" s="46" t="inlineStr">
        <is>
          <t>Guido Mantega</t>
        </is>
      </c>
      <c r="C94" s="46" t="inlineStr">
        <is>
          <t>Pessoa</t>
        </is>
      </c>
      <c r="D94" s="46" t="inlineStr">
        <is>
          <t>Poder e Justiça</t>
        </is>
      </c>
      <c r="E94" s="46" t="inlineStr">
        <is>
          <t>Ex-ministro da Fazenda (PT); diz ter feito consultoria para o Master em 2024–25; aparece em mensagens sobre aproximação com Lula</t>
        </is>
      </c>
      <c r="F94" s="46">
        <f>COUNTIF(Edges!$A$2:$A$221,A94)+COUNTIF(Edges!$B$2:$B$221,A94)</f>
        <v/>
      </c>
      <c r="G94" s="25" t="n"/>
      <c r="H94" s="25" t="n"/>
      <c r="I94" s="25" t="n"/>
      <c r="J94" s="25" t="n"/>
    </row>
    <row r="95" ht="23.85" customHeight="1" s="26">
      <c r="A95" s="46" t="inlineStr">
        <is>
          <t>doria</t>
        </is>
      </c>
      <c r="B95" s="46" t="inlineStr">
        <is>
          <t>João Doria</t>
        </is>
      </c>
      <c r="C95" s="46" t="inlineStr">
        <is>
          <t>Pessoa</t>
        </is>
      </c>
      <c r="D95" s="46" t="inlineStr">
        <is>
          <t>Vorcaro e o Banco Master</t>
        </is>
      </c>
      <c r="E95" s="46" t="inlineStr">
        <is>
          <t>Ex-governador de SP; 5º maior volume no celular de Vorcaro; mensagem de maio/2025 sobre “preocupação” com o banco</t>
        </is>
      </c>
      <c r="F95" s="46">
        <f>COUNTIF(Edges!$A$2:$A$221,A95)+COUNTIF(Edges!$B$2:$B$221,A95)</f>
        <v/>
      </c>
      <c r="G95" s="25" t="n"/>
      <c r="H95" s="25" t="n"/>
      <c r="I95" s="25" t="n"/>
      <c r="J95" s="25" t="n"/>
    </row>
    <row r="96" ht="23.85" customHeight="1" s="26">
      <c r="A96" s="46" t="inlineStr">
        <is>
          <t>bacelar</t>
        </is>
      </c>
      <c r="B96" s="46" t="inlineStr">
        <is>
          <t>João Carlos Bacelar</t>
        </is>
      </c>
      <c r="C96" s="46" t="inlineStr">
        <is>
          <t>Pessoa</t>
        </is>
      </c>
      <c r="D96" s="46" t="inlineStr">
        <is>
          <t>Vorcaro e o Banco Master</t>
        </is>
      </c>
      <c r="E96" s="46" t="inlineStr">
        <is>
          <t>Deputado federal (PL-BA); PF achou documento com seu nome sobre opção de compra de terreno em Trancoso (BA)</t>
        </is>
      </c>
      <c r="F96" s="46">
        <f>COUNTIF(Edges!$A$2:$A$221,A96)+COUNTIF(Edges!$B$2:$B$221,A96)</f>
        <v/>
      </c>
      <c r="G96" s="25" t="n"/>
      <c r="H96" s="25" t="n"/>
      <c r="I96" s="25" t="n"/>
      <c r="J96" s="25" t="n"/>
    </row>
    <row r="97" ht="23.85" customHeight="1" s="26">
      <c r="A97" s="46" t="inlineStr">
        <is>
          <t>feitosa</t>
        </is>
      </c>
      <c r="B97" s="46" t="inlineStr">
        <is>
          <t>Chiquinho Feitosa</t>
        </is>
      </c>
      <c r="C97" s="46" t="inlineStr">
        <is>
          <t>Pessoa</t>
        </is>
      </c>
      <c r="D97" s="46" t="inlineStr">
        <is>
          <t>Poder e Justiça</t>
        </is>
      </c>
      <c r="E97" s="46" t="inlineStr">
        <is>
          <t>Ex-senador (Republicanos-CE); mensagens da PF indicam que se ofereceu como ponte entre Vorcaro e o ministro Gilmar Mendes</t>
        </is>
      </c>
      <c r="F97" s="46">
        <f>COUNTIF(Edges!$A$2:$A$221,A97)+COUNTIF(Edges!$B$2:$B$221,A97)</f>
        <v/>
      </c>
      <c r="G97" s="25" t="n"/>
      <c r="H97" s="25" t="n"/>
      <c r="I97" s="25" t="n"/>
      <c r="J97" s="25"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5" min="1" max="2"/>
    <col width="60" customWidth="1" style="25" min="3" max="3"/>
    <col width="22" customWidth="1" style="25" min="4" max="4"/>
    <col width="30" customWidth="1" style="25" min="5" max="6"/>
  </cols>
  <sheetData>
    <row r="1" ht="15" customHeight="1" s="26">
      <c r="A1" s="45" t="inlineStr">
        <is>
          <t>Source</t>
        </is>
      </c>
      <c r="B1" s="45" t="inlineStr">
        <is>
          <t>Target</t>
        </is>
      </c>
      <c r="C1" s="45" t="inlineStr">
        <is>
          <t>Label</t>
        </is>
      </c>
      <c r="D1" s="45" t="inlineStr">
        <is>
          <t>Status</t>
        </is>
      </c>
      <c r="E1" s="45" t="inlineStr">
        <is>
          <t>Source name</t>
        </is>
      </c>
      <c r="F1" s="45" t="inlineStr">
        <is>
          <t>Target name</t>
        </is>
      </c>
    </row>
    <row r="2" ht="15" customHeight="1" s="26">
      <c r="A2" s="46" t="inlineStr">
        <is>
          <t>assoc</t>
        </is>
      </c>
      <c r="B2" s="46" t="inlineStr">
        <is>
          <t>careca</t>
        </is>
      </c>
      <c r="C2" s="46" t="inlineStr">
        <is>
          <t>Dinheiro dos descontos passa pelo esquema que a PF atribui a ele</t>
        </is>
      </c>
      <c r="D2" s="46" t="inlineStr">
        <is>
          <t>Reportado</t>
        </is>
      </c>
      <c r="E2" s="46">
        <f>INDEX(Nodes!$B$2:$B$97,MATCH(A2,Nodes!$A$2:$A$97,0))</f>
        <v/>
      </c>
      <c r="F2" s="46">
        <f>INDEX(Nodes!$B$2:$B$97,MATCH(B2,Nodes!$A$2:$A$97,0))</f>
        <v/>
      </c>
    </row>
    <row r="3" ht="15" customHeight="1" s="26">
      <c r="A3" s="46" t="inlineStr">
        <is>
          <t>careca</t>
        </is>
      </c>
      <c r="B3" s="46" t="inlineStr">
        <is>
          <t>contador</t>
        </is>
      </c>
      <c r="C3" s="46" t="inlineStr">
        <is>
          <t>Contador dele</t>
        </is>
      </c>
      <c r="D3" s="46" t="inlineStr">
        <is>
          <t>Reportado</t>
        </is>
      </c>
      <c r="E3" s="46">
        <f>INDEX(Nodes!$B$2:$B$97,MATCH(A3,Nodes!$A$2:$A$97,0))</f>
        <v/>
      </c>
      <c r="F3" s="46">
        <f>INDEX(Nodes!$B$2:$B$97,MATCH(B3,Nodes!$A$2:$A$97,0))</f>
        <v/>
      </c>
    </row>
    <row r="4" ht="15" customHeight="1" s="26">
      <c r="A4" s="46" t="inlineStr">
        <is>
          <t>contador</t>
        </is>
      </c>
      <c r="B4" s="46" t="inlineStr">
        <is>
          <t>leticia</t>
        </is>
      </c>
      <c r="C4" s="46" t="inlineStr">
        <is>
          <t>Irmãos</t>
        </is>
      </c>
      <c r="D4" s="46" t="inlineStr">
        <is>
          <t>Reportado</t>
        </is>
      </c>
      <c r="E4" s="46">
        <f>INDEX(Nodes!$B$2:$B$97,MATCH(A4,Nodes!$A$2:$A$97,0))</f>
        <v/>
      </c>
      <c r="F4" s="46">
        <f>INDEX(Nodes!$B$2:$B$97,MATCH(B4,Nodes!$A$2:$A$97,0))</f>
        <v/>
      </c>
    </row>
    <row r="5" ht="15" customHeight="1" s="26">
      <c r="A5" s="46" t="inlineStr">
        <is>
          <t>leticia</t>
        </is>
      </c>
      <c r="B5" s="46" t="inlineStr">
        <is>
          <t>escf</t>
        </is>
      </c>
      <c r="C5" s="46" t="inlineStr">
        <is>
          <t>Administra desde 2021</t>
        </is>
      </c>
      <c r="D5" s="46" t="inlineStr">
        <is>
          <t>Reportado</t>
        </is>
      </c>
      <c r="E5" s="46">
        <f>INDEX(Nodes!$B$2:$B$97,MATCH(A5,Nodes!$A$2:$A$97,0))</f>
        <v/>
      </c>
      <c r="F5" s="46">
        <f>INDEX(Nodes!$B$2:$B$97,MATCH(B5,Nodes!$A$2:$A$97,0))</f>
        <v/>
      </c>
    </row>
    <row r="6" ht="15" customHeight="1" s="26">
      <c r="A6" s="46" t="inlineStr">
        <is>
          <t>contador</t>
        </is>
      </c>
      <c r="B6" s="46" t="inlineStr">
        <is>
          <t>escf</t>
        </is>
      </c>
      <c r="C6" s="46" t="inlineStr">
        <is>
          <t>Faz a contabilidade</t>
        </is>
      </c>
      <c r="D6" s="46" t="inlineStr">
        <is>
          <t>Reportado</t>
        </is>
      </c>
      <c r="E6" s="46">
        <f>INDEX(Nodes!$B$2:$B$97,MATCH(A6,Nodes!$A$2:$A$97,0))</f>
        <v/>
      </c>
      <c r="F6" s="46">
        <f>INDEX(Nodes!$B$2:$B$97,MATCH(B6,Nodes!$A$2:$A$97,0))</f>
        <v/>
      </c>
    </row>
    <row r="7" ht="15" customHeight="1" s="26">
      <c r="A7" s="46" t="inlineStr">
        <is>
          <t>willer</t>
        </is>
      </c>
      <c r="B7" s="46" t="inlineStr">
        <is>
          <t>leticia</t>
        </is>
      </c>
      <c r="C7" s="46" t="inlineStr">
        <is>
          <t>Ela diz que veio por indicação dele; Willer diz à Pública que não a conhece</t>
        </is>
      </c>
      <c r="D7" s="46" t="inlineStr">
        <is>
          <t>Alegado ou contestado</t>
        </is>
      </c>
      <c r="E7" s="46">
        <f>INDEX(Nodes!$B$2:$B$97,MATCH(A7,Nodes!$A$2:$A$97,0))</f>
        <v/>
      </c>
      <c r="F7" s="46">
        <f>INDEX(Nodes!$B$2:$B$97,MATCH(B7,Nodes!$A$2:$A$97,0))</f>
        <v/>
      </c>
    </row>
    <row r="8" ht="15" customHeight="1" s="26">
      <c r="A8" s="46" t="inlineStr">
        <is>
          <t>willer</t>
        </is>
      </c>
      <c r="B8" s="46" t="inlineStr">
        <is>
          <t>contador</t>
        </is>
      </c>
      <c r="C8" s="46" t="inlineStr">
        <is>
          <t>É o advogado de defesa</t>
        </is>
      </c>
      <c r="D8" s="46" t="inlineStr">
        <is>
          <t>Reportado</t>
        </is>
      </c>
      <c r="E8" s="46">
        <f>INDEX(Nodes!$B$2:$B$97,MATCH(A8,Nodes!$A$2:$A$97,0))</f>
        <v/>
      </c>
      <c r="F8" s="46">
        <f>INDEX(Nodes!$B$2:$B$97,MATCH(B8,Nodes!$A$2:$A$97,0))</f>
        <v/>
      </c>
    </row>
    <row r="9" ht="15" customHeight="1" s="26">
      <c r="A9" s="46" t="inlineStr">
        <is>
          <t>willer</t>
        </is>
      </c>
      <c r="B9" s="46" t="inlineStr">
        <is>
          <t>careca</t>
        </is>
      </c>
      <c r="C9" s="46" t="inlineStr">
        <is>
          <t>Investigado no mesmo esquema do INSS</t>
        </is>
      </c>
      <c r="D9" s="46" t="inlineStr">
        <is>
          <t>Reportado</t>
        </is>
      </c>
      <c r="E9" s="46">
        <f>INDEX(Nodes!$B$2:$B$97,MATCH(A9,Nodes!$A$2:$A$97,0))</f>
        <v/>
      </c>
      <c r="F9" s="46">
        <f>INDEX(Nodes!$B$2:$B$97,MATCH(B9,Nodes!$A$2:$A$97,0))</f>
        <v/>
      </c>
    </row>
    <row r="10" ht="15" customHeight="1" s="26">
      <c r="A10" s="46" t="inlineStr">
        <is>
          <t>pf</t>
        </is>
      </c>
      <c r="B10" s="46" t="inlineStr">
        <is>
          <t>careca</t>
        </is>
      </c>
      <c r="C10" s="46" t="inlineStr">
        <is>
          <t>Investiga</t>
        </is>
      </c>
      <c r="D10" s="46" t="inlineStr">
        <is>
          <t>Reportado</t>
        </is>
      </c>
      <c r="E10" s="46">
        <f>INDEX(Nodes!$B$2:$B$97,MATCH(A10,Nodes!$A$2:$A$97,0))</f>
        <v/>
      </c>
      <c r="F10" s="46">
        <f>INDEX(Nodes!$B$2:$B$97,MATCH(B10,Nodes!$A$2:$A$97,0))</f>
        <v/>
      </c>
    </row>
    <row r="11" ht="15" customHeight="1" s="26">
      <c r="A11" s="46" t="inlineStr">
        <is>
          <t>lulinha</t>
        </is>
      </c>
      <c r="B11" s="46" t="inlineStr">
        <is>
          <t>careca</t>
        </is>
      </c>
      <c r="C11" s="46" t="inlineStr">
        <is>
          <t>Inquéritos por tráfico de influência a favor do Careca</t>
        </is>
      </c>
      <c r="D11" s="46" t="inlineStr">
        <is>
          <t>Alegado ou contestado</t>
        </is>
      </c>
      <c r="E11" s="46">
        <f>INDEX(Nodes!$B$2:$B$97,MATCH(A11,Nodes!$A$2:$A$97,0))</f>
        <v/>
      </c>
      <c r="F11" s="46">
        <f>INDEX(Nodes!$B$2:$B$97,MATCH(B11,Nodes!$A$2:$A$97,0))</f>
        <v/>
      </c>
    </row>
    <row r="12" ht="15" customHeight="1" s="26">
      <c r="A12" s="46" t="inlineStr">
        <is>
          <t>lulinha</t>
        </is>
      </c>
      <c r="B12" s="46" t="inlineStr">
        <is>
          <t>roberta</t>
        </is>
      </c>
      <c r="C12" s="46" t="inlineStr">
        <is>
          <t>Amiga; PF diz que ela podia agir em nome dele</t>
        </is>
      </c>
      <c r="D12" s="46" t="inlineStr">
        <is>
          <t>Alegado ou contestado</t>
        </is>
      </c>
      <c r="E12" s="46">
        <f>INDEX(Nodes!$B$2:$B$97,MATCH(A12,Nodes!$A$2:$A$97,0))</f>
        <v/>
      </c>
      <c r="F12" s="46">
        <f>INDEX(Nodes!$B$2:$B$97,MATCH(B12,Nodes!$A$2:$A$97,0))</f>
        <v/>
      </c>
    </row>
    <row r="13" ht="15" customHeight="1" s="26">
      <c r="A13" s="46" t="inlineStr">
        <is>
          <t>roberta</t>
        </is>
      </c>
      <c r="B13" s="46" t="inlineStr">
        <is>
          <t>careca</t>
        </is>
      </c>
      <c r="C13" s="46" t="inlineStr">
        <is>
          <t>Recebeu ~R$ 1 mi de empresa de fachada</t>
        </is>
      </c>
      <c r="D13" s="46" t="inlineStr">
        <is>
          <t>Reportado</t>
        </is>
      </c>
      <c r="E13" s="46">
        <f>INDEX(Nodes!$B$2:$B$97,MATCH(A13,Nodes!$A$2:$A$97,0))</f>
        <v/>
      </c>
      <c r="F13" s="46">
        <f>INDEX(Nodes!$B$2:$B$97,MATCH(B13,Nodes!$A$2:$A$97,0))</f>
        <v/>
      </c>
    </row>
    <row r="14" ht="15" customHeight="1" s="26">
      <c r="A14" s="46" t="inlineStr">
        <is>
          <t>careca</t>
        </is>
      </c>
      <c r="B14" s="46" t="inlineStr">
        <is>
          <t>sala</t>
        </is>
      </c>
      <c r="C14" s="46" t="inlineStr">
        <is>
          <t>16 empresas dele no endereço</t>
        </is>
      </c>
      <c r="D14" s="46" t="inlineStr">
        <is>
          <t>Reportado</t>
        </is>
      </c>
      <c r="E14" s="46">
        <f>INDEX(Nodes!$B$2:$B$97,MATCH(A14,Nodes!$A$2:$A$97,0))</f>
        <v/>
      </c>
      <c r="F14" s="46">
        <f>INDEX(Nodes!$B$2:$B$97,MATCH(B14,Nodes!$A$2:$A$97,0))</f>
        <v/>
      </c>
    </row>
    <row r="15" ht="15" customHeight="1" s="26">
      <c r="A15" s="46" t="inlineStr">
        <is>
          <t>bravo</t>
        </is>
      </c>
      <c r="B15" s="46" t="inlineStr">
        <is>
          <t>sala</t>
        </is>
      </c>
      <c r="C15" s="46" t="inlineStr">
        <is>
          <t>Registrada no mesmo endereço</t>
        </is>
      </c>
      <c r="D15" s="46" t="inlineStr">
        <is>
          <t>Reportado</t>
        </is>
      </c>
      <c r="E15" s="46">
        <f>INDEX(Nodes!$B$2:$B$97,MATCH(A15,Nodes!$A$2:$A$97,0))</f>
        <v/>
      </c>
      <c r="F15" s="46">
        <f>INDEX(Nodes!$B$2:$B$97,MATCH(B15,Nodes!$A$2:$A$97,0))</f>
        <v/>
      </c>
    </row>
    <row r="16" ht="15" customHeight="1" s="26">
      <c r="A16" s="46" t="inlineStr">
        <is>
          <t>bravo</t>
        </is>
      </c>
      <c r="B16" s="46" t="inlineStr">
        <is>
          <t>flavio</t>
        </is>
      </c>
      <c r="C16" s="46" t="inlineStr">
        <is>
          <t>Fábrica dele e do irmão</t>
        </is>
      </c>
      <c r="D16" s="46" t="inlineStr">
        <is>
          <t>Reportado</t>
        </is>
      </c>
      <c r="E16" s="46">
        <f>INDEX(Nodes!$B$2:$B$97,MATCH(A16,Nodes!$A$2:$A$97,0))</f>
        <v/>
      </c>
      <c r="F16" s="46">
        <f>INDEX(Nodes!$B$2:$B$97,MATCH(B16,Nodes!$A$2:$A$97,0))</f>
        <v/>
      </c>
    </row>
    <row r="17" ht="15" customHeight="1" s="26">
      <c r="A17" s="46" t="inlineStr">
        <is>
          <t>bravo</t>
        </is>
      </c>
      <c r="B17" s="46" t="inlineStr">
        <is>
          <t>carlos</t>
        </is>
      </c>
      <c r="C17" s="46" t="inlineStr">
        <is>
          <t>Sócios</t>
        </is>
      </c>
      <c r="D17" s="46" t="inlineStr">
        <is>
          <t>Reportado</t>
        </is>
      </c>
      <c r="E17" s="46">
        <f>INDEX(Nodes!$B$2:$B$97,MATCH(A17,Nodes!$A$2:$A$97,0))</f>
        <v/>
      </c>
      <c r="F17" s="46">
        <f>INDEX(Nodes!$B$2:$B$97,MATCH(B17,Nodes!$A$2:$A$97,0))</f>
        <v/>
      </c>
    </row>
    <row r="18" ht="15" customHeight="1" s="26">
      <c r="A18" s="46" t="inlineStr">
        <is>
          <t>flavio</t>
        </is>
      </c>
      <c r="B18" s="46" t="inlineStr">
        <is>
          <t>carlos</t>
        </is>
      </c>
      <c r="C18" s="46" t="inlineStr">
        <is>
          <t>Irmãos</t>
        </is>
      </c>
      <c r="D18" s="46" t="inlineStr">
        <is>
          <t>Reportado</t>
        </is>
      </c>
      <c r="E18" s="46">
        <f>INDEX(Nodes!$B$2:$B$97,MATCH(A18,Nodes!$A$2:$A$97,0))</f>
        <v/>
      </c>
      <c r="F18" s="46">
        <f>INDEX(Nodes!$B$2:$B$97,MATCH(B18,Nodes!$A$2:$A$97,0))</f>
        <v/>
      </c>
    </row>
    <row r="19" ht="15" customHeight="1" s="26">
      <c r="A19" s="46" t="inlineStr">
        <is>
          <t>willer</t>
        </is>
      </c>
      <c r="B19" s="46" t="inlineStr">
        <is>
          <t>escw</t>
        </is>
      </c>
      <c r="C19" s="46" t="inlineStr">
        <is>
          <t>PF fez buscas e achou dinheiro em livros-cofre</t>
        </is>
      </c>
      <c r="D19" s="46" t="inlineStr">
        <is>
          <t>Reportado</t>
        </is>
      </c>
      <c r="E19" s="46">
        <f>INDEX(Nodes!$B$2:$B$97,MATCH(A19,Nodes!$A$2:$A$97,0))</f>
        <v/>
      </c>
      <c r="F19" s="46">
        <f>INDEX(Nodes!$B$2:$B$97,MATCH(B19,Nodes!$A$2:$A$97,0))</f>
        <v/>
      </c>
    </row>
    <row r="20" ht="15" customHeight="1" s="26">
      <c r="A20" s="46" t="inlineStr">
        <is>
          <t>willer</t>
        </is>
      </c>
      <c r="B20" s="46" t="inlineStr">
        <is>
          <t>bets</t>
        </is>
      </c>
      <c r="C20" s="46" t="inlineStr">
        <is>
          <t>Movimentou ~R$ 5 bi em apostas</t>
        </is>
      </c>
      <c r="D20" s="46" t="inlineStr">
        <is>
          <t>Reportado</t>
        </is>
      </c>
      <c r="E20" s="46">
        <f>INDEX(Nodes!$B$2:$B$97,MATCH(A20,Nodes!$A$2:$A$97,0))</f>
        <v/>
      </c>
      <c r="F20" s="46">
        <f>INDEX(Nodes!$B$2:$B$97,MATCH(B20,Nodes!$A$2:$A$97,0))</f>
        <v/>
      </c>
    </row>
    <row r="21" ht="15" customHeight="1" s="26">
      <c r="A21" s="46" t="inlineStr">
        <is>
          <t>willer</t>
        </is>
      </c>
      <c r="B21" s="46" t="inlineStr">
        <is>
          <t>lidia</t>
        </is>
      </c>
      <c r="C21" s="46" t="inlineStr">
        <is>
          <t>Ela comanda 14 empresas ligadas a ele</t>
        </is>
      </c>
      <c r="D21" s="46" t="inlineStr">
        <is>
          <t>Reportado</t>
        </is>
      </c>
      <c r="E21" s="46">
        <f>INDEX(Nodes!$B$2:$B$97,MATCH(A21,Nodes!$A$2:$A$97,0))</f>
        <v/>
      </c>
      <c r="F21" s="46">
        <f>INDEX(Nodes!$B$2:$B$97,MATCH(B21,Nodes!$A$2:$A$97,0))</f>
        <v/>
      </c>
    </row>
    <row r="22" ht="15" customHeight="1" s="26">
      <c r="A22" s="46" t="inlineStr">
        <is>
          <t>lidia</t>
        </is>
      </c>
      <c r="B22" s="46" t="inlineStr">
        <is>
          <t>wt</t>
        </is>
      </c>
      <c r="C22" s="46" t="inlineStr">
        <is>
          <t>Aparece à frente da WT</t>
        </is>
      </c>
      <c r="D22" s="46" t="inlineStr">
        <is>
          <t>Reportado</t>
        </is>
      </c>
      <c r="E22" s="46">
        <f>INDEX(Nodes!$B$2:$B$97,MATCH(A22,Nodes!$A$2:$A$97,0))</f>
        <v/>
      </c>
      <c r="F22" s="46">
        <f>INDEX(Nodes!$B$2:$B$97,MATCH(B22,Nodes!$A$2:$A$97,0))</f>
        <v/>
      </c>
    </row>
    <row r="23" ht="15" customHeight="1" s="26">
      <c r="A23" s="46" t="inlineStr">
        <is>
          <t>willer</t>
        </is>
      </c>
      <c r="B23" s="46" t="inlineStr">
        <is>
          <t>alcazar</t>
        </is>
      </c>
      <c r="C23" s="46" t="inlineStr">
        <is>
          <t>Empresa ligada a ele</t>
        </is>
      </c>
      <c r="D23" s="46" t="inlineStr">
        <is>
          <t>Reportado</t>
        </is>
      </c>
      <c r="E23" s="46">
        <f>INDEX(Nodes!$B$2:$B$97,MATCH(A23,Nodes!$A$2:$A$97,0))</f>
        <v/>
      </c>
      <c r="F23" s="46">
        <f>INDEX(Nodes!$B$2:$B$97,MATCH(B23,Nodes!$A$2:$A$97,0))</f>
        <v/>
      </c>
    </row>
    <row r="24" ht="15" customHeight="1" s="26">
      <c r="A24" s="46" t="inlineStr">
        <is>
          <t>alcazar</t>
        </is>
      </c>
      <c r="B24" s="46" t="inlineStr">
        <is>
          <t>santander</t>
        </is>
      </c>
      <c r="C24" s="46" t="inlineStr">
        <is>
          <t>Conta bancária</t>
        </is>
      </c>
      <c r="D24" s="46" t="inlineStr">
        <is>
          <t>Reportado</t>
        </is>
      </c>
      <c r="E24" s="46">
        <f>INDEX(Nodes!$B$2:$B$97,MATCH(A24,Nodes!$A$2:$A$97,0))</f>
        <v/>
      </c>
      <c r="F24" s="46">
        <f>INDEX(Nodes!$B$2:$B$97,MATCH(B24,Nodes!$A$2:$A$97,0))</f>
        <v/>
      </c>
    </row>
    <row r="25" ht="15" customHeight="1" s="26">
      <c r="A25" s="46" t="inlineStr">
        <is>
          <t>santander</t>
        </is>
      </c>
      <c r="B25" s="46" t="inlineStr">
        <is>
          <t>flavio</t>
        </is>
      </c>
      <c r="C25" s="46" t="inlineStr">
        <is>
          <t>PF/piauí: Flávio era “usuário master” da conta da Alcazar; e-mail de 22/05/2025 pediu a exclusão dele. Ele nega ter tido acesso</t>
        </is>
      </c>
      <c r="D25" s="46" t="inlineStr">
        <is>
          <t>Alegado ou contestado</t>
        </is>
      </c>
      <c r="E25" s="46">
        <f>INDEX(Nodes!$B$2:$B$97,MATCH(A25,Nodes!$A$2:$A$97,0))</f>
        <v/>
      </c>
      <c r="F25" s="46">
        <f>INDEX(Nodes!$B$2:$B$97,MATCH(B25,Nodes!$A$2:$A$97,0))</f>
        <v/>
      </c>
    </row>
    <row r="26" ht="15" customHeight="1" s="26">
      <c r="A26" s="46" t="inlineStr">
        <is>
          <t>alcazar</t>
        </is>
      </c>
      <c r="B26" s="46" t="inlineStr">
        <is>
          <t>flavio</t>
        </is>
      </c>
      <c r="C26" s="46" t="inlineStr">
        <is>
          <t>PF levanta hipótese de sócio de fato; ele nega</t>
        </is>
      </c>
      <c r="D26" s="46" t="inlineStr">
        <is>
          <t>Alegado ou contestado</t>
        </is>
      </c>
      <c r="E26" s="46">
        <f>INDEX(Nodes!$B$2:$B$97,MATCH(A26,Nodes!$A$2:$A$97,0))</f>
        <v/>
      </c>
      <c r="F26" s="46">
        <f>INDEX(Nodes!$B$2:$B$97,MATCH(B26,Nodes!$A$2:$A$97,0))</f>
        <v/>
      </c>
    </row>
    <row r="27" ht="15" customHeight="1" s="26">
      <c r="A27" s="46" t="inlineStr">
        <is>
          <t>willer</t>
        </is>
      </c>
      <c r="B27" s="46" t="inlineStr">
        <is>
          <t>flavio</t>
        </is>
      </c>
      <c r="C27" s="46" t="inlineStr">
        <is>
          <t>Amigo; viagens juntos; PF vê algo além da amizade</t>
        </is>
      </c>
      <c r="D27" s="46" t="inlineStr">
        <is>
          <t>Alegado ou contestado</t>
        </is>
      </c>
      <c r="E27" s="46">
        <f>INDEX(Nodes!$B$2:$B$97,MATCH(A27,Nodes!$A$2:$A$97,0))</f>
        <v/>
      </c>
      <c r="F27" s="46">
        <f>INDEX(Nodes!$B$2:$B$97,MATCH(B27,Nodes!$A$2:$A$97,0))</f>
        <v/>
      </c>
    </row>
    <row r="28" ht="15" customHeight="1" s="26">
      <c r="A28" s="46" t="inlineStr">
        <is>
          <t>cpi</t>
        </is>
      </c>
      <c r="B28" s="46" t="inlineStr">
        <is>
          <t>willer</t>
        </is>
      </c>
      <c r="C28" s="46" t="inlineStr">
        <is>
          <t>Citado na Covaxin; quebra de sigilo cancelada</t>
        </is>
      </c>
      <c r="D28" s="46" t="inlineStr">
        <is>
          <t>Reportado</t>
        </is>
      </c>
      <c r="E28" s="46">
        <f>INDEX(Nodes!$B$2:$B$97,MATCH(A28,Nodes!$A$2:$A$97,0))</f>
        <v/>
      </c>
      <c r="F28" s="46">
        <f>INDEX(Nodes!$B$2:$B$97,MATCH(B28,Nodes!$A$2:$A$97,0))</f>
        <v/>
      </c>
    </row>
    <row r="29" ht="15" customHeight="1" s="26">
      <c r="A29" s="46" t="inlineStr">
        <is>
          <t>renan</t>
        </is>
      </c>
      <c r="B29" s="46" t="inlineStr">
        <is>
          <t>cpi</t>
        </is>
      </c>
      <c r="C29" s="46" t="inlineStr">
        <is>
          <t>Relator</t>
        </is>
      </c>
      <c r="D29" s="46" t="inlineStr">
        <is>
          <t>Reportado</t>
        </is>
      </c>
      <c r="E29" s="46">
        <f>INDEX(Nodes!$B$2:$B$97,MATCH(A29,Nodes!$A$2:$A$97,0))</f>
        <v/>
      </c>
      <c r="F29" s="46">
        <f>INDEX(Nodes!$B$2:$B$97,MATCH(B29,Nodes!$A$2:$A$97,0))</f>
        <v/>
      </c>
    </row>
    <row r="30" ht="15" customHeight="1" s="26">
      <c r="A30" s="46" t="inlineStr">
        <is>
          <t>cpi</t>
        </is>
      </c>
      <c r="B30" s="46" t="inlineStr">
        <is>
          <t>flavio</t>
        </is>
      </c>
      <c r="C30" s="46" t="inlineStr">
        <is>
          <t>Reagiu contra a quebra do sigilo</t>
        </is>
      </c>
      <c r="D30" s="46" t="inlineStr">
        <is>
          <t>Reportado</t>
        </is>
      </c>
      <c r="E30" s="46">
        <f>INDEX(Nodes!$B$2:$B$97,MATCH(A30,Nodes!$A$2:$A$97,0))</f>
        <v/>
      </c>
      <c r="F30" s="46">
        <f>INDEX(Nodes!$B$2:$B$97,MATCH(B30,Nodes!$A$2:$A$97,0))</f>
        <v/>
      </c>
    </row>
    <row r="31" ht="15" customHeight="1" s="26">
      <c r="A31" s="46" t="inlineStr">
        <is>
          <t>willer</t>
        </is>
      </c>
      <c r="B31" s="46" t="inlineStr">
        <is>
          <t>wassef</t>
        </is>
      </c>
      <c r="C31" s="46" t="inlineStr">
        <is>
          <t>Trio “WWF” com Flávio</t>
        </is>
      </c>
      <c r="D31" s="46" t="inlineStr">
        <is>
          <t>Reportado</t>
        </is>
      </c>
      <c r="E31" s="46">
        <f>INDEX(Nodes!$B$2:$B$97,MATCH(A31,Nodes!$A$2:$A$97,0))</f>
        <v/>
      </c>
      <c r="F31" s="46">
        <f>INDEX(Nodes!$B$2:$B$97,MATCH(B31,Nodes!$A$2:$A$97,0))</f>
        <v/>
      </c>
    </row>
    <row r="32" ht="15" customHeight="1" s="26">
      <c r="A32" s="46" t="inlineStr">
        <is>
          <t>wassef</t>
        </is>
      </c>
      <c r="B32" s="46" t="inlineStr">
        <is>
          <t>flavio</t>
        </is>
      </c>
      <c r="C32" s="46" t="inlineStr">
        <is>
          <t>Advogado da família; trio “WWF”</t>
        </is>
      </c>
      <c r="D32" s="46" t="inlineStr">
        <is>
          <t>Reportado</t>
        </is>
      </c>
      <c r="E32" s="46">
        <f>INDEX(Nodes!$B$2:$B$97,MATCH(A32,Nodes!$A$2:$A$97,0))</f>
        <v/>
      </c>
      <c r="F32" s="46">
        <f>INDEX(Nodes!$B$2:$B$97,MATCH(B32,Nodes!$A$2:$A$97,0))</f>
        <v/>
      </c>
    </row>
    <row r="33" ht="15" customHeight="1" s="26">
      <c r="A33" s="46" t="inlineStr">
        <is>
          <t>willer</t>
        </is>
      </c>
      <c r="B33" s="46" t="inlineStr">
        <is>
          <t>nunes</t>
        </is>
      </c>
      <c r="C33" s="46" t="inlineStr">
        <is>
          <t>Teria respaldado a indicação ao STF (2020)</t>
        </is>
      </c>
      <c r="D33" s="46" t="inlineStr">
        <is>
          <t>Alegado ou contestado</t>
        </is>
      </c>
      <c r="E33" s="46">
        <f>INDEX(Nodes!$B$2:$B$97,MATCH(A33,Nodes!$A$2:$A$97,0))</f>
        <v/>
      </c>
      <c r="F33" s="46">
        <f>INDEX(Nodes!$B$2:$B$97,MATCH(B33,Nodes!$A$2:$A$97,0))</f>
        <v/>
      </c>
    </row>
    <row r="34" ht="15" customHeight="1" s="26">
      <c r="A34" s="46" t="inlineStr">
        <is>
          <t>wassef</t>
        </is>
      </c>
      <c r="B34" s="46" t="inlineStr">
        <is>
          <t>nunes</t>
        </is>
      </c>
      <c r="C34" s="46" t="inlineStr">
        <is>
          <t>Teria respaldado a indicação ao STF (2020)</t>
        </is>
      </c>
      <c r="D34" s="46" t="inlineStr">
        <is>
          <t>Alegado ou contestado</t>
        </is>
      </c>
      <c r="E34" s="46">
        <f>INDEX(Nodes!$B$2:$B$97,MATCH(A34,Nodes!$A$2:$A$97,0))</f>
        <v/>
      </c>
      <c r="F34" s="46">
        <f>INDEX(Nodes!$B$2:$B$97,MATCH(B34,Nodes!$A$2:$A$97,0))</f>
        <v/>
      </c>
    </row>
    <row r="35" ht="23.25" customHeight="1" s="26">
      <c r="A35" s="46" t="inlineStr">
        <is>
          <t>flavio</t>
        </is>
      </c>
      <c r="B35" s="46" t="inlineStr">
        <is>
          <t>nunes</t>
        </is>
      </c>
      <c r="C35" s="46" t="inlineStr">
        <is>
          <t>Teria sugerido o nome ao presidente (Folha, 2020); Nunes nega participação do trio</t>
        </is>
      </c>
      <c r="D35" s="46" t="inlineStr">
        <is>
          <t>Alegado ou contestado</t>
        </is>
      </c>
      <c r="E35" s="46">
        <f>INDEX(Nodes!$B$2:$B$97,MATCH(A35,Nodes!$A$2:$A$97,0))</f>
        <v/>
      </c>
      <c r="F35" s="46">
        <f>INDEX(Nodes!$B$2:$B$97,MATCH(B35,Nodes!$A$2:$A$97,0))</f>
        <v/>
      </c>
    </row>
    <row r="36" ht="15" customHeight="1" s="26">
      <c r="A36" s="46" t="inlineStr">
        <is>
          <t>jair</t>
        </is>
      </c>
      <c r="B36" s="46" t="inlineStr">
        <is>
          <t>nunes</t>
        </is>
      </c>
      <c r="C36" s="46" t="inlineStr">
        <is>
          <t>Indicou ao STF em 2020</t>
        </is>
      </c>
      <c r="D36" s="46" t="inlineStr">
        <is>
          <t>Reportado</t>
        </is>
      </c>
      <c r="E36" s="46">
        <f>INDEX(Nodes!$B$2:$B$97,MATCH(A36,Nodes!$A$2:$A$97,0))</f>
        <v/>
      </c>
      <c r="F36" s="46">
        <f>INDEX(Nodes!$B$2:$B$97,MATCH(B36,Nodes!$A$2:$A$97,0))</f>
        <v/>
      </c>
    </row>
    <row r="37" ht="15" customHeight="1" s="26">
      <c r="A37" s="46" t="inlineStr">
        <is>
          <t>willer</t>
        </is>
      </c>
      <c r="B37" s="46" t="inlineStr">
        <is>
          <t>angra</t>
        </is>
      </c>
      <c r="C37" s="46" t="inlineStr">
        <is>
          <t>Mansão ficou com a empresa dele (WT)</t>
        </is>
      </c>
      <c r="D37" s="46" t="inlineStr">
        <is>
          <t>Reportado</t>
        </is>
      </c>
      <c r="E37" s="46">
        <f>INDEX(Nodes!$B$2:$B$97,MATCH(A37,Nodes!$A$2:$A$97,0))</f>
        <v/>
      </c>
      <c r="F37" s="46">
        <f>INDEX(Nodes!$B$2:$B$97,MATCH(B37,Nodes!$A$2:$A$97,0))</f>
        <v/>
      </c>
    </row>
    <row r="38" ht="15" customHeight="1" s="26">
      <c r="A38" s="46" t="inlineStr">
        <is>
          <t>alcazar</t>
        </is>
      </c>
      <c r="B38" s="46" t="inlineStr">
        <is>
          <t>jato</t>
        </is>
      </c>
      <c r="C38" s="46" t="inlineStr">
        <is>
          <t>Cotista</t>
        </is>
      </c>
      <c r="D38" s="46" t="inlineStr">
        <is>
          <t>Reportado</t>
        </is>
      </c>
      <c r="E38" s="46">
        <f>INDEX(Nodes!$B$2:$B$97,MATCH(A38,Nodes!$A$2:$A$97,0))</f>
        <v/>
      </c>
      <c r="F38" s="46">
        <f>INDEX(Nodes!$B$2:$B$97,MATCH(B38,Nodes!$A$2:$A$97,0))</f>
        <v/>
      </c>
    </row>
    <row r="39" ht="15" customHeight="1" s="26">
      <c r="A39" s="46" t="inlineStr">
        <is>
          <t>primeu</t>
        </is>
      </c>
      <c r="B39" s="46" t="inlineStr">
        <is>
          <t>jato</t>
        </is>
      </c>
      <c r="C39" s="46" t="inlineStr">
        <is>
          <t>Cotista</t>
        </is>
      </c>
      <c r="D39" s="46" t="inlineStr">
        <is>
          <t>Reportado</t>
        </is>
      </c>
      <c r="E39" s="46">
        <f>INDEX(Nodes!$B$2:$B$97,MATCH(A39,Nodes!$A$2:$A$97,0))</f>
        <v/>
      </c>
      <c r="F39" s="46">
        <f>INDEX(Nodes!$B$2:$B$97,MATCH(B39,Nodes!$A$2:$A$97,0))</f>
        <v/>
      </c>
    </row>
    <row r="40" ht="15" customHeight="1" s="26">
      <c r="A40" s="46" t="inlineStr">
        <is>
          <t>flavio</t>
        </is>
      </c>
      <c r="B40" s="46" t="inlineStr">
        <is>
          <t>jato</t>
        </is>
      </c>
      <c r="C40" s="46" t="inlineStr">
        <is>
          <t>Voou em jan/2025</t>
        </is>
      </c>
      <c r="D40" s="46" t="inlineStr">
        <is>
          <t>Reportado</t>
        </is>
      </c>
      <c r="E40" s="46">
        <f>INDEX(Nodes!$B$2:$B$97,MATCH(A40,Nodes!$A$2:$A$97,0))</f>
        <v/>
      </c>
      <c r="F40" s="46">
        <f>INDEX(Nodes!$B$2:$B$97,MATCH(B40,Nodes!$A$2:$A$97,0))</f>
        <v/>
      </c>
    </row>
    <row r="41" ht="15" customHeight="1" s="26">
      <c r="A41" s="46" t="inlineStr">
        <is>
          <t>vorcaro</t>
        </is>
      </c>
      <c r="B41" s="46" t="inlineStr">
        <is>
          <t>jato</t>
        </is>
      </c>
      <c r="C41" s="46" t="inlineStr">
        <is>
          <t>Sócio da Prime U, cotista do jato (ligação indireta)</t>
        </is>
      </c>
      <c r="D41" s="46" t="inlineStr">
        <is>
          <t>Reportado</t>
        </is>
      </c>
      <c r="E41" s="46">
        <f>INDEX(Nodes!$B$2:$B$97,MATCH(A41,Nodes!$A$2:$A$97,0))</f>
        <v/>
      </c>
      <c r="F41" s="46">
        <f>INDEX(Nodes!$B$2:$B$97,MATCH(B41,Nodes!$A$2:$A$97,0))</f>
        <v/>
      </c>
    </row>
    <row r="42" ht="15" customHeight="1" s="26">
      <c r="A42" s="46" t="inlineStr">
        <is>
          <t>willer</t>
        </is>
      </c>
      <c r="B42" s="46" t="inlineStr">
        <is>
          <t>jato</t>
        </is>
      </c>
      <c r="C42" s="46" t="inlineStr">
        <is>
          <t>Voou junto</t>
        </is>
      </c>
      <c r="D42" s="46" t="inlineStr">
        <is>
          <t>Reportado</t>
        </is>
      </c>
      <c r="E42" s="46">
        <f>INDEX(Nodes!$B$2:$B$97,MATCH(A42,Nodes!$A$2:$A$97,0))</f>
        <v/>
      </c>
      <c r="F42" s="46">
        <f>INDEX(Nodes!$B$2:$B$97,MATCH(B42,Nodes!$A$2:$A$97,0))</f>
        <v/>
      </c>
    </row>
    <row r="43" ht="15" customHeight="1" s="26">
      <c r="A43" s="46" t="inlineStr">
        <is>
          <t>fam</t>
        </is>
      </c>
      <c r="B43" s="46" t="inlineStr">
        <is>
          <t>jato</t>
        </is>
      </c>
      <c r="C43" s="46" t="inlineStr">
        <is>
          <t>Voou em jan/2025</t>
        </is>
      </c>
      <c r="D43" s="46" t="inlineStr">
        <is>
          <t>Reportado</t>
        </is>
      </c>
      <c r="E43" s="46">
        <f>INDEX(Nodes!$B$2:$B$97,MATCH(A43,Nodes!$A$2:$A$97,0))</f>
        <v/>
      </c>
      <c r="F43" s="46">
        <f>INDEX(Nodes!$B$2:$B$97,MATCH(B43,Nodes!$A$2:$A$97,0))</f>
        <v/>
      </c>
    </row>
    <row r="44" ht="15" customHeight="1" s="26">
      <c r="A44" s="46" t="inlineStr">
        <is>
          <t>flavio</t>
        </is>
      </c>
      <c r="B44" s="46" t="inlineStr">
        <is>
          <t>fam</t>
        </is>
      </c>
      <c r="C44" s="46" t="inlineStr">
        <is>
          <t>Família</t>
        </is>
      </c>
      <c r="D44" s="46" t="inlineStr">
        <is>
          <t>Reportado</t>
        </is>
      </c>
      <c r="E44" s="46">
        <f>INDEX(Nodes!$B$2:$B$97,MATCH(A44,Nodes!$A$2:$A$97,0))</f>
        <v/>
      </c>
      <c r="F44" s="46">
        <f>INDEX(Nodes!$B$2:$B$97,MATCH(B44,Nodes!$A$2:$A$97,0))</f>
        <v/>
      </c>
    </row>
    <row r="45" ht="15" customHeight="1" s="26">
      <c r="A45" s="46" t="inlineStr">
        <is>
          <t>vorcaro</t>
        </is>
      </c>
      <c r="B45" s="46" t="inlineStr">
        <is>
          <t>primeu</t>
        </is>
      </c>
      <c r="C45" s="46" t="inlineStr">
        <is>
          <t>Sócio</t>
        </is>
      </c>
      <c r="D45" s="46" t="inlineStr">
        <is>
          <t>Reportado</t>
        </is>
      </c>
      <c r="E45" s="46">
        <f>INDEX(Nodes!$B$2:$B$97,MATCH(A45,Nodes!$A$2:$A$97,0))</f>
        <v/>
      </c>
      <c r="F45" s="46">
        <f>INDEX(Nodes!$B$2:$B$97,MATCH(B45,Nodes!$A$2:$A$97,0))</f>
        <v/>
      </c>
    </row>
    <row r="46" ht="15" customHeight="1" s="26">
      <c r="A46" s="46" t="inlineStr">
        <is>
          <t>primeu</t>
        </is>
      </c>
      <c r="B46" s="46" t="inlineStr">
        <is>
          <t>mulheres</t>
        </is>
      </c>
      <c r="C46" s="46" t="inlineStr">
        <is>
          <t>Passagens e hotéis delas faturados à Prime U</t>
        </is>
      </c>
      <c r="D46" s="46" t="inlineStr">
        <is>
          <t>Reportado</t>
        </is>
      </c>
      <c r="E46" s="46">
        <f>INDEX(Nodes!$B$2:$B$97,MATCH(A46,Nodes!$A$2:$A$97,0))</f>
        <v/>
      </c>
      <c r="F46" s="46">
        <f>INDEX(Nodes!$B$2:$B$97,MATCH(B46,Nodes!$A$2:$A$97,0))</f>
        <v/>
      </c>
    </row>
    <row r="47" ht="15" customHeight="1" s="26">
      <c r="A47" s="46" t="inlineStr">
        <is>
          <t>primeu</t>
        </is>
      </c>
      <c r="B47" s="46" t="inlineStr">
        <is>
          <t>angra</t>
        </is>
      </c>
      <c r="C47" s="46" t="inlineStr">
        <is>
          <t>Administrava a mansão</t>
        </is>
      </c>
      <c r="D47" s="46" t="inlineStr">
        <is>
          <t>Reportado</t>
        </is>
      </c>
      <c r="E47" s="46">
        <f>INDEX(Nodes!$B$2:$B$97,MATCH(A47,Nodes!$A$2:$A$97,0))</f>
        <v/>
      </c>
      <c r="F47" s="46">
        <f>INDEX(Nodes!$B$2:$B$97,MATCH(B47,Nodes!$A$2:$A$97,0))</f>
        <v/>
      </c>
    </row>
    <row r="48" ht="15" customHeight="1" s="26">
      <c r="A48" s="46" t="inlineStr">
        <is>
          <t>vorcaro</t>
        </is>
      </c>
      <c r="B48" s="46" t="inlineStr">
        <is>
          <t>luri</t>
        </is>
      </c>
      <c r="C48" s="46" t="inlineStr">
        <is>
          <t>Negociou comprar metade</t>
        </is>
      </c>
      <c r="D48" s="46" t="inlineStr">
        <is>
          <t>Reportado</t>
        </is>
      </c>
      <c r="E48" s="46">
        <f>INDEX(Nodes!$B$2:$B$97,MATCH(A48,Nodes!$A$2:$A$97,0))</f>
        <v/>
      </c>
      <c r="F48" s="46">
        <f>INDEX(Nodes!$B$2:$B$97,MATCH(B48,Nodes!$A$2:$A$97,0))</f>
        <v/>
      </c>
    </row>
    <row r="49" ht="15" customHeight="1" s="26">
      <c r="A49" s="46" t="inlineStr">
        <is>
          <t>vorcaro</t>
        </is>
      </c>
      <c r="B49" s="46" t="inlineStr">
        <is>
          <t>triplex</t>
        </is>
      </c>
      <c r="C49" s="46" t="inlineStr">
        <is>
          <t>Festas no triplex</t>
        </is>
      </c>
      <c r="D49" s="46" t="inlineStr">
        <is>
          <t>Reportado</t>
        </is>
      </c>
      <c r="E49" s="46">
        <f>INDEX(Nodes!$B$2:$B$97,MATCH(A49,Nodes!$A$2:$A$97,0))</f>
        <v/>
      </c>
      <c r="F49" s="46">
        <f>INDEX(Nodes!$B$2:$B$97,MATCH(B49,Nodes!$A$2:$A$97,0))</f>
        <v/>
      </c>
    </row>
    <row r="50" ht="15" customHeight="1" s="26">
      <c r="A50" s="46" t="inlineStr">
        <is>
          <t>vorcaro</t>
        </is>
      </c>
      <c r="B50" s="46" t="inlineStr">
        <is>
          <t>master</t>
        </is>
      </c>
      <c r="C50" s="46" t="inlineStr">
        <is>
          <t>Dono</t>
        </is>
      </c>
      <c r="D50" s="46" t="inlineStr">
        <is>
          <t>Reportado</t>
        </is>
      </c>
      <c r="E50" s="46">
        <f>INDEX(Nodes!$B$2:$B$97,MATCH(A50,Nodes!$A$2:$A$97,0))</f>
        <v/>
      </c>
      <c r="F50" s="46">
        <f>INDEX(Nodes!$B$2:$B$97,MATCH(B50,Nodes!$A$2:$A$97,0))</f>
        <v/>
      </c>
    </row>
    <row r="51" ht="15" customHeight="1" s="26">
      <c r="A51" s="46" t="inlineStr">
        <is>
          <t>vorcaro</t>
        </is>
      </c>
      <c r="B51" s="46" t="inlineStr">
        <is>
          <t>zetel</t>
        </is>
      </c>
      <c r="C51" s="46" t="inlineStr">
        <is>
          <t>Cunhado</t>
        </is>
      </c>
      <c r="D51" s="46" t="inlineStr">
        <is>
          <t>Reportado</t>
        </is>
      </c>
      <c r="E51" s="46">
        <f>INDEX(Nodes!$B$2:$B$97,MATCH(A51,Nodes!$A$2:$A$97,0))</f>
        <v/>
      </c>
      <c r="F51" s="46">
        <f>INDEX(Nodes!$B$2:$B$97,MATCH(B51,Nodes!$A$2:$A$97,0))</f>
        <v/>
      </c>
    </row>
    <row r="52" ht="15" customHeight="1" s="26">
      <c r="A52" s="46" t="inlineStr">
        <is>
          <t>zetel</t>
        </is>
      </c>
      <c r="B52" s="46" t="inlineStr">
        <is>
          <t>aptosp</t>
        </is>
      </c>
      <c r="C52" s="46" t="inlineStr">
        <is>
          <t>Vendeu à WT por R$ 2 mi a menos</t>
        </is>
      </c>
      <c r="D52" s="46" t="inlineStr">
        <is>
          <t>Reportado</t>
        </is>
      </c>
      <c r="E52" s="46">
        <f>INDEX(Nodes!$B$2:$B$97,MATCH(A52,Nodes!$A$2:$A$97,0))</f>
        <v/>
      </c>
      <c r="F52" s="46">
        <f>INDEX(Nodes!$B$2:$B$97,MATCH(B52,Nodes!$A$2:$A$97,0))</f>
        <v/>
      </c>
    </row>
    <row r="53" ht="15" customHeight="1" s="26">
      <c r="A53" s="46" t="inlineStr">
        <is>
          <t>wt</t>
        </is>
      </c>
      <c r="B53" s="46" t="inlineStr">
        <is>
          <t>aptosp</t>
        </is>
      </c>
      <c r="C53" s="46" t="inlineStr">
        <is>
          <t>Compradora</t>
        </is>
      </c>
      <c r="D53" s="46" t="inlineStr">
        <is>
          <t>Reportado</t>
        </is>
      </c>
      <c r="E53" s="46">
        <f>INDEX(Nodes!$B$2:$B$97,MATCH(A53,Nodes!$A$2:$A$97,0))</f>
        <v/>
      </c>
      <c r="F53" s="46">
        <f>INDEX(Nodes!$B$2:$B$97,MATCH(B53,Nodes!$A$2:$A$97,0))</f>
        <v/>
      </c>
    </row>
    <row r="54" ht="15" customHeight="1" s="26">
      <c r="A54" s="46" t="inlineStr">
        <is>
          <t>wt</t>
        </is>
      </c>
      <c r="B54" s="46" t="inlineStr">
        <is>
          <t>angra</t>
        </is>
      </c>
      <c r="C54" s="46" t="inlineStr">
        <is>
          <t>Dona</t>
        </is>
      </c>
      <c r="D54" s="46" t="inlineStr">
        <is>
          <t>Reportado</t>
        </is>
      </c>
      <c r="E54" s="46">
        <f>INDEX(Nodes!$B$2:$B$97,MATCH(A54,Nodes!$A$2:$A$97,0))</f>
        <v/>
      </c>
      <c r="F54" s="46">
        <f>INDEX(Nodes!$B$2:$B$97,MATCH(B54,Nodes!$A$2:$A$97,0))</f>
        <v/>
      </c>
    </row>
    <row r="55" ht="15" customHeight="1" s="26">
      <c r="A55" s="46" t="inlineStr">
        <is>
          <t>angra</t>
        </is>
      </c>
      <c r="B55" s="46" t="inlineStr">
        <is>
          <t>richarlison</t>
        </is>
      </c>
      <c r="C55" s="46" t="inlineStr">
        <is>
          <t>Investiu ~R$ 10 mi e perdeu a casa na Justiça</t>
        </is>
      </c>
      <c r="D55" s="46" t="inlineStr">
        <is>
          <t>Reportado</t>
        </is>
      </c>
      <c r="E55" s="46">
        <f>INDEX(Nodes!$B$2:$B$97,MATCH(A55,Nodes!$A$2:$A$97,0))</f>
        <v/>
      </c>
      <c r="F55" s="46">
        <f>INDEX(Nodes!$B$2:$B$97,MATCH(B55,Nodes!$A$2:$A$97,0))</f>
        <v/>
      </c>
    </row>
    <row r="56" ht="15" customHeight="1" s="26">
      <c r="A56" s="46" t="inlineStr">
        <is>
          <t>angra</t>
        </is>
      </c>
      <c r="B56" s="46" t="inlineStr">
        <is>
          <t>dono</t>
        </is>
      </c>
      <c r="C56" s="46" t="inlineStr">
        <is>
          <t>Antigo dono; ouviu Flávio chamar Willer de sócio</t>
        </is>
      </c>
      <c r="D56" s="46" t="inlineStr">
        <is>
          <t>Alegado ou contestado</t>
        </is>
      </c>
      <c r="E56" s="46">
        <f>INDEX(Nodes!$B$2:$B$97,MATCH(A56,Nodes!$A$2:$A$97,0))</f>
        <v/>
      </c>
      <c r="F56" s="46">
        <f>INDEX(Nodes!$B$2:$B$97,MATCH(B56,Nodes!$A$2:$A$97,0))</f>
        <v/>
      </c>
    </row>
    <row r="57" ht="15" customHeight="1" s="26">
      <c r="A57" s="46" t="inlineStr">
        <is>
          <t>flavio</t>
        </is>
      </c>
      <c r="B57" s="46" t="inlineStr">
        <is>
          <t>angra</t>
        </is>
      </c>
      <c r="C57" s="46" t="inlineStr">
        <is>
          <t>Aniversário da filha na mansão</t>
        </is>
      </c>
      <c r="D57" s="46" t="inlineStr">
        <is>
          <t>Reportado</t>
        </is>
      </c>
      <c r="E57" s="46">
        <f>INDEX(Nodes!$B$2:$B$97,MATCH(A57,Nodes!$A$2:$A$97,0))</f>
        <v/>
      </c>
      <c r="F57" s="46">
        <f>INDEX(Nodes!$B$2:$B$97,MATCH(B57,Nodes!$A$2:$A$97,0))</f>
        <v/>
      </c>
    </row>
    <row r="58" ht="15" customHeight="1" s="26">
      <c r="A58" s="46" t="inlineStr">
        <is>
          <t>flavio</t>
        </is>
      </c>
      <c r="B58" s="46" t="inlineStr">
        <is>
          <t>aptosp</t>
        </is>
      </c>
      <c r="C58" s="46" t="inlineStr">
        <is>
          <t>Usou na campanha</t>
        </is>
      </c>
      <c r="D58" s="46" t="inlineStr">
        <is>
          <t>Reportado</t>
        </is>
      </c>
      <c r="E58" s="46">
        <f>INDEX(Nodes!$B$2:$B$97,MATCH(A58,Nodes!$A$2:$A$97,0))</f>
        <v/>
      </c>
      <c r="F58" s="46">
        <f>INDEX(Nodes!$B$2:$B$97,MATCH(B58,Nodes!$A$2:$A$97,0))</f>
        <v/>
      </c>
    </row>
    <row r="59" ht="15" customHeight="1" s="26">
      <c r="A59" s="46" t="inlineStr">
        <is>
          <t>vorcaro</t>
        </is>
      </c>
      <c r="B59" s="46" t="inlineStr">
        <is>
          <t>flavio</t>
        </is>
      </c>
      <c r="C59" s="46" t="inlineStr">
        <is>
          <t>Mensagem na véspera da prisão: “Irmão, estou e estarei contigo sempre”</t>
        </is>
      </c>
      <c r="D59" s="46" t="inlineStr">
        <is>
          <t>Reportado</t>
        </is>
      </c>
      <c r="E59" s="46">
        <f>INDEX(Nodes!$B$2:$B$97,MATCH(A59,Nodes!$A$2:$A$97,0))</f>
        <v/>
      </c>
      <c r="F59" s="46">
        <f>INDEX(Nodes!$B$2:$B$97,MATCH(B59,Nodes!$A$2:$A$97,0))</f>
        <v/>
      </c>
    </row>
    <row r="60" ht="23.25" customHeight="1" s="26">
      <c r="A60" s="46" t="inlineStr">
        <is>
          <t>vorcaro</t>
        </is>
      </c>
      <c r="B60" s="46" t="inlineStr">
        <is>
          <t>flavio</t>
        </is>
      </c>
      <c r="C60" s="46" t="inlineStr">
        <is>
          <t>~US$ 24 mi negociados para o filme; Flávio cobrava parcelas por áudio e é investigado</t>
        </is>
      </c>
      <c r="D60" s="46" t="inlineStr">
        <is>
          <t>Alegado ou contestado</t>
        </is>
      </c>
      <c r="E60" s="46">
        <f>INDEX(Nodes!$B$2:$B$97,MATCH(A60,Nodes!$A$2:$A$97,0))</f>
        <v/>
      </c>
      <c r="F60" s="46">
        <f>INDEX(Nodes!$B$2:$B$97,MATCH(B60,Nodes!$A$2:$A$97,0))</f>
        <v/>
      </c>
    </row>
    <row r="61" ht="15" customHeight="1" s="26">
      <c r="A61" s="46" t="inlineStr">
        <is>
          <t>ong</t>
        </is>
      </c>
      <c r="B61" s="46" t="inlineStr">
        <is>
          <t>flavio</t>
        </is>
      </c>
      <c r="C61" s="46" t="inlineStr">
        <is>
          <t>Dinheiro do filme sobre o pai</t>
        </is>
      </c>
      <c r="D61" s="46" t="inlineStr">
        <is>
          <t>Alegado ou contestado</t>
        </is>
      </c>
      <c r="E61" s="46">
        <f>INDEX(Nodes!$B$2:$B$97,MATCH(A61,Nodes!$A$2:$A$97,0))</f>
        <v/>
      </c>
      <c r="F61" s="46">
        <f>INDEX(Nodes!$B$2:$B$97,MATCH(B61,Nodes!$A$2:$A$97,0))</f>
        <v/>
      </c>
    </row>
    <row r="62" ht="15" customHeight="1" s="26">
      <c r="A62" s="46" t="inlineStr">
        <is>
          <t>ong</t>
        </is>
      </c>
      <c r="B62" s="46" t="inlineStr">
        <is>
          <t>vorcaro</t>
        </is>
      </c>
      <c r="C62" s="46" t="inlineStr">
        <is>
          <t>Negociação de ~US$ 24 mi</t>
        </is>
      </c>
      <c r="D62" s="46" t="inlineStr">
        <is>
          <t>Alegado ou contestado</t>
        </is>
      </c>
      <c r="E62" s="46">
        <f>INDEX(Nodes!$B$2:$B$97,MATCH(A62,Nodes!$A$2:$A$97,0))</f>
        <v/>
      </c>
      <c r="F62" s="46">
        <f>INDEX(Nodes!$B$2:$B$97,MATCH(B62,Nodes!$A$2:$A$97,0))</f>
        <v/>
      </c>
    </row>
    <row r="63" ht="15" customHeight="1" s="26">
      <c r="A63" s="46" t="inlineStr">
        <is>
          <t>ong</t>
        </is>
      </c>
      <c r="B63" s="46" t="inlineStr">
        <is>
          <t>eletricista</t>
        </is>
      </c>
      <c r="C63" s="46" t="inlineStr">
        <is>
          <t>Tesoureiro de fachada</t>
        </is>
      </c>
      <c r="D63" s="46" t="inlineStr">
        <is>
          <t>Reportado</t>
        </is>
      </c>
      <c r="E63" s="46">
        <f>INDEX(Nodes!$B$2:$B$97,MATCH(A63,Nodes!$A$2:$A$97,0))</f>
        <v/>
      </c>
      <c r="F63" s="46">
        <f>INDEX(Nodes!$B$2:$B$97,MATCH(B63,Nodes!$A$2:$A$97,0))</f>
        <v/>
      </c>
    </row>
    <row r="64" ht="23.25" customHeight="1" s="26">
      <c r="A64" s="46" t="n"/>
      <c r="B64" s="46" t="n"/>
      <c r="C64" s="46" t="n"/>
      <c r="D64" s="46" t="n"/>
      <c r="E64" s="46" t="n"/>
      <c r="F64" s="46" t="n"/>
    </row>
    <row r="65" ht="15" customHeight="1" s="26">
      <c r="A65" s="46" t="inlineStr">
        <is>
          <t>triplex</t>
        </is>
      </c>
      <c r="B65" s="46" t="inlineStr">
        <is>
          <t>mulheres</t>
        </is>
      </c>
      <c r="C65" s="46" t="inlineStr">
        <is>
          <t>Mulheres nas festas</t>
        </is>
      </c>
      <c r="D65" s="46" t="inlineStr">
        <is>
          <t>Alegado ou contestado</t>
        </is>
      </c>
      <c r="E65" s="46">
        <f>INDEX(Nodes!$B$2:$B$97,MATCH(A65,Nodes!$A$2:$A$97,0))</f>
        <v/>
      </c>
      <c r="F65" s="46">
        <f>INDEX(Nodes!$B$2:$B$97,MATCH(B65,Nodes!$A$2:$A$97,0))</f>
        <v/>
      </c>
    </row>
    <row r="66" ht="15" customHeight="1" s="26">
      <c r="A66" s="46" t="inlineStr">
        <is>
          <t>luri</t>
        </is>
      </c>
      <c r="B66" s="46" t="inlineStr">
        <is>
          <t>mulheres</t>
        </is>
      </c>
      <c r="C66" s="46" t="inlineStr">
        <is>
          <t>Recrutava</t>
        </is>
      </c>
      <c r="D66" s="46" t="inlineStr">
        <is>
          <t>Alegado ou contestado</t>
        </is>
      </c>
      <c r="E66" s="46">
        <f>INDEX(Nodes!$B$2:$B$97,MATCH(A66,Nodes!$A$2:$A$97,0))</f>
        <v/>
      </c>
      <c r="F66" s="46">
        <f>INDEX(Nodes!$B$2:$B$97,MATCH(B66,Nodes!$A$2:$A$97,0))</f>
        <v/>
      </c>
    </row>
    <row r="67" ht="15" customHeight="1" s="26">
      <c r="A67" s="46" t="inlineStr">
        <is>
          <t>promoter</t>
        </is>
      </c>
      <c r="B67" s="46" t="inlineStr">
        <is>
          <t>mulheres</t>
        </is>
      </c>
      <c r="C67" s="46" t="inlineStr">
        <is>
          <t>Levava as mulheres</t>
        </is>
      </c>
      <c r="D67" s="46" t="inlineStr">
        <is>
          <t>Alegado ou contestado</t>
        </is>
      </c>
      <c r="E67" s="46">
        <f>INDEX(Nodes!$B$2:$B$97,MATCH(A67,Nodes!$A$2:$A$97,0))</f>
        <v/>
      </c>
      <c r="F67" s="46">
        <f>INDEX(Nodes!$B$2:$B$97,MATCH(B67,Nodes!$A$2:$A$97,0))</f>
        <v/>
      </c>
    </row>
    <row r="68" ht="15" customHeight="1" s="26">
      <c r="A68" s="46" t="inlineStr">
        <is>
          <t>promoter</t>
        </is>
      </c>
      <c r="B68" s="46" t="inlineStr">
        <is>
          <t>vorcaro</t>
        </is>
      </c>
      <c r="C68" s="46" t="inlineStr">
        <is>
          <t>Pago pelo banqueiro (valor mensal impreciso na transcrição)</t>
        </is>
      </c>
      <c r="D68" s="46" t="inlineStr">
        <is>
          <t>Alegado ou contestado</t>
        </is>
      </c>
      <c r="E68" s="46">
        <f>INDEX(Nodes!$B$2:$B$97,MATCH(A68,Nodes!$A$2:$A$97,0))</f>
        <v/>
      </c>
      <c r="F68" s="46">
        <f>INDEX(Nodes!$B$2:$B$97,MATCH(B68,Nodes!$A$2:$A$97,0))</f>
        <v/>
      </c>
    </row>
    <row r="69" ht="15" customHeight="1" s="26">
      <c r="A69" s="46" t="inlineStr">
        <is>
          <t>mordomo</t>
        </is>
      </c>
      <c r="B69" s="46" t="inlineStr">
        <is>
          <t>triplex</t>
        </is>
      </c>
      <c r="C69" s="46" t="inlineStr">
        <is>
          <t>Trabalhava no triplex</t>
        </is>
      </c>
      <c r="D69" s="46" t="inlineStr">
        <is>
          <t>Reportado</t>
        </is>
      </c>
      <c r="E69" s="46">
        <f>INDEX(Nodes!$B$2:$B$97,MATCH(A69,Nodes!$A$2:$A$97,0))</f>
        <v/>
      </c>
      <c r="F69" s="46">
        <f>INDEX(Nodes!$B$2:$B$97,MATCH(B69,Nodes!$A$2:$A$97,0))</f>
        <v/>
      </c>
    </row>
    <row r="70" ht="15" customHeight="1" s="26">
      <c r="A70" s="46" t="inlineStr">
        <is>
          <t>mordomo</t>
        </is>
      </c>
      <c r="B70" s="46" t="inlineStr">
        <is>
          <t>vorcaro</t>
        </is>
      </c>
      <c r="C70" s="46" t="inlineStr">
        <is>
          <t>Mandou mensagens sobre a festa de fev/2025</t>
        </is>
      </c>
      <c r="D70" s="46" t="inlineStr">
        <is>
          <t>Alegado ou contestado</t>
        </is>
      </c>
      <c r="E70" s="46">
        <f>INDEX(Nodes!$B$2:$B$97,MATCH(A70,Nodes!$A$2:$A$97,0))</f>
        <v/>
      </c>
      <c r="F70" s="46">
        <f>INDEX(Nodes!$B$2:$B$97,MATCH(B70,Nodes!$A$2:$A$97,0))</f>
        <v/>
      </c>
    </row>
    <row r="71" ht="15" customHeight="1" s="26">
      <c r="A71" s="46" t="n"/>
      <c r="B71" s="46" t="n"/>
      <c r="C71" s="46" t="n"/>
      <c r="D71" s="46" t="n"/>
      <c r="E71" s="46" t="n"/>
      <c r="F71" s="46" t="n"/>
    </row>
    <row r="72" ht="15" customHeight="1" s="26">
      <c r="A72" s="46" t="inlineStr">
        <is>
          <t>dirjur</t>
        </is>
      </c>
      <c r="B72" s="46" t="inlineStr">
        <is>
          <t>master</t>
        </is>
      </c>
      <c r="C72" s="46" t="inlineStr">
        <is>
          <t>Diretor do banco</t>
        </is>
      </c>
      <c r="D72" s="46" t="inlineStr">
        <is>
          <t>Reportado</t>
        </is>
      </c>
      <c r="E72" s="46">
        <f>INDEX(Nodes!$B$2:$B$97,MATCH(A72,Nodes!$A$2:$A$97,0))</f>
        <v/>
      </c>
      <c r="F72" s="46">
        <f>INDEX(Nodes!$B$2:$B$97,MATCH(B72,Nodes!$A$2:$A$97,0))</f>
        <v/>
      </c>
    </row>
    <row r="73" ht="15" customHeight="1" s="26">
      <c r="A73" s="46" t="inlineStr">
        <is>
          <t>dirjur</t>
        </is>
      </c>
      <c r="B73" s="46" t="inlineStr">
        <is>
          <t>vorcaro</t>
        </is>
      </c>
      <c r="C73" s="46" t="inlineStr">
        <is>
          <t>“Dominado aqui” no dia do voto de desempate</t>
        </is>
      </c>
      <c r="D73" s="46" t="inlineStr">
        <is>
          <t>Alegado ou contestado</t>
        </is>
      </c>
      <c r="E73" s="46">
        <f>INDEX(Nodes!$B$2:$B$97,MATCH(A73,Nodes!$A$2:$A$97,0))</f>
        <v/>
      </c>
      <c r="F73" s="46">
        <f>INDEX(Nodes!$B$2:$B$97,MATCH(B73,Nodes!$A$2:$A$97,0))</f>
        <v/>
      </c>
    </row>
    <row r="74" ht="23.25" customHeight="1" s="26">
      <c r="A74" s="46" t="inlineStr">
        <is>
          <t>dirjur</t>
        </is>
      </c>
      <c r="B74" s="46" t="inlineStr">
        <is>
          <t>kevin</t>
        </is>
      </c>
      <c r="C74" s="46" t="inlineStr">
        <is>
          <t>Perguntou ao Vorcaro se mantinha o pagamento mensal e mandou o contato do Kevin (valor ilegível na transcrição)</t>
        </is>
      </c>
      <c r="D74" s="46" t="inlineStr">
        <is>
          <t>Alegado ou contestado</t>
        </is>
      </c>
      <c r="E74" s="46">
        <f>INDEX(Nodes!$B$2:$B$97,MATCH(A74,Nodes!$A$2:$A$97,0))</f>
        <v/>
      </c>
      <c r="F74" s="46">
        <f>INDEX(Nodes!$B$2:$B$97,MATCH(B74,Nodes!$A$2:$A$97,0))</f>
        <v/>
      </c>
    </row>
    <row r="75" ht="15" customHeight="1" s="26">
      <c r="A75" s="46" t="inlineStr">
        <is>
          <t>master</t>
        </is>
      </c>
      <c r="B75" s="46" t="inlineStr">
        <is>
          <t>consult</t>
        </is>
      </c>
      <c r="C75" s="46" t="inlineStr">
        <is>
          <t>Pagou R$ 6,6 mi</t>
        </is>
      </c>
      <c r="D75" s="46" t="inlineStr">
        <is>
          <t>Reportado</t>
        </is>
      </c>
      <c r="E75" s="46">
        <f>INDEX(Nodes!$B$2:$B$97,MATCH(A75,Nodes!$A$2:$A$97,0))</f>
        <v/>
      </c>
      <c r="F75" s="46">
        <f>INDEX(Nodes!$B$2:$B$97,MATCH(B75,Nodes!$A$2:$A$97,0))</f>
        <v/>
      </c>
    </row>
    <row r="76" ht="15" customHeight="1" s="26">
      <c r="A76" s="46" t="inlineStr">
        <is>
          <t>consult</t>
        </is>
      </c>
      <c r="B76" s="46" t="inlineStr">
        <is>
          <t>kevin</t>
        </is>
      </c>
      <c r="C76" s="46" t="inlineStr">
        <is>
          <t>Repassou ~R$ 300 mil</t>
        </is>
      </c>
      <c r="D76" s="46" t="inlineStr">
        <is>
          <t>Reportado</t>
        </is>
      </c>
      <c r="E76" s="46">
        <f>INDEX(Nodes!$B$2:$B$97,MATCH(A76,Nodes!$A$2:$A$97,0))</f>
        <v/>
      </c>
      <c r="F76" s="46">
        <f>INDEX(Nodes!$B$2:$B$97,MATCH(B76,Nodes!$A$2:$A$97,0))</f>
        <v/>
      </c>
    </row>
    <row r="77" ht="15" customHeight="1" s="26">
      <c r="A77" s="46" t="inlineStr">
        <is>
          <t>consult</t>
        </is>
      </c>
      <c r="B77" s="46" t="inlineStr">
        <is>
          <t>nunes</t>
        </is>
      </c>
      <c r="C77" s="46" t="inlineStr">
        <is>
          <t>Dono é amigo do ministro</t>
        </is>
      </c>
      <c r="D77" s="46" t="inlineStr">
        <is>
          <t>Reportado</t>
        </is>
      </c>
      <c r="E77" s="46">
        <f>INDEX(Nodes!$B$2:$B$97,MATCH(A77,Nodes!$A$2:$A$97,0))</f>
        <v/>
      </c>
      <c r="F77" s="46">
        <f>INDEX(Nodes!$B$2:$B$97,MATCH(B77,Nodes!$A$2:$A$97,0))</f>
        <v/>
      </c>
    </row>
    <row r="78" ht="15" customHeight="1" s="26">
      <c r="A78" s="46" t="inlineStr">
        <is>
          <t>kevin</t>
        </is>
      </c>
      <c r="B78" s="46" t="inlineStr">
        <is>
          <t>nunes</t>
        </is>
      </c>
      <c r="C78" s="46" t="inlineStr">
        <is>
          <t>Filho</t>
        </is>
      </c>
      <c r="D78" s="46" t="inlineStr">
        <is>
          <t>Reportado</t>
        </is>
      </c>
      <c r="E78" s="46">
        <f>INDEX(Nodes!$B$2:$B$97,MATCH(A78,Nodes!$A$2:$A$97,0))</f>
        <v/>
      </c>
      <c r="F78" s="46">
        <f>INDEX(Nodes!$B$2:$B$97,MATCH(B78,Nodes!$A$2:$A$97,0))</f>
        <v/>
      </c>
    </row>
    <row r="79" ht="15" customHeight="1" s="26">
      <c r="A79" s="46" t="inlineStr">
        <is>
          <t>nunes</t>
        </is>
      </c>
      <c r="B79" s="46" t="inlineStr">
        <is>
          <t>coaf</t>
        </is>
      </c>
      <c r="C79" s="46" t="inlineStr">
        <is>
          <t>Votou a favor de Flávio; provas anuladas</t>
        </is>
      </c>
      <c r="D79" s="46" t="inlineStr">
        <is>
          <t>Reportado</t>
        </is>
      </c>
      <c r="E79" s="46">
        <f>INDEX(Nodes!$B$2:$B$97,MATCH(A79,Nodes!$A$2:$A$97,0))</f>
        <v/>
      </c>
      <c r="F79" s="46">
        <f>INDEX(Nodes!$B$2:$B$97,MATCH(B79,Nodes!$A$2:$A$97,0))</f>
        <v/>
      </c>
    </row>
    <row r="80" ht="15" customHeight="1" s="26">
      <c r="A80" s="46" t="inlineStr">
        <is>
          <t>coaf</t>
        </is>
      </c>
      <c r="B80" s="46" t="inlineStr">
        <is>
          <t>flavio</t>
        </is>
      </c>
      <c r="C80" s="46" t="inlineStr">
        <is>
          <t>Investigação da rachadinha</t>
        </is>
      </c>
      <c r="D80" s="46" t="inlineStr">
        <is>
          <t>Reportado</t>
        </is>
      </c>
      <c r="E80" s="46">
        <f>INDEX(Nodes!$B$2:$B$97,MATCH(A80,Nodes!$A$2:$A$97,0))</f>
        <v/>
      </c>
      <c r="F80" s="46">
        <f>INDEX(Nodes!$B$2:$B$97,MATCH(B80,Nodes!$A$2:$A$97,0))</f>
        <v/>
      </c>
    </row>
    <row r="81" ht="15" customHeight="1" s="26">
      <c r="A81" s="46" t="inlineStr">
        <is>
          <t>coaf</t>
        </is>
      </c>
      <c r="B81" s="46" t="inlineStr">
        <is>
          <t>queiroz</t>
        </is>
      </c>
      <c r="C81" s="46" t="inlineStr">
        <is>
          <t>Operador do esquema</t>
        </is>
      </c>
      <c r="D81" s="46" t="inlineStr">
        <is>
          <t>Reportado</t>
        </is>
      </c>
      <c r="E81" s="46">
        <f>INDEX(Nodes!$B$2:$B$97,MATCH(A81,Nodes!$A$2:$A$97,0))</f>
        <v/>
      </c>
      <c r="F81" s="46">
        <f>INDEX(Nodes!$B$2:$B$97,MATCH(B81,Nodes!$A$2:$A$97,0))</f>
        <v/>
      </c>
    </row>
    <row r="82" ht="15" customHeight="1" s="26">
      <c r="A82" s="46" t="inlineStr">
        <is>
          <t>queiroz</t>
        </is>
      </c>
      <c r="B82" s="46" t="inlineStr">
        <is>
          <t>atibaia</t>
        </is>
      </c>
      <c r="C82" s="46" t="inlineStr">
        <is>
          <t>Achado escondido lá</t>
        </is>
      </c>
      <c r="D82" s="46" t="inlineStr">
        <is>
          <t>Reportado</t>
        </is>
      </c>
      <c r="E82" s="46">
        <f>INDEX(Nodes!$B$2:$B$97,MATCH(A82,Nodes!$A$2:$A$97,0))</f>
        <v/>
      </c>
      <c r="F82" s="46">
        <f>INDEX(Nodes!$B$2:$B$97,MATCH(B82,Nodes!$A$2:$A$97,0))</f>
        <v/>
      </c>
    </row>
    <row r="83" ht="15" customHeight="1" s="26">
      <c r="A83" s="46" t="inlineStr">
        <is>
          <t>wassef</t>
        </is>
      </c>
      <c r="B83" s="46" t="inlineStr">
        <is>
          <t>atibaia</t>
        </is>
      </c>
      <c r="C83" s="46" t="inlineStr">
        <is>
          <t>Casa dele</t>
        </is>
      </c>
      <c r="D83" s="46" t="inlineStr">
        <is>
          <t>Reportado</t>
        </is>
      </c>
      <c r="E83" s="46">
        <f>INDEX(Nodes!$B$2:$B$97,MATCH(A83,Nodes!$A$2:$A$97,0))</f>
        <v/>
      </c>
      <c r="F83" s="46">
        <f>INDEX(Nodes!$B$2:$B$97,MATCH(B83,Nodes!$A$2:$A$97,0))</f>
        <v/>
      </c>
    </row>
    <row r="84" ht="15" customHeight="1" s="26">
      <c r="A84" s="46" t="inlineStr">
        <is>
          <t>jair</t>
        </is>
      </c>
      <c r="B84" s="46" t="inlineStr">
        <is>
          <t>flavio</t>
        </is>
      </c>
      <c r="C84" s="46" t="inlineStr">
        <is>
          <t>Pai; Flávio promete anistia ou indulto</t>
        </is>
      </c>
      <c r="D84" s="46" t="inlineStr">
        <is>
          <t>Reportado</t>
        </is>
      </c>
      <c r="E84" s="46">
        <f>INDEX(Nodes!$B$2:$B$97,MATCH(A84,Nodes!$A$2:$A$97,0))</f>
        <v/>
      </c>
      <c r="F84" s="46">
        <f>INDEX(Nodes!$B$2:$B$97,MATCH(B84,Nodes!$A$2:$A$97,0))</f>
        <v/>
      </c>
    </row>
    <row r="85" ht="15" customHeight="1" s="26">
      <c r="A85" s="46" t="inlineStr">
        <is>
          <t>jair</t>
        </is>
      </c>
      <c r="B85" s="46" t="inlineStr">
        <is>
          <t>wassef</t>
        </is>
      </c>
      <c r="C85" s="46" t="inlineStr">
        <is>
          <t>Advogado da família</t>
        </is>
      </c>
      <c r="D85" s="46" t="inlineStr">
        <is>
          <t>Reportado</t>
        </is>
      </c>
      <c r="E85" s="46">
        <f>INDEX(Nodes!$B$2:$B$97,MATCH(A85,Nodes!$A$2:$A$97,0))</f>
        <v/>
      </c>
      <c r="F85" s="46">
        <f>INDEX(Nodes!$B$2:$B$97,MATCH(B85,Nodes!$A$2:$A$97,0))</f>
        <v/>
      </c>
    </row>
    <row r="86" ht="15" customHeight="1" s="26">
      <c r="A86" s="46" t="inlineStr">
        <is>
          <t>jair</t>
        </is>
      </c>
      <c r="B86" s="46" t="inlineStr">
        <is>
          <t>abin</t>
        </is>
      </c>
      <c r="C86" s="46" t="inlineStr">
        <is>
          <t>Abin trabalhou para defender o filho</t>
        </is>
      </c>
      <c r="D86" s="46" t="inlineStr">
        <is>
          <t>Reportado</t>
        </is>
      </c>
      <c r="E86" s="46">
        <f>INDEX(Nodes!$B$2:$B$97,MATCH(A86,Nodes!$A$2:$A$97,0))</f>
        <v/>
      </c>
      <c r="F86" s="46">
        <f>INDEX(Nodes!$B$2:$B$97,MATCH(B86,Nodes!$A$2:$A$97,0))</f>
        <v/>
      </c>
    </row>
    <row r="87" ht="15" customHeight="1" s="26">
      <c r="A87" s="46" t="inlineStr">
        <is>
          <t>abin</t>
        </is>
      </c>
      <c r="B87" s="46" t="inlineStr">
        <is>
          <t>ramagem</t>
        </is>
      </c>
      <c r="C87" s="46" t="inlineStr">
        <is>
          <t>Chefiada por ele</t>
        </is>
      </c>
      <c r="D87" s="46" t="inlineStr">
        <is>
          <t>Reportado</t>
        </is>
      </c>
      <c r="E87" s="46">
        <f>INDEX(Nodes!$B$2:$B$97,MATCH(A87,Nodes!$A$2:$A$97,0))</f>
        <v/>
      </c>
      <c r="F87" s="46">
        <f>INDEX(Nodes!$B$2:$B$97,MATCH(B87,Nodes!$A$2:$A$97,0))</f>
        <v/>
      </c>
    </row>
    <row r="88" ht="15" customHeight="1" s="26">
      <c r="A88" s="46" t="inlineStr">
        <is>
          <t>abin</t>
        </is>
      </c>
      <c r="B88" s="46" t="inlineStr">
        <is>
          <t>flavio</t>
        </is>
      </c>
      <c r="C88" s="46" t="inlineStr">
        <is>
          <t>Relatórios para “defender FB”</t>
        </is>
      </c>
      <c r="D88" s="46" t="inlineStr">
        <is>
          <t>Reportado</t>
        </is>
      </c>
      <c r="E88" s="46">
        <f>INDEX(Nodes!$B$2:$B$97,MATCH(A88,Nodes!$A$2:$A$97,0))</f>
        <v/>
      </c>
      <c r="F88" s="46">
        <f>INDEX(Nodes!$B$2:$B$97,MATCH(B88,Nodes!$A$2:$A$97,0))</f>
        <v/>
      </c>
    </row>
    <row r="89" ht="15" customHeight="1" s="26">
      <c r="A89" s="46" t="inlineStr">
        <is>
          <t>heleno</t>
        </is>
      </c>
      <c r="B89" s="46" t="inlineStr">
        <is>
          <t>jair</t>
        </is>
      </c>
      <c r="C89" s="46" t="inlineStr">
        <is>
          <t>Reunião no Planalto (2020)</t>
        </is>
      </c>
      <c r="D89" s="46" t="inlineStr">
        <is>
          <t>Reportado</t>
        </is>
      </c>
      <c r="E89" s="46">
        <f>INDEX(Nodes!$B$2:$B$97,MATCH(A89,Nodes!$A$2:$A$97,0))</f>
        <v/>
      </c>
      <c r="F89" s="46">
        <f>INDEX(Nodes!$B$2:$B$97,MATCH(B89,Nodes!$A$2:$A$97,0))</f>
        <v/>
      </c>
    </row>
    <row r="90" ht="15" customHeight="1" s="26">
      <c r="A90" s="46" t="inlineStr">
        <is>
          <t>ramagem</t>
        </is>
      </c>
      <c r="B90" s="46" t="inlineStr">
        <is>
          <t>jair</t>
        </is>
      </c>
      <c r="C90" s="46" t="inlineStr">
        <is>
          <t>Reunião no Planalto (2020)</t>
        </is>
      </c>
      <c r="D90" s="46" t="inlineStr">
        <is>
          <t>Reportado</t>
        </is>
      </c>
      <c r="E90" s="46">
        <f>INDEX(Nodes!$B$2:$B$97,MATCH(A90,Nodes!$A$2:$A$97,0))</f>
        <v/>
      </c>
      <c r="F90" s="46">
        <f>INDEX(Nodes!$B$2:$B$97,MATCH(B90,Nodes!$A$2:$A$97,0))</f>
        <v/>
      </c>
    </row>
    <row r="91" ht="15" customHeight="1" s="26">
      <c r="A91" s="46" t="inlineStr">
        <is>
          <t>ramagem</t>
        </is>
      </c>
      <c r="B91" s="46" t="inlineStr">
        <is>
          <t>flavio</t>
        </is>
      </c>
      <c r="C91" s="46" t="inlineStr">
        <is>
          <t>Diz que volta ao Brasil se Flávio ganhar</t>
        </is>
      </c>
      <c r="D91" s="46" t="inlineStr">
        <is>
          <t>Reportado</t>
        </is>
      </c>
      <c r="E91" s="46">
        <f>INDEX(Nodes!$B$2:$B$97,MATCH(A91,Nodes!$A$2:$A$97,0))</f>
        <v/>
      </c>
      <c r="F91" s="46">
        <f>INDEX(Nodes!$B$2:$B$97,MATCH(B91,Nodes!$A$2:$A$97,0))</f>
        <v/>
      </c>
    </row>
    <row r="92" ht="15" customHeight="1" s="26">
      <c r="A92" s="46" t="inlineStr">
        <is>
          <t>receita</t>
        </is>
      </c>
      <c r="B92" s="46" t="inlineStr">
        <is>
          <t>flavio</t>
        </is>
      </c>
      <c r="C92" s="46" t="inlineStr">
        <is>
          <t>Chefe foi à casa dele</t>
        </is>
      </c>
      <c r="D92" s="46" t="inlineStr">
        <is>
          <t>Reportado</t>
        </is>
      </c>
      <c r="E92" s="46">
        <f>INDEX(Nodes!$B$2:$B$97,MATCH(A92,Nodes!$A$2:$A$97,0))</f>
        <v/>
      </c>
      <c r="F92" s="46">
        <f>INDEX(Nodes!$B$2:$B$97,MATCH(B92,Nodes!$A$2:$A$97,0))</f>
        <v/>
      </c>
    </row>
    <row r="93" ht="15" customHeight="1" s="26">
      <c r="A93" s="46" t="inlineStr">
        <is>
          <t>jair</t>
        </is>
      </c>
      <c r="B93" s="46" t="inlineStr">
        <is>
          <t>receita</t>
        </is>
      </c>
      <c r="C93" s="46" t="inlineStr">
        <is>
          <t>Reunião sobre a Receita</t>
        </is>
      </c>
      <c r="D93" s="46" t="inlineStr">
        <is>
          <t>Reportado</t>
        </is>
      </c>
      <c r="E93" s="46">
        <f>INDEX(Nodes!$B$2:$B$97,MATCH(A93,Nodes!$A$2:$A$97,0))</f>
        <v/>
      </c>
      <c r="F93" s="46">
        <f>INDEX(Nodes!$B$2:$B$97,MATCH(B93,Nodes!$A$2:$A$97,0))</f>
        <v/>
      </c>
    </row>
    <row r="94" ht="15" customHeight="1" s="26">
      <c r="A94" s="46" t="inlineStr">
        <is>
          <t>jair</t>
        </is>
      </c>
      <c r="B94" s="46" t="inlineStr">
        <is>
          <t>pf</t>
        </is>
      </c>
      <c r="C94" s="46" t="inlineStr">
        <is>
          <t>Tentou trocar o comando no Rio</t>
        </is>
      </c>
      <c r="D94" s="46" t="inlineStr">
        <is>
          <t>Reportado</t>
        </is>
      </c>
      <c r="E94" s="46">
        <f>INDEX(Nodes!$B$2:$B$97,MATCH(A94,Nodes!$A$2:$A$97,0))</f>
        <v/>
      </c>
      <c r="F94" s="46">
        <f>INDEX(Nodes!$B$2:$B$97,MATCH(B94,Nodes!$A$2:$A$97,0))</f>
        <v/>
      </c>
    </row>
    <row r="95" ht="15" customHeight="1" s="26">
      <c r="A95" s="46" t="inlineStr">
        <is>
          <t>moro</t>
        </is>
      </c>
      <c r="B95" s="46" t="inlineStr">
        <is>
          <t>jair</t>
        </is>
      </c>
      <c r="C95" s="46" t="inlineStr">
        <is>
          <t>Saiu denunciando interferência na PF</t>
        </is>
      </c>
      <c r="D95" s="46" t="inlineStr">
        <is>
          <t>Reportado</t>
        </is>
      </c>
      <c r="E95" s="46">
        <f>INDEX(Nodes!$B$2:$B$97,MATCH(A95,Nodes!$A$2:$A$97,0))</f>
        <v/>
      </c>
      <c r="F95" s="46">
        <f>INDEX(Nodes!$B$2:$B$97,MATCH(B95,Nodes!$A$2:$A$97,0))</f>
        <v/>
      </c>
    </row>
    <row r="96" ht="15" customHeight="1" s="26">
      <c r="A96" s="46" t="inlineStr">
        <is>
          <t>pf</t>
        </is>
      </c>
      <c r="B96" s="46" t="inlineStr">
        <is>
          <t>willer</t>
        </is>
      </c>
      <c r="C96" s="46" t="inlineStr">
        <is>
          <t>Investiga</t>
        </is>
      </c>
      <c r="D96" s="46" t="inlineStr">
        <is>
          <t>Reportado</t>
        </is>
      </c>
      <c r="E96" s="46">
        <f>INDEX(Nodes!$B$2:$B$97,MATCH(A96,Nodes!$A$2:$A$97,0))</f>
        <v/>
      </c>
      <c r="F96" s="46">
        <f>INDEX(Nodes!$B$2:$B$97,MATCH(B96,Nodes!$A$2:$A$97,0))</f>
        <v/>
      </c>
    </row>
    <row r="97" ht="15" customHeight="1" s="26">
      <c r="A97" s="46" t="inlineStr">
        <is>
          <t>flavio</t>
        </is>
      </c>
      <c r="B97" s="46" t="inlineStr">
        <is>
          <t>pf</t>
        </is>
      </c>
      <c r="C97" s="46" t="inlineStr">
        <is>
          <t>Se eleito, indicaria o diretor (não foi eleito: perdeu o 2º turno em 25/10/2026)</t>
        </is>
      </c>
      <c r="D97" s="46" t="inlineStr">
        <is>
          <t>Alegado ou contestado</t>
        </is>
      </c>
      <c r="E97" s="46">
        <f>INDEX(Nodes!$B$2:$B$97,MATCH(A97,Nodes!$A$2:$A$97,0))</f>
        <v/>
      </c>
      <c r="F97" s="46">
        <f>INDEX(Nodes!$B$2:$B$97,MATCH(B97,Nodes!$A$2:$A$97,0))</f>
        <v/>
      </c>
    </row>
    <row r="98" ht="15" customHeight="1" s="26">
      <c r="A98" s="46" t="inlineStr">
        <is>
          <t>flavio</t>
        </is>
      </c>
      <c r="B98" s="46" t="inlineStr">
        <is>
          <t>pgr</t>
        </is>
      </c>
      <c r="C98" s="46" t="inlineStr">
        <is>
          <t>Se eleito, indicaria o procurador-geral (não foi eleito: perdeu o 2º turno em 25/10/2026)</t>
        </is>
      </c>
      <c r="D98" s="46" t="inlineStr">
        <is>
          <t>Alegado ou contestado</t>
        </is>
      </c>
      <c r="E98" s="46">
        <f>INDEX(Nodes!$B$2:$B$97,MATCH(A98,Nodes!$A$2:$A$97,0))</f>
        <v/>
      </c>
      <c r="F98" s="46">
        <f>INDEX(Nodes!$B$2:$B$97,MATCH(B98,Nodes!$A$2:$A$97,0))</f>
        <v/>
      </c>
    </row>
    <row r="99" ht="15" customHeight="1" s="26">
      <c r="A99" s="46" t="inlineStr">
        <is>
          <t>pgr</t>
        </is>
      </c>
      <c r="B99" s="46" t="inlineStr">
        <is>
          <t>vorcaro</t>
        </is>
      </c>
      <c r="C99" s="46" t="inlineStr">
        <is>
          <t>Decide se denuncia</t>
        </is>
      </c>
      <c r="D99" s="46" t="inlineStr">
        <is>
          <t>Reportado</t>
        </is>
      </c>
      <c r="E99" s="46">
        <f>INDEX(Nodes!$B$2:$B$97,MATCH(A99,Nodes!$A$2:$A$97,0))</f>
        <v/>
      </c>
      <c r="F99" s="46">
        <f>INDEX(Nodes!$B$2:$B$97,MATCH(B99,Nodes!$A$2:$A$97,0))</f>
        <v/>
      </c>
    </row>
    <row r="100" ht="23.25" customHeight="1" s="26">
      <c r="A100" s="46" t="inlineStr">
        <is>
          <t>willer</t>
        </is>
      </c>
      <c r="B100" s="46" t="inlineStr">
        <is>
          <t>vorcaro</t>
        </is>
      </c>
      <c r="C100" s="46" t="inlineStr">
        <is>
          <t>Parecem sócios via jato, mansão e apartamento; Willer diz que nunca o conheceu</t>
        </is>
      </c>
      <c r="D100" s="46" t="inlineStr">
        <is>
          <t>Alegado ou contestado</t>
        </is>
      </c>
      <c r="E100" s="46">
        <f>INDEX(Nodes!$B$2:$B$97,MATCH(A100,Nodes!$A$2:$A$97,0))</f>
        <v/>
      </c>
      <c r="F100" s="46">
        <f>INDEX(Nodes!$B$2:$B$97,MATCH(B100,Nodes!$A$2:$A$97,0))</f>
        <v/>
      </c>
    </row>
    <row r="101" ht="15" customHeight="1" s="26">
      <c r="A101" s="46" t="inlineStr">
        <is>
          <t>willer</t>
        </is>
      </c>
      <c r="B101" s="46" t="inlineStr">
        <is>
          <t>wt</t>
        </is>
      </c>
      <c r="C101" s="46" t="inlineStr">
        <is>
          <t>Empresa dele</t>
        </is>
      </c>
      <c r="D101" s="46" t="inlineStr">
        <is>
          <t>Reportado</t>
        </is>
      </c>
      <c r="E101" s="46">
        <f>INDEX(Nodes!$B$2:$B$97,MATCH(A101,Nodes!$A$2:$A$97,0))</f>
        <v/>
      </c>
      <c r="F101" s="46">
        <f>INDEX(Nodes!$B$2:$B$97,MATCH(B101,Nodes!$A$2:$A$97,0))</f>
        <v/>
      </c>
    </row>
    <row r="102" ht="15" customHeight="1" s="26">
      <c r="A102" s="46" t="inlineStr">
        <is>
          <t>flavio</t>
        </is>
      </c>
      <c r="B102" s="46" t="inlineStr">
        <is>
          <t>escf</t>
        </is>
      </c>
      <c r="C102" s="46" t="inlineStr">
        <is>
          <t>Escritório de advocacia dele</t>
        </is>
      </c>
      <c r="D102" s="46" t="inlineStr">
        <is>
          <t>Reportado</t>
        </is>
      </c>
      <c r="E102" s="46">
        <f>INDEX(Nodes!$B$2:$B$97,MATCH(A102,Nodes!$A$2:$A$97,0))</f>
        <v/>
      </c>
      <c r="F102" s="46">
        <f>INDEX(Nodes!$B$2:$B$97,MATCH(B102,Nodes!$A$2:$A$97,0))</f>
        <v/>
      </c>
    </row>
    <row r="103" ht="15" customHeight="1" s="26">
      <c r="A103" s="46" t="inlineStr">
        <is>
          <t>renan</t>
        </is>
      </c>
      <c r="B103" s="46" t="inlineStr">
        <is>
          <t>willer</t>
        </is>
      </c>
      <c r="C103" s="46" t="inlineStr">
        <is>
          <t>Pediu a quebra de sigilo</t>
        </is>
      </c>
      <c r="D103" s="46" t="inlineStr">
        <is>
          <t>Reportado</t>
        </is>
      </c>
      <c r="E103" s="46">
        <f>INDEX(Nodes!$B$2:$B$97,MATCH(A103,Nodes!$A$2:$A$97,0))</f>
        <v/>
      </c>
      <c r="F103" s="46">
        <f>INDEX(Nodes!$B$2:$B$97,MATCH(B103,Nodes!$A$2:$A$97,0))</f>
        <v/>
      </c>
    </row>
    <row r="104" ht="15" customHeight="1" s="26">
      <c r="A104" s="46" t="inlineStr">
        <is>
          <t>queiroz</t>
        </is>
      </c>
      <c r="B104" s="46" t="inlineStr">
        <is>
          <t>flavio</t>
        </is>
      </c>
      <c r="C104" s="46" t="inlineStr">
        <is>
          <t>Ex-assessor; operador da rachadinha no gabinete dele</t>
        </is>
      </c>
      <c r="D104" s="46" t="inlineStr">
        <is>
          <t>Reportado</t>
        </is>
      </c>
      <c r="E104" s="46">
        <f>INDEX(Nodes!$B$2:$B$97,MATCH(A104,Nodes!$A$2:$A$97,0))</f>
        <v/>
      </c>
      <c r="F104" s="46">
        <f>INDEX(Nodes!$B$2:$B$97,MATCH(B104,Nodes!$A$2:$A$97,0))</f>
        <v/>
      </c>
    </row>
    <row r="105" ht="15" customHeight="1" s="26">
      <c r="A105" s="46" t="inlineStr">
        <is>
          <t>dono</t>
        </is>
      </c>
      <c r="B105" s="46" t="inlineStr">
        <is>
          <t>flavio</t>
        </is>
      </c>
      <c r="C105" s="46" t="inlineStr">
        <is>
          <t>Testemunha: Flávio apresentou Willer como sócio (2020)</t>
        </is>
      </c>
      <c r="D105" s="46" t="inlineStr">
        <is>
          <t>Alegado ou contestado</t>
        </is>
      </c>
      <c r="E105" s="46">
        <f>INDEX(Nodes!$B$2:$B$97,MATCH(A105,Nodes!$A$2:$A$97,0))</f>
        <v/>
      </c>
      <c r="F105" s="46">
        <f>INDEX(Nodes!$B$2:$B$97,MATCH(B105,Nodes!$A$2:$A$97,0))</f>
        <v/>
      </c>
    </row>
    <row r="106" ht="15" customHeight="1" s="26">
      <c r="A106" s="46" t="inlineStr">
        <is>
          <t>dono</t>
        </is>
      </c>
      <c r="B106" s="46" t="inlineStr">
        <is>
          <t>willer</t>
        </is>
      </c>
      <c r="C106" s="46" t="inlineStr">
        <is>
          <t>Testemunha: Flávio apresentou Willer como sócio (2020)</t>
        </is>
      </c>
      <c r="D106" s="46" t="inlineStr">
        <is>
          <t>Alegado ou contestado</t>
        </is>
      </c>
      <c r="E106" s="46">
        <f>INDEX(Nodes!$B$2:$B$97,MATCH(A106,Nodes!$A$2:$A$97,0))</f>
        <v/>
      </c>
      <c r="F106" s="46">
        <f>INDEX(Nodes!$B$2:$B$97,MATCH(B106,Nodes!$A$2:$A$97,0))</f>
        <v/>
      </c>
    </row>
    <row r="107" ht="15" customHeight="1" s="26">
      <c r="A107" s="46" t="inlineStr">
        <is>
          <t>richarlison</t>
        </is>
      </c>
      <c r="B107" s="46" t="inlineStr">
        <is>
          <t>flavio</t>
        </is>
      </c>
      <c r="C107" s="46" t="inlineStr">
        <is>
          <t>Diz que Flávio e Willer pegaram posse da casa em 24h sem pagar</t>
        </is>
      </c>
      <c r="D107" s="46" t="inlineStr">
        <is>
          <t>Alegado ou contestado</t>
        </is>
      </c>
      <c r="E107" s="46">
        <f>INDEX(Nodes!$B$2:$B$97,MATCH(A107,Nodes!$A$2:$A$97,0))</f>
        <v/>
      </c>
      <c r="F107" s="46">
        <f>INDEX(Nodes!$B$2:$B$97,MATCH(B107,Nodes!$A$2:$A$97,0))</f>
        <v/>
      </c>
    </row>
    <row r="108" ht="15" customHeight="1" s="26">
      <c r="A108" s="46" t="inlineStr">
        <is>
          <t>richarlison</t>
        </is>
      </c>
      <c r="B108" s="46" t="inlineStr">
        <is>
          <t>willer</t>
        </is>
      </c>
      <c r="C108" s="46" t="inlineStr">
        <is>
          <t>Diz que Flávio e Willer pegaram posse da casa em 24h sem pagar</t>
        </is>
      </c>
      <c r="D108" s="46" t="inlineStr">
        <is>
          <t>Alegado ou contestado</t>
        </is>
      </c>
      <c r="E108" s="46">
        <f>INDEX(Nodes!$B$2:$B$97,MATCH(A108,Nodes!$A$2:$A$97,0))</f>
        <v/>
      </c>
      <c r="F108" s="46">
        <f>INDEX(Nodes!$B$2:$B$97,MATCH(B108,Nodes!$A$2:$A$97,0))</f>
        <v/>
      </c>
    </row>
    <row r="109" ht="15" customHeight="1" s="26">
      <c r="A109" s="46" t="n"/>
      <c r="B109" s="46" t="n"/>
      <c r="C109" s="46" t="n"/>
      <c r="D109" s="46" t="n"/>
      <c r="E109" s="46" t="n"/>
      <c r="F109" s="46" t="n"/>
    </row>
    <row r="110" ht="15" customHeight="1" s="26">
      <c r="A110" s="46" t="inlineStr">
        <is>
          <t>nunes</t>
        </is>
      </c>
      <c r="B110" s="46" t="inlineStr">
        <is>
          <t>master</t>
        </is>
      </c>
      <c r="C110" s="46" t="inlineStr">
        <is>
          <t>Voto de desempate em julgamento de interesse do Master</t>
        </is>
      </c>
      <c r="D110" s="46" t="inlineStr">
        <is>
          <t>Alegado ou contestado</t>
        </is>
      </c>
      <c r="E110" s="46">
        <f>INDEX(Nodes!$B$2:$B$97,MATCH(A110,Nodes!$A$2:$A$97,0))</f>
        <v/>
      </c>
      <c r="F110" s="46">
        <f>INDEX(Nodes!$B$2:$B$97,MATCH(B110,Nodes!$A$2:$A$97,0))</f>
        <v/>
      </c>
    </row>
    <row r="111" ht="23.25" customHeight="1" s="26">
      <c r="A111" s="46" t="n"/>
      <c r="B111" s="46" t="n"/>
      <c r="C111" s="46" t="n"/>
      <c r="D111" s="46" t="n"/>
      <c r="E111" s="46" t="n"/>
      <c r="F111" s="46" t="n"/>
    </row>
    <row r="112" ht="15" customHeight="1" s="26">
      <c r="A112" s="46" t="inlineStr">
        <is>
          <t>advflavio</t>
        </is>
      </c>
      <c r="B112" s="46" t="inlineStr">
        <is>
          <t>jair</t>
        </is>
      </c>
      <c r="C112" s="46" t="inlineStr">
        <is>
          <t>Reunião no Planalto (2020) sobre derrubar a investigação</t>
        </is>
      </c>
      <c r="D112" s="46" t="inlineStr">
        <is>
          <t>Reportado</t>
        </is>
      </c>
      <c r="E112" s="46">
        <f>INDEX(Nodes!$B$2:$B$97,MATCH(A112,Nodes!$A$2:$A$97,0))</f>
        <v/>
      </c>
      <c r="F112" s="46">
        <f>INDEX(Nodes!$B$2:$B$97,MATCH(B112,Nodes!$A$2:$A$97,0))</f>
        <v/>
      </c>
    </row>
    <row r="113" ht="15" customHeight="1" s="26">
      <c r="A113" s="46" t="inlineStr">
        <is>
          <t>advflavio</t>
        </is>
      </c>
      <c r="B113" s="46" t="inlineStr">
        <is>
          <t>flavio</t>
        </is>
      </c>
      <c r="C113" s="46" t="inlineStr">
        <is>
          <t>Advogadas dele</t>
        </is>
      </c>
      <c r="D113" s="46" t="inlineStr">
        <is>
          <t>Reportado</t>
        </is>
      </c>
      <c r="E113" s="46">
        <f>INDEX(Nodes!$B$2:$B$97,MATCH(A113,Nodes!$A$2:$A$97,0))</f>
        <v/>
      </c>
      <c r="F113" s="46">
        <f>INDEX(Nodes!$B$2:$B$97,MATCH(B113,Nodes!$A$2:$A$97,0))</f>
        <v/>
      </c>
    </row>
    <row r="114" ht="15" customHeight="1" s="26">
      <c r="A114" s="46" t="inlineStr">
        <is>
          <t>ciro</t>
        </is>
      </c>
      <c r="B114" s="46" t="inlineStr">
        <is>
          <t>nunes</t>
        </is>
      </c>
      <c r="C114" s="46" t="inlineStr">
        <is>
          <t>Teria influenciado a escolha para o STF</t>
        </is>
      </c>
      <c r="D114" s="46" t="inlineStr">
        <is>
          <t>Alegado ou contestado</t>
        </is>
      </c>
      <c r="E114" s="46">
        <f>INDEX(Nodes!$B$2:$B$97,MATCH(A114,Nodes!$A$2:$A$97,0))</f>
        <v/>
      </c>
      <c r="F114" s="46">
        <f>INDEX(Nodes!$B$2:$B$97,MATCH(B114,Nodes!$A$2:$A$97,0))</f>
        <v/>
      </c>
    </row>
    <row r="115" ht="15" customHeight="1" s="26">
      <c r="A115" s="46" t="inlineStr">
        <is>
          <t>ciro</t>
        </is>
      </c>
      <c r="B115" s="46" t="inlineStr">
        <is>
          <t>flavio</t>
        </is>
      </c>
      <c r="C115" s="46" t="inlineStr">
        <is>
          <t>Teria influenciado a escolha de Nunes junto com ele</t>
        </is>
      </c>
      <c r="D115" s="46" t="inlineStr">
        <is>
          <t>Alegado ou contestado</t>
        </is>
      </c>
      <c r="E115" s="46">
        <f>INDEX(Nodes!$B$2:$B$97,MATCH(A115,Nodes!$A$2:$A$97,0))</f>
        <v/>
      </c>
      <c r="F115" s="46">
        <f>INDEX(Nodes!$B$2:$B$97,MATCH(B115,Nodes!$A$2:$A$97,0))</f>
        <v/>
      </c>
    </row>
    <row r="116" ht="15" customHeight="1" s="26">
      <c r="A116" s="46" t="inlineStr">
        <is>
          <t>stf</t>
        </is>
      </c>
      <c r="B116" s="46" t="inlineStr">
        <is>
          <t>nunes</t>
        </is>
      </c>
      <c r="C116" s="46" t="inlineStr">
        <is>
          <t>Ministro</t>
        </is>
      </c>
      <c r="D116" s="46" t="inlineStr">
        <is>
          <t>Reportado</t>
        </is>
      </c>
      <c r="E116" s="46">
        <f>INDEX(Nodes!$B$2:$B$97,MATCH(A116,Nodes!$A$2:$A$97,0))</f>
        <v/>
      </c>
      <c r="F116" s="46">
        <f>INDEX(Nodes!$B$2:$B$97,MATCH(B116,Nodes!$A$2:$A$97,0))</f>
        <v/>
      </c>
    </row>
    <row r="117" ht="15" customHeight="1" s="26">
      <c r="A117" s="46" t="inlineStr">
        <is>
          <t>stf</t>
        </is>
      </c>
      <c r="B117" s="46" t="inlineStr">
        <is>
          <t>lulinha</t>
        </is>
      </c>
      <c r="C117" s="46" t="inlineStr">
        <is>
          <t>3 inquéritos abertos no governo do pai</t>
        </is>
      </c>
      <c r="D117" s="46" t="inlineStr">
        <is>
          <t>Reportado</t>
        </is>
      </c>
      <c r="E117" s="46">
        <f>INDEX(Nodes!$B$2:$B$97,MATCH(A117,Nodes!$A$2:$A$97,0))</f>
        <v/>
      </c>
      <c r="F117" s="46">
        <f>INDEX(Nodes!$B$2:$B$97,MATCH(B117,Nodes!$A$2:$A$97,0))</f>
        <v/>
      </c>
    </row>
    <row r="118" ht="15" customHeight="1" s="26">
      <c r="A118" s="46" t="inlineStr">
        <is>
          <t>stf</t>
        </is>
      </c>
      <c r="B118" s="46" t="inlineStr">
        <is>
          <t>flavio</t>
        </is>
      </c>
      <c r="C118" s="46" t="inlineStr">
        <is>
          <t>Investigado no Supremo pelo dinheiro do filme</t>
        </is>
      </c>
      <c r="D118" s="46" t="inlineStr">
        <is>
          <t>Reportado</t>
        </is>
      </c>
      <c r="E118" s="46">
        <f>INDEX(Nodes!$B$2:$B$97,MATCH(A118,Nodes!$A$2:$A$97,0))</f>
        <v/>
      </c>
      <c r="F118" s="46">
        <f>INDEX(Nodes!$B$2:$B$97,MATCH(B118,Nodes!$A$2:$A$97,0))</f>
        <v/>
      </c>
    </row>
    <row r="119" ht="15" customHeight="1" s="26">
      <c r="A119" s="46" t="inlineStr">
        <is>
          <t>stf</t>
        </is>
      </c>
      <c r="B119" s="46" t="inlineStr">
        <is>
          <t>coaf</t>
        </is>
      </c>
      <c r="C119" s="46" t="inlineStr">
        <is>
          <t>Anulou os relatórios (nov/2021)</t>
        </is>
      </c>
      <c r="D119" s="46" t="inlineStr">
        <is>
          <t>Reportado</t>
        </is>
      </c>
      <c r="E119" s="46">
        <f>INDEX(Nodes!$B$2:$B$97,MATCH(A119,Nodes!$A$2:$A$97,0))</f>
        <v/>
      </c>
      <c r="F119" s="46">
        <f>INDEX(Nodes!$B$2:$B$97,MATCH(B119,Nodes!$A$2:$A$97,0))</f>
        <v/>
      </c>
    </row>
    <row r="120" ht="15" customHeight="1" s="26">
      <c r="A120" s="46" t="inlineStr">
        <is>
          <t>tse</t>
        </is>
      </c>
      <c r="B120" s="46" t="inlineStr">
        <is>
          <t>nunes</t>
        </is>
      </c>
      <c r="C120" s="46" t="inlineStr">
        <is>
          <t>Preside</t>
        </is>
      </c>
      <c r="D120" s="46" t="inlineStr">
        <is>
          <t>Reportado</t>
        </is>
      </c>
      <c r="E120" s="46">
        <f>INDEX(Nodes!$B$2:$B$97,MATCH(A120,Nodes!$A$2:$A$97,0))</f>
        <v/>
      </c>
      <c r="F120" s="46">
        <f>INDEX(Nodes!$B$2:$B$97,MATCH(B120,Nodes!$A$2:$A$97,0))</f>
        <v/>
      </c>
    </row>
    <row r="121" ht="15" customHeight="1" s="26">
      <c r="A121" s="46" t="inlineStr">
        <is>
          <t>vorcaro</t>
        </is>
      </c>
      <c r="B121" s="46" t="inlineStr">
        <is>
          <t>flavio</t>
        </is>
      </c>
      <c r="C121" s="46" t="inlineStr">
        <is>
          <t>Visitas: um dia após a soltura e na véspera do anúncio da candidatura</t>
        </is>
      </c>
      <c r="D121" s="46" t="inlineStr">
        <is>
          <t>Alegado ou contestado</t>
        </is>
      </c>
      <c r="E121" s="46">
        <f>INDEX(Nodes!$B$2:$B$97,MATCH(A121,Nodes!$A$2:$A$97,0))</f>
        <v/>
      </c>
      <c r="F121" s="46">
        <f>INDEX(Nodes!$B$2:$B$97,MATCH(B121,Nodes!$A$2:$A$97,0))</f>
        <v/>
      </c>
    </row>
    <row r="122" ht="23.85" customHeight="1" s="26">
      <c r="A122" s="46" t="inlineStr">
        <is>
          <t>vorcaro</t>
        </is>
      </c>
      <c r="B122" s="46" t="inlineStr">
        <is>
          <t>flavio</t>
        </is>
      </c>
      <c r="C122" s="46" t="inlineStr">
        <is>
          <t>Feriado de 1º de maio de 2025 na Flórida, dias após repasse ao filme (Piauí)</t>
        </is>
      </c>
      <c r="D122" s="46" t="inlineStr">
        <is>
          <t>Alegado ou contestado</t>
        </is>
      </c>
      <c r="E122" s="46">
        <f>INDEX(Nodes!$B$2:$B$97,MATCH(A122,Nodes!$A$2:$A$97,0))</f>
        <v/>
      </c>
      <c r="F122" s="46">
        <f>INDEX(Nodes!$B$2:$B$97,MATCH(B122,Nodes!$A$2:$A$97,0))</f>
        <v/>
      </c>
    </row>
    <row r="123" ht="23.85" customHeight="1" s="26">
      <c r="A123" s="46" t="inlineStr">
        <is>
          <t>vorcaro</t>
        </is>
      </c>
      <c r="B123" s="46" t="inlineStr">
        <is>
          <t>flavio</t>
        </is>
      </c>
      <c r="C123" s="46" t="inlineStr">
        <is>
          <t>Ao menos 11 meses de contato no celular do banqueiro (Piauí); o Estadão fala em 3 meses e 6 encontros</t>
        </is>
      </c>
      <c r="D123" s="46" t="inlineStr">
        <is>
          <t>Alegado ou contestado</t>
        </is>
      </c>
      <c r="E123" s="46">
        <f>INDEX(Nodes!$B$2:$B$97,MATCH(A123,Nodes!$A$2:$A$97,0))</f>
        <v/>
      </c>
      <c r="F123" s="46">
        <f>INDEX(Nodes!$B$2:$B$97,MATCH(B123,Nodes!$A$2:$A$97,0))</f>
        <v/>
      </c>
    </row>
    <row r="124" ht="35.05" customHeight="1" s="26">
      <c r="A124" s="46" t="inlineStr">
        <is>
          <t>brb</t>
        </is>
      </c>
      <c r="B124" s="46" t="inlineStr">
        <is>
          <t>flavio</t>
        </is>
      </c>
      <c r="C124" s="46" t="inlineStr">
        <is>
          <t>Empréstimo de R$ 3,1 mi a 3,71% a.a., abaixo da média do banco; PF investiga. Ele diz que a Justiça já atestou a regularidade e que o empréstimo está quitado</t>
        </is>
      </c>
      <c r="D124" s="46" t="inlineStr">
        <is>
          <t>Alegado ou contestado</t>
        </is>
      </c>
      <c r="E124" s="46">
        <f>INDEX(Nodes!$B$2:$B$97,MATCH(A124,Nodes!$A$2:$A$97,0))</f>
        <v/>
      </c>
      <c r="F124" s="46">
        <f>INDEX(Nodes!$B$2:$B$97,MATCH(B124,Nodes!$A$2:$A$97,0))</f>
        <v/>
      </c>
    </row>
    <row r="125" ht="15" customHeight="1" s="26">
      <c r="A125" s="46" t="inlineStr">
        <is>
          <t>brb</t>
        </is>
      </c>
      <c r="B125" s="46" t="inlineStr">
        <is>
          <t>mansaobsb</t>
        </is>
      </c>
      <c r="C125" s="46" t="inlineStr">
        <is>
          <t>Financiou a compra</t>
        </is>
      </c>
      <c r="D125" s="46" t="inlineStr">
        <is>
          <t>Reportado</t>
        </is>
      </c>
      <c r="E125" s="46">
        <f>INDEX(Nodes!$B$2:$B$97,MATCH(A125,Nodes!$A$2:$A$97,0))</f>
        <v/>
      </c>
      <c r="F125" s="46">
        <f>INDEX(Nodes!$B$2:$B$97,MATCH(B125,Nodes!$A$2:$A$97,0))</f>
        <v/>
      </c>
    </row>
    <row r="126" ht="15" customHeight="1" s="26">
      <c r="A126" s="46" t="inlineStr">
        <is>
          <t>flavio</t>
        </is>
      </c>
      <c r="B126" s="46" t="inlineStr">
        <is>
          <t>mansaobsb</t>
        </is>
      </c>
      <c r="C126" s="46" t="inlineStr">
        <is>
          <t>Comprou em 2021 por R$ 6 mi</t>
        </is>
      </c>
      <c r="D126" s="46" t="inlineStr">
        <is>
          <t>Reportado</t>
        </is>
      </c>
      <c r="E126" s="46">
        <f>INDEX(Nodes!$B$2:$B$97,MATCH(A126,Nodes!$A$2:$A$97,0))</f>
        <v/>
      </c>
      <c r="F126" s="46">
        <f>INDEX(Nodes!$B$2:$B$97,MATCH(B126,Nodes!$A$2:$A$97,0))</f>
        <v/>
      </c>
    </row>
    <row r="127" ht="23.85" customHeight="1" s="26">
      <c r="A127" s="46" t="inlineStr">
        <is>
          <t>zetel</t>
        </is>
      </c>
      <c r="B127" s="46" t="inlineStr">
        <is>
          <t>jair</t>
        </is>
      </c>
      <c r="C127" s="46" t="inlineStr">
        <is>
          <t>Doou R$ 3 mi à campanha de 2022, 2º maior doador depois do PL (CNN/TSE)</t>
        </is>
      </c>
      <c r="D127" s="46" t="inlineStr">
        <is>
          <t>Reportado</t>
        </is>
      </c>
      <c r="E127" s="46">
        <f>INDEX(Nodes!$B$2:$B$97,MATCH(A127,Nodes!$A$2:$A$97,0))</f>
        <v/>
      </c>
      <c r="F127" s="46">
        <f>INDEX(Nodes!$B$2:$B$97,MATCH(B127,Nodes!$A$2:$A$97,0))</f>
        <v/>
      </c>
    </row>
    <row r="128" ht="23.85" customHeight="1" s="26">
      <c r="A128" s="46" t="inlineStr">
        <is>
          <t>zetel</t>
        </is>
      </c>
      <c r="B128" s="46" t="inlineStr">
        <is>
          <t>tarcisio</t>
        </is>
      </c>
      <c r="C128" s="46" t="inlineStr">
        <is>
          <t>Doou R$ 2 mi à campanha de 2022, a maior doação de pessoa física (CNN/TSE)</t>
        </is>
      </c>
      <c r="D128" s="46" t="inlineStr">
        <is>
          <t>Reportado</t>
        </is>
      </c>
      <c r="E128" s="46">
        <f>INDEX(Nodes!$B$2:$B$97,MATCH(A128,Nodes!$A$2:$A$97,0))</f>
        <v/>
      </c>
      <c r="F128" s="46">
        <f>INDEX(Nodes!$B$2:$B$97,MATCH(B128,Nodes!$A$2:$A$97,0))</f>
        <v/>
      </c>
    </row>
    <row r="129" ht="23.85" customHeight="1" s="26">
      <c r="A129" s="46" t="inlineStr">
        <is>
          <t>master</t>
        </is>
      </c>
      <c r="B129" s="46" t="inlineStr">
        <is>
          <t>nunes</t>
        </is>
      </c>
      <c r="C129" s="46" t="inlineStr">
        <is>
          <t>Contrato da “Turma do KN” de até R$ 427 mi, condicionado a êxito (CNN); ele nega agir pelo banco</t>
        </is>
      </c>
      <c r="D129" s="46" t="inlineStr">
        <is>
          <t>Alegado ou contestado</t>
        </is>
      </c>
      <c r="E129" s="46">
        <f>INDEX(Nodes!$B$2:$B$97,MATCH(A129,Nodes!$A$2:$A$97,0))</f>
        <v/>
      </c>
      <c r="F129" s="46">
        <f>INDEX(Nodes!$B$2:$B$97,MATCH(B129,Nodes!$A$2:$A$97,0))</f>
        <v/>
      </c>
    </row>
    <row r="130" ht="23.85" customHeight="1" s="26">
      <c r="A130" s="46" t="inlineStr">
        <is>
          <t>vorcaro</t>
        </is>
      </c>
      <c r="B130" s="46" t="inlineStr">
        <is>
          <t>kevin</t>
        </is>
      </c>
      <c r="C130" s="46" t="inlineStr">
        <is>
          <t>Diálogos citam suposta mesada de R$ 500 mil (CNN); Nunes nega que o filho tenha servido ao Master</t>
        </is>
      </c>
      <c r="D130" s="46" t="inlineStr">
        <is>
          <t>Alegado ou contestado</t>
        </is>
      </c>
      <c r="E130" s="46">
        <f>INDEX(Nodes!$B$2:$B$97,MATCH(A130,Nodes!$A$2:$A$97,0))</f>
        <v/>
      </c>
      <c r="F130" s="46">
        <f>INDEX(Nodes!$B$2:$B$97,MATCH(B130,Nodes!$A$2:$A$97,0))</f>
        <v/>
      </c>
    </row>
    <row r="131" ht="15" customHeight="1" s="26">
      <c r="A131" s="46" t="n"/>
      <c r="B131" s="46" t="n"/>
      <c r="C131" s="46" t="n"/>
      <c r="D131" s="46" t="n"/>
      <c r="E131" s="46" t="n"/>
      <c r="F131" s="46" t="n"/>
    </row>
    <row r="132" ht="15" customHeight="1" s="26">
      <c r="A132" s="46" t="inlineStr">
        <is>
          <t>jair</t>
        </is>
      </c>
      <c r="B132" s="46" t="inlineStr">
        <is>
          <t>mendonca</t>
        </is>
      </c>
      <c r="C132" s="46" t="inlineStr">
        <is>
          <t>Indicou ao STF</t>
        </is>
      </c>
      <c r="D132" s="46" t="inlineStr">
        <is>
          <t>Reportado</t>
        </is>
      </c>
      <c r="E132" s="46">
        <f>INDEX(Nodes!$B$2:$B$97,MATCH(A132,Nodes!$A$2:$A$97,0))</f>
        <v/>
      </c>
      <c r="F132" s="46">
        <f>INDEX(Nodes!$B$2:$B$97,MATCH(B132,Nodes!$A$2:$A$97,0))</f>
        <v/>
      </c>
    </row>
    <row r="133" ht="15" customHeight="1" s="26">
      <c r="A133" s="46" t="inlineStr">
        <is>
          <t>cirorocha</t>
        </is>
      </c>
      <c r="B133" s="46" t="inlineStr">
        <is>
          <t>vorcaro</t>
        </is>
      </c>
      <c r="C133" s="46" t="inlineStr">
        <is>
          <t>Advogado dele</t>
        </is>
      </c>
      <c r="D133" s="46" t="inlineStr">
        <is>
          <t>Reportado</t>
        </is>
      </c>
      <c r="E133" s="46">
        <f>INDEX(Nodes!$B$2:$B$97,MATCH(A133,Nodes!$A$2:$A$97,0))</f>
        <v/>
      </c>
      <c r="F133" s="46">
        <f>INDEX(Nodes!$B$2:$B$97,MATCH(B133,Nodes!$A$2:$A$97,0))</f>
        <v/>
      </c>
    </row>
    <row r="134" ht="23.85" customHeight="1" s="26">
      <c r="A134" s="46" t="inlineStr">
        <is>
          <t>cirorocha</t>
        </is>
      </c>
      <c r="B134" s="46" t="inlineStr">
        <is>
          <t>mendonca</t>
        </is>
      </c>
      <c r="C134" s="46" t="inlineStr">
        <is>
          <t>Levou o ministro a alfaiataria e articulou reunião com Vorcaro (mensagens)</t>
        </is>
      </c>
      <c r="D134" s="46" t="inlineStr">
        <is>
          <t>Alegado ou contestado</t>
        </is>
      </c>
      <c r="E134" s="46">
        <f>INDEX(Nodes!$B$2:$B$97,MATCH(A134,Nodes!$A$2:$A$97,0))</f>
        <v/>
      </c>
      <c r="F134" s="46">
        <f>INDEX(Nodes!$B$2:$B$97,MATCH(B134,Nodes!$A$2:$A$97,0))</f>
        <v/>
      </c>
    </row>
    <row r="135" ht="23.85" customHeight="1" s="26">
      <c r="A135" s="46" t="inlineStr">
        <is>
          <t>mendonca</t>
        </is>
      </c>
      <c r="B135" s="46" t="inlineStr">
        <is>
          <t>vorcaro</t>
        </is>
      </c>
      <c r="C135" s="46" t="inlineStr">
        <is>
          <t>Reunião reservada de 2 h em 14/03/2025, fora da agenda, no ITER (mensagens); não há prova de que tenha agido pelo Master</t>
        </is>
      </c>
      <c r="D135" s="46" t="inlineStr">
        <is>
          <t>Alegado ou contestado</t>
        </is>
      </c>
      <c r="E135" s="46">
        <f>INDEX(Nodes!$B$2:$B$97,MATCH(A135,Nodes!$A$2:$A$97,0))</f>
        <v/>
      </c>
      <c r="F135" s="46">
        <f>INDEX(Nodes!$B$2:$B$97,MATCH(B135,Nodes!$A$2:$A$97,0))</f>
        <v/>
      </c>
    </row>
    <row r="136" ht="23.85" customHeight="1" s="26">
      <c r="A136" s="46" t="inlineStr">
        <is>
          <t>mendonca</t>
        </is>
      </c>
      <c r="B136" s="46" t="inlineStr">
        <is>
          <t>vorcaro</t>
        </is>
      </c>
      <c r="C136" s="46" t="inlineStr">
        <is>
          <t>Gabinete ouviu Vorcaro em 27/08/2026 sem a PF; recomendou sigilo do celular dele</t>
        </is>
      </c>
      <c r="D136" s="46" t="inlineStr">
        <is>
          <t>Alegado ou contestado</t>
        </is>
      </c>
      <c r="E136" s="46">
        <f>INDEX(Nodes!$B$2:$B$97,MATCH(A136,Nodes!$A$2:$A$97,0))</f>
        <v/>
      </c>
      <c r="F136" s="46">
        <f>INDEX(Nodes!$B$2:$B$97,MATCH(B136,Nodes!$A$2:$A$97,0))</f>
        <v/>
      </c>
    </row>
    <row r="137" ht="15" customHeight="1" s="26">
      <c r="A137" s="46" t="inlineStr">
        <is>
          <t>bianco</t>
        </is>
      </c>
      <c r="B137" s="46" t="inlineStr">
        <is>
          <t>mendonca</t>
        </is>
      </c>
      <c r="C137" s="46" t="inlineStr">
        <is>
          <t>Convidado para a reunião com Vorcaro (fev/2025)</t>
        </is>
      </c>
      <c r="D137" s="46" t="inlineStr">
        <is>
          <t>Alegado ou contestado</t>
        </is>
      </c>
      <c r="E137" s="46">
        <f>INDEX(Nodes!$B$2:$B$97,MATCH(A137,Nodes!$A$2:$A$97,0))</f>
        <v/>
      </c>
      <c r="F137" s="46">
        <f>INDEX(Nodes!$B$2:$B$97,MATCH(B137,Nodes!$A$2:$A$97,0))</f>
        <v/>
      </c>
    </row>
    <row r="138" ht="15" customHeight="1" s="26">
      <c r="A138" s="46" t="inlineStr">
        <is>
          <t>cezinha</t>
        </is>
      </c>
      <c r="B138" s="46" t="inlineStr">
        <is>
          <t>mendonca</t>
        </is>
      </c>
      <c r="C138" s="46" t="inlineStr">
        <is>
          <t>Ajudou a articular a reunião com Vorcaro de mar/2025 (mensagens)</t>
        </is>
      </c>
      <c r="D138" s="46" t="inlineStr">
        <is>
          <t>Alegado ou contestado</t>
        </is>
      </c>
      <c r="E138" s="46">
        <f>INDEX(Nodes!$B$2:$B$97,MATCH(A138,Nodes!$A$2:$A$97,0))</f>
        <v/>
      </c>
      <c r="F138" s="46">
        <f>INDEX(Nodes!$B$2:$B$97,MATCH(B138,Nodes!$A$2:$A$97,0))</f>
        <v/>
      </c>
    </row>
    <row r="139" ht="15" customHeight="1" s="26">
      <c r="A139" s="46" t="inlineStr">
        <is>
          <t>tarcisio</t>
        </is>
      </c>
      <c r="B139" s="46" t="inlineStr">
        <is>
          <t>cezinha</t>
        </is>
      </c>
      <c r="C139" s="46" t="inlineStr">
        <is>
          <t>Financiou 24% da campanha do deputado</t>
        </is>
      </c>
      <c r="D139" s="46" t="inlineStr">
        <is>
          <t>Reportado</t>
        </is>
      </c>
      <c r="E139" s="46">
        <f>INDEX(Nodes!$B$2:$B$97,MATCH(A139,Nodes!$A$2:$A$97,0))</f>
        <v/>
      </c>
      <c r="F139" s="46">
        <f>INDEX(Nodes!$B$2:$B$97,MATCH(B139,Nodes!$A$2:$A$97,0))</f>
        <v/>
      </c>
    </row>
    <row r="140" ht="15" customHeight="1" s="26">
      <c r="A140" s="46" t="inlineStr">
        <is>
          <t>mendonca</t>
        </is>
      </c>
      <c r="B140" s="46" t="inlineStr">
        <is>
          <t>iter</t>
        </is>
      </c>
      <c r="C140" s="46" t="inlineStr">
        <is>
          <t>Fundador</t>
        </is>
      </c>
      <c r="D140" s="46" t="inlineStr">
        <is>
          <t>Reportado</t>
        </is>
      </c>
      <c r="E140" s="46">
        <f>INDEX(Nodes!$B$2:$B$97,MATCH(A140,Nodes!$A$2:$A$97,0))</f>
        <v/>
      </c>
      <c r="F140" s="46">
        <f>INDEX(Nodes!$B$2:$B$97,MATCH(B140,Nodes!$A$2:$A$97,0))</f>
        <v/>
      </c>
    </row>
    <row r="141" ht="23.85" customHeight="1" s="26">
      <c r="A141" s="46" t="inlineStr">
        <is>
          <t>vorcaro</t>
        </is>
      </c>
      <c r="B141" s="46" t="inlineStr">
        <is>
          <t>iter</t>
        </is>
      </c>
      <c r="C141" s="46" t="inlineStr">
        <is>
          <t>Empresa de sócio dele aportou R$ 5,2 mi (jan/2026); Vorcaro foi a coquetéis do instituto</t>
        </is>
      </c>
      <c r="D141" s="46" t="inlineStr">
        <is>
          <t>Alegado ou contestado</t>
        </is>
      </c>
      <c r="E141" s="46">
        <f>INDEX(Nodes!$B$2:$B$97,MATCH(A141,Nodes!$A$2:$A$97,0))</f>
        <v/>
      </c>
      <c r="F141" s="46">
        <f>INDEX(Nodes!$B$2:$B$97,MATCH(B141,Nodes!$A$2:$A$97,0))</f>
        <v/>
      </c>
    </row>
    <row r="142" ht="23.85" customHeight="1" s="26">
      <c r="A142" s="46" t="inlineStr">
        <is>
          <t>mendonca</t>
        </is>
      </c>
      <c r="B142" s="46" t="inlineStr">
        <is>
          <t>master</t>
        </is>
      </c>
      <c r="C142" s="46" t="inlineStr">
        <is>
          <t>Relator do caso Master no STF (sorteado em fev/2026); desde 12/09/2026 os autos estão com a Presidência do STF</t>
        </is>
      </c>
      <c r="D142" s="46" t="inlineStr">
        <is>
          <t>Reportado</t>
        </is>
      </c>
      <c r="E142" s="46">
        <f>INDEX(Nodes!$B$2:$B$97,MATCH(A142,Nodes!$A$2:$A$97,0))</f>
        <v/>
      </c>
      <c r="F142" s="46">
        <f>INDEX(Nodes!$B$2:$B$97,MATCH(B142,Nodes!$A$2:$A$97,0))</f>
        <v/>
      </c>
    </row>
    <row r="143" ht="23.85" customHeight="1" s="26">
      <c r="A143" s="46" t="inlineStr">
        <is>
          <t>mendonca</t>
        </is>
      </c>
      <c r="B143" s="46" t="inlineStr">
        <is>
          <t>pf</t>
        </is>
      </c>
      <c r="C143" s="46" t="inlineStr">
        <is>
          <t>Afastou o diretor-geral sem ouvir a PGR (08/09/2026), alegando monitoramento ilegal; AGU vê usurpação de competência</t>
        </is>
      </c>
      <c r="D143" s="46" t="inlineStr">
        <is>
          <t>Reportado</t>
        </is>
      </c>
      <c r="E143" s="46">
        <f>INDEX(Nodes!$B$2:$B$97,MATCH(A143,Nodes!$A$2:$A$97,0))</f>
        <v/>
      </c>
      <c r="F143" s="46">
        <f>INDEX(Nodes!$B$2:$B$97,MATCH(B143,Nodes!$A$2:$A$97,0))</f>
        <v/>
      </c>
    </row>
    <row r="144" ht="15" customHeight="1" s="26">
      <c r="A144" s="46" t="inlineStr">
        <is>
          <t>mendonca</t>
        </is>
      </c>
      <c r="B144" s="46" t="inlineStr">
        <is>
          <t>careca</t>
        </is>
      </c>
      <c r="C144" s="46" t="inlineStr">
        <is>
          <t>Revogou a prisão do filho dele (09/09/2026)</t>
        </is>
      </c>
      <c r="D144" s="46" t="inlineStr">
        <is>
          <t>Reportado</t>
        </is>
      </c>
      <c r="E144" s="46">
        <f>INDEX(Nodes!$B$2:$B$97,MATCH(A144,Nodes!$A$2:$A$97,0))</f>
        <v/>
      </c>
      <c r="F144" s="46">
        <f>INDEX(Nodes!$B$2:$B$97,MATCH(B144,Nodes!$A$2:$A$97,0))</f>
        <v/>
      </c>
    </row>
    <row r="145" ht="23.85" customHeight="1" s="26">
      <c r="A145" s="46" t="inlineStr">
        <is>
          <t>pf</t>
        </is>
      </c>
      <c r="B145" s="46" t="inlineStr">
        <is>
          <t>mendonca</t>
        </is>
      </c>
      <c r="C145" s="46" t="inlineStr">
        <is>
          <t>Relatório aponta diferença de até 8x nos prazos de decisão e demora para rastrear o dinheiro</t>
        </is>
      </c>
      <c r="D145" s="46" t="inlineStr">
        <is>
          <t>Alegado ou contestado</t>
        </is>
      </c>
      <c r="E145" s="46">
        <f>INDEX(Nodes!$B$2:$B$97,MATCH(A145,Nodes!$A$2:$A$97,0))</f>
        <v/>
      </c>
      <c r="F145" s="46">
        <f>INDEX(Nodes!$B$2:$B$97,MATCH(B145,Nodes!$A$2:$A$97,0))</f>
        <v/>
      </c>
    </row>
    <row r="146" ht="23.85" customHeight="1" s="26">
      <c r="A146" s="46" t="inlineStr">
        <is>
          <t>mendonca</t>
        </is>
      </c>
      <c r="B146" s="46" t="inlineStr">
        <is>
          <t>moraes</t>
        </is>
      </c>
      <c r="C146" s="46" t="inlineStr">
        <is>
          <t>PF: pressionou por Moraes; PGR diz que o investigou antes do aval do plenário</t>
        </is>
      </c>
      <c r="D146" s="46" t="inlineStr">
        <is>
          <t>Alegado ou contestado</t>
        </is>
      </c>
      <c r="E146" s="46">
        <f>INDEX(Nodes!$B$2:$B$97,MATCH(A146,Nodes!$A$2:$A$97,0))</f>
        <v/>
      </c>
      <c r="F146" s="46">
        <f>INDEX(Nodes!$B$2:$B$97,MATCH(B146,Nodes!$A$2:$A$97,0))</f>
        <v/>
      </c>
    </row>
    <row r="147" ht="15" customHeight="1" s="26">
      <c r="A147" s="46" t="inlineStr">
        <is>
          <t>mendonca</t>
        </is>
      </c>
      <c r="B147" s="46" t="inlineStr">
        <is>
          <t>nunes</t>
        </is>
      </c>
      <c r="C147" s="46" t="inlineStr">
        <is>
          <t>PF: teria poupado Nunes e Toffoli</t>
        </is>
      </c>
      <c r="D147" s="46" t="inlineStr">
        <is>
          <t>Alegado ou contestado</t>
        </is>
      </c>
      <c r="E147" s="46">
        <f>INDEX(Nodes!$B$2:$B$97,MATCH(A147,Nodes!$A$2:$A$97,0))</f>
        <v/>
      </c>
      <c r="F147" s="46">
        <f>INDEX(Nodes!$B$2:$B$97,MATCH(B147,Nodes!$A$2:$A$97,0))</f>
        <v/>
      </c>
    </row>
    <row r="148" ht="15" customHeight="1" s="26">
      <c r="A148" s="46" t="inlineStr">
        <is>
          <t>tarcisio</t>
        </is>
      </c>
      <c r="B148" s="46" t="inlineStr">
        <is>
          <t>iter</t>
        </is>
      </c>
      <c r="C148" s="46" t="inlineStr">
        <is>
          <t>Governo de SP contratou o instituto (R$ 1,6 mi, sem licitação)</t>
        </is>
      </c>
      <c r="D148" s="46" t="inlineStr">
        <is>
          <t>Reportado</t>
        </is>
      </c>
      <c r="E148" s="46">
        <f>INDEX(Nodes!$B$2:$B$97,MATCH(A148,Nodes!$A$2:$A$97,0))</f>
        <v/>
      </c>
      <c r="F148" s="46">
        <f>INDEX(Nodes!$B$2:$B$97,MATCH(B148,Nodes!$A$2:$A$97,0))</f>
        <v/>
      </c>
    </row>
    <row r="149" ht="15" customHeight="1" s="26">
      <c r="A149" s="46" t="inlineStr">
        <is>
          <t>rnunes</t>
        </is>
      </c>
      <c r="B149" s="46" t="inlineStr">
        <is>
          <t>iter</t>
        </is>
      </c>
      <c r="C149" s="46" t="inlineStr">
        <is>
          <t>Prefeitura de SP contratou o instituto (R$ 380 mil)</t>
        </is>
      </c>
      <c r="D149" s="46" t="inlineStr">
        <is>
          <t>Reportado</t>
        </is>
      </c>
      <c r="E149" s="46">
        <f>INDEX(Nodes!$B$2:$B$97,MATCH(A149,Nodes!$A$2:$A$97,0))</f>
        <v/>
      </c>
      <c r="F149" s="46">
        <f>INDEX(Nodes!$B$2:$B$97,MATCH(B149,Nodes!$A$2:$A$97,0))</f>
        <v/>
      </c>
    </row>
    <row r="150" ht="15" customHeight="1" s="26">
      <c r="A150" s="46" t="inlineStr">
        <is>
          <t>rnunes</t>
        </is>
      </c>
      <c r="B150" s="46" t="inlineStr">
        <is>
          <t>mendonca</t>
        </is>
      </c>
      <c r="C150" s="46" t="inlineStr">
        <is>
          <t>Promoveu o irmão do ministro após voto favorável à Prefeitura</t>
        </is>
      </c>
      <c r="D150" s="46" t="inlineStr">
        <is>
          <t>Alegado ou contestado</t>
        </is>
      </c>
      <c r="E150" s="46">
        <f>INDEX(Nodes!$B$2:$B$97,MATCH(A150,Nodes!$A$2:$A$97,0))</f>
        <v/>
      </c>
      <c r="F150" s="46">
        <f>INDEX(Nodes!$B$2:$B$97,MATCH(B150,Nodes!$A$2:$A$97,0))</f>
        <v/>
      </c>
    </row>
    <row r="151" ht="15" customHeight="1" s="26">
      <c r="A151" s="46" t="inlineStr">
        <is>
          <t>castro</t>
        </is>
      </c>
      <c r="B151" s="46" t="inlineStr">
        <is>
          <t>iter</t>
        </is>
      </c>
      <c r="C151" s="46" t="inlineStr">
        <is>
          <t>Governo do RJ contratou o instituto (R$ 518 mil)</t>
        </is>
      </c>
      <c r="D151" s="46" t="inlineStr">
        <is>
          <t>Reportado</t>
        </is>
      </c>
      <c r="E151" s="46">
        <f>INDEX(Nodes!$B$2:$B$97,MATCH(A151,Nodes!$A$2:$A$97,0))</f>
        <v/>
      </c>
      <c r="F151" s="46">
        <f>INDEX(Nodes!$B$2:$B$97,MATCH(B151,Nodes!$A$2:$A$97,0))</f>
        <v/>
      </c>
    </row>
    <row r="152" ht="15" customHeight="1" s="26">
      <c r="A152" s="46" t="inlineStr">
        <is>
          <t>mendonca</t>
        </is>
      </c>
      <c r="B152" s="46" t="inlineStr">
        <is>
          <t>castro</t>
        </is>
      </c>
      <c r="C152" s="46" t="inlineStr">
        <is>
          <t>Votou a favor dele 4 vezes enquanto o instituto tinha contratos no Rio</t>
        </is>
      </c>
      <c r="D152" s="46" t="inlineStr">
        <is>
          <t>Alegado ou contestado</t>
        </is>
      </c>
      <c r="E152" s="46">
        <f>INDEX(Nodes!$B$2:$B$97,MATCH(A152,Nodes!$A$2:$A$97,0))</f>
        <v/>
      </c>
      <c r="F152" s="46">
        <f>INDEX(Nodes!$B$2:$B$97,MATCH(B152,Nodes!$A$2:$A$97,0))</f>
        <v/>
      </c>
    </row>
    <row r="153" ht="46.25" customHeight="1" s="26">
      <c r="A153" s="46" t="inlineStr">
        <is>
          <t>vorcaro</t>
        </is>
      </c>
      <c r="B153" s="46" t="inlineStr">
        <is>
          <t>ciro</t>
        </is>
      </c>
      <c r="C153" s="46" t="inlineStr">
        <is>
          <t>PF: mesadas de ao menos R$ 6 mi (jun/2024 a ago/2025), estimadas por mensagens entre Vorcaro e o primo (R$ 300 mil por mês; relatos falam em R$ 500 mil), e viagens pagas (R$ 468,7 mil em viagens e jantares, R$ 122 mil só em restaurantes em Courchevel; CNN); ele nega ilicitude</t>
        </is>
      </c>
      <c r="D153" s="46" t="inlineStr">
        <is>
          <t>Alegado ou contestado</t>
        </is>
      </c>
      <c r="E153" s="46">
        <f>INDEX(Nodes!$B$2:$B$97,MATCH(A153,Nodes!$A$2:$A$97,0))</f>
        <v/>
      </c>
      <c r="F153" s="46">
        <f>INDEX(Nodes!$B$2:$B$97,MATCH(B153,Nodes!$A$2:$A$97,0))</f>
        <v/>
      </c>
    </row>
    <row r="154" ht="15" customHeight="1" s="26">
      <c r="A154" s="46" t="inlineStr">
        <is>
          <t>ciro</t>
        </is>
      </c>
      <c r="B154" s="46" t="inlineStr">
        <is>
          <t>master</t>
        </is>
      </c>
      <c r="C154" s="46" t="inlineStr">
        <is>
          <t>Autor da “Emenda Master” (garantia do FGC de R$ 250 mil para R$ 1 mi)</t>
        </is>
      </c>
      <c r="D154" s="46" t="inlineStr">
        <is>
          <t>Reportado</t>
        </is>
      </c>
      <c r="E154" s="46">
        <f>INDEX(Nodes!$B$2:$B$97,MATCH(A154,Nodes!$A$2:$A$97,0))</f>
        <v/>
      </c>
      <c r="F154" s="46">
        <f>INDEX(Nodes!$B$2:$B$97,MATCH(B154,Nodes!$A$2:$A$97,0))</f>
        <v/>
      </c>
    </row>
    <row r="155" ht="15" customHeight="1" s="26">
      <c r="A155" s="46" t="inlineStr">
        <is>
          <t>pf</t>
        </is>
      </c>
      <c r="B155" s="46" t="inlineStr">
        <is>
          <t>ciro</t>
        </is>
      </c>
      <c r="C155" s="46" t="inlineStr">
        <is>
          <t>Alvo da 5ª fase da Operação Compliance Zero</t>
        </is>
      </c>
      <c r="D155" s="46" t="inlineStr">
        <is>
          <t>Reportado</t>
        </is>
      </c>
      <c r="E155" s="46">
        <f>INDEX(Nodes!$B$2:$B$97,MATCH(A155,Nodes!$A$2:$A$97,0))</f>
        <v/>
      </c>
      <c r="F155" s="46">
        <f>INDEX(Nodes!$B$2:$B$97,MATCH(B155,Nodes!$A$2:$A$97,0))</f>
        <v/>
      </c>
    </row>
    <row r="156" ht="15" customHeight="1" s="26">
      <c r="A156" s="46" t="inlineStr">
        <is>
          <t>jair</t>
        </is>
      </c>
      <c r="B156" s="46" t="inlineStr">
        <is>
          <t>faria</t>
        </is>
      </c>
      <c r="C156" s="46" t="inlineStr">
        <is>
          <t>Ex-ministro das Comunicações</t>
        </is>
      </c>
      <c r="D156" s="46" t="inlineStr">
        <is>
          <t>Reportado</t>
        </is>
      </c>
      <c r="E156" s="46">
        <f>INDEX(Nodes!$B$2:$B$97,MATCH(A156,Nodes!$A$2:$A$97,0))</f>
        <v/>
      </c>
      <c r="F156" s="46">
        <f>INDEX(Nodes!$B$2:$B$97,MATCH(B156,Nodes!$A$2:$A$97,0))</f>
        <v/>
      </c>
    </row>
    <row r="157" ht="23.85" customHeight="1" s="26">
      <c r="A157" s="46" t="inlineStr">
        <is>
          <t>faria</t>
        </is>
      </c>
      <c r="B157" s="46" t="inlineStr">
        <is>
          <t>vorcaro</t>
        </is>
      </c>
      <c r="C157" s="46" t="inlineStr">
        <is>
          <t>PF: articulador dele em Brasília. Vorcaro pagou R$ 67,5 mi por projeto eólico de Faria (piauí); ele defende o valor</t>
        </is>
      </c>
      <c r="D157" s="46" t="inlineStr">
        <is>
          <t>Alegado ou contestado</t>
        </is>
      </c>
      <c r="E157" s="46">
        <f>INDEX(Nodes!$B$2:$B$97,MATCH(A157,Nodes!$A$2:$A$97,0))</f>
        <v/>
      </c>
      <c r="F157" s="46">
        <f>INDEX(Nodes!$B$2:$B$97,MATCH(B157,Nodes!$A$2:$A$97,0))</f>
        <v/>
      </c>
    </row>
    <row r="158" ht="15" customHeight="1" s="26">
      <c r="A158" s="46" t="inlineStr">
        <is>
          <t>faria</t>
        </is>
      </c>
      <c r="B158" s="46" t="inlineStr">
        <is>
          <t>moraes</t>
        </is>
      </c>
      <c r="C158" s="46" t="inlineStr">
        <is>
          <t>PF: intermediou contatos entre Vorcaro e Moraes</t>
        </is>
      </c>
      <c r="D158" s="46" t="inlineStr">
        <is>
          <t>Alegado ou contestado</t>
        </is>
      </c>
      <c r="E158" s="46">
        <f>INDEX(Nodes!$B$2:$B$97,MATCH(A158,Nodes!$A$2:$A$97,0))</f>
        <v/>
      </c>
      <c r="F158" s="46">
        <f>INDEX(Nodes!$B$2:$B$97,MATCH(B158,Nodes!$A$2:$A$97,0))</f>
        <v/>
      </c>
    </row>
    <row r="159" ht="15" customHeight="1" s="26">
      <c r="A159" s="46" t="inlineStr">
        <is>
          <t>motta</t>
        </is>
      </c>
      <c r="B159" s="46" t="inlineStr">
        <is>
          <t>vorcaro</t>
        </is>
      </c>
      <c r="C159" s="46" t="inlineStr">
        <is>
          <t>Grupo de mensagens com Vorcaro, Ciro e Faria para organizar encontros</t>
        </is>
      </c>
      <c r="D159" s="46" t="inlineStr">
        <is>
          <t>Alegado ou contestado</t>
        </is>
      </c>
      <c r="E159" s="46">
        <f>INDEX(Nodes!$B$2:$B$97,MATCH(A159,Nodes!$A$2:$A$97,0))</f>
        <v/>
      </c>
      <c r="F159" s="46">
        <f>INDEX(Nodes!$B$2:$B$97,MATCH(B159,Nodes!$A$2:$A$97,0))</f>
        <v/>
      </c>
    </row>
    <row r="160" ht="15" customHeight="1" s="26">
      <c r="A160" s="46" t="inlineStr">
        <is>
          <t>jair</t>
        </is>
      </c>
      <c r="B160" s="46" t="inlineStr">
        <is>
          <t>frias</t>
        </is>
      </c>
      <c r="C160" s="46" t="inlineStr">
        <is>
          <t>Ex-secretário especial de Cultura</t>
        </is>
      </c>
      <c r="D160" s="46" t="inlineStr">
        <is>
          <t>Reportado</t>
        </is>
      </c>
      <c r="E160" s="46">
        <f>INDEX(Nodes!$B$2:$B$97,MATCH(A160,Nodes!$A$2:$A$97,0))</f>
        <v/>
      </c>
      <c r="F160" s="46">
        <f>INDEX(Nodes!$B$2:$B$97,MATCH(B160,Nodes!$A$2:$A$97,0))</f>
        <v/>
      </c>
    </row>
    <row r="161" ht="15" customHeight="1" s="26">
      <c r="A161" s="46" t="inlineStr">
        <is>
          <t>frias</t>
        </is>
      </c>
      <c r="B161" s="46" t="inlineStr">
        <is>
          <t>ong</t>
        </is>
      </c>
      <c r="C161" s="46" t="inlineStr">
        <is>
          <t>Produtor-executivo de Dark Horse</t>
        </is>
      </c>
      <c r="D161" s="46" t="inlineStr">
        <is>
          <t>Reportado</t>
        </is>
      </c>
      <c r="E161" s="46">
        <f>INDEX(Nodes!$B$2:$B$97,MATCH(A161,Nodes!$A$2:$A$97,0))</f>
        <v/>
      </c>
      <c r="F161" s="46">
        <f>INDEX(Nodes!$B$2:$B$97,MATCH(B161,Nodes!$A$2:$A$97,0))</f>
        <v/>
      </c>
    </row>
    <row r="162" ht="15" customHeight="1" s="26">
      <c r="A162" s="46" t="inlineStr">
        <is>
          <t>frias</t>
        </is>
      </c>
      <c r="B162" s="46" t="inlineStr">
        <is>
          <t>vorcaro</t>
        </is>
      </c>
      <c r="C162" s="46" t="inlineStr">
        <is>
          <t>Áudio agradece o financiamento do filme: “meu irmão”</t>
        </is>
      </c>
      <c r="D162" s="46" t="inlineStr">
        <is>
          <t>Alegado ou contestado</t>
        </is>
      </c>
      <c r="E162" s="46">
        <f>INDEX(Nodes!$B$2:$B$97,MATCH(A162,Nodes!$A$2:$A$97,0))</f>
        <v/>
      </c>
      <c r="F162" s="46">
        <f>INDEX(Nodes!$B$2:$B$97,MATCH(B162,Nodes!$A$2:$A$97,0))</f>
        <v/>
      </c>
    </row>
    <row r="163" ht="15" customHeight="1" s="26">
      <c r="A163" s="46" t="inlineStr">
        <is>
          <t>primeu</t>
        </is>
      </c>
      <c r="B163" s="46" t="inlineStr">
        <is>
          <t>marcal</t>
        </is>
      </c>
      <c r="C163" s="46" t="inlineStr">
        <is>
          <t>Pagou voo SP–EUA de R$ 1,17 mi (2025); Marçal confirmou o uso (Valor)</t>
        </is>
      </c>
      <c r="D163" s="46" t="inlineStr">
        <is>
          <t>Reportado</t>
        </is>
      </c>
      <c r="E163" s="46">
        <f>INDEX(Nodes!$B$2:$B$97,MATCH(A163,Nodes!$A$2:$A$97,0))</f>
        <v/>
      </c>
      <c r="F163" s="46">
        <f>INDEX(Nodes!$B$2:$B$97,MATCH(B163,Nodes!$A$2:$A$97,0))</f>
        <v/>
      </c>
    </row>
    <row r="164" ht="23.85" customHeight="1" s="26">
      <c r="A164" s="46" t="inlineStr">
        <is>
          <t>vorcaro</t>
        </is>
      </c>
      <c r="B164" s="46" t="inlineStr">
        <is>
          <t>govlula</t>
        </is>
      </c>
      <c r="C164" s="46" t="inlineStr">
        <is>
          <t>Mensagens: via Haddad como opositor e pediu ajuda para “bloquear” Gleisi e Mercadante</t>
        </is>
      </c>
      <c r="D164" s="46" t="inlineStr">
        <is>
          <t>Alegado ou contestado</t>
        </is>
      </c>
      <c r="E164" s="46">
        <f>INDEX(Nodes!$B$2:$B$97,MATCH(A164,Nodes!$A$2:$A$97,0))</f>
        <v/>
      </c>
      <c r="F164" s="46">
        <f>INDEX(Nodes!$B$2:$B$97,MATCH(B164,Nodes!$A$2:$A$97,0))</f>
        <v/>
      </c>
    </row>
    <row r="165" ht="15" customHeight="1" s="26">
      <c r="A165" s="46" t="inlineStr">
        <is>
          <t>gaspar</t>
        </is>
      </c>
      <c r="B165" s="46" t="inlineStr">
        <is>
          <t>flavio</t>
        </is>
      </c>
      <c r="C165" s="46" t="inlineStr">
        <is>
          <t>Vice na chapa (derrotada no 2º turno, 25/10/2026)</t>
        </is>
      </c>
      <c r="D165" s="46" t="inlineStr">
        <is>
          <t>Reportado</t>
        </is>
      </c>
      <c r="E165" s="46">
        <f>INDEX(Nodes!$B$2:$B$97,MATCH(A165,Nodes!$A$2:$A$97,0))</f>
        <v/>
      </c>
      <c r="F165" s="46">
        <f>INDEX(Nodes!$B$2:$B$97,MATCH(B165,Nodes!$A$2:$A$97,0))</f>
        <v/>
      </c>
    </row>
    <row r="166" ht="23.85" customHeight="1" s="26">
      <c r="A166" s="46" t="inlineStr">
        <is>
          <t>jbcarvalho</t>
        </is>
      </c>
      <c r="B166" s="46" t="inlineStr">
        <is>
          <t>flavio</t>
        </is>
      </c>
      <c r="C166" s="46" t="inlineStr">
        <is>
          <t>Flávio foi batizado na Comunidade das Nações, igreja dele, em jan/2024 (Folha)</t>
        </is>
      </c>
      <c r="D166" s="46" t="inlineStr">
        <is>
          <t>Reportado</t>
        </is>
      </c>
      <c r="E166" s="46">
        <f>INDEX(Nodes!$B$2:$B$97,MATCH(A166,Nodes!$A$2:$A$97,0))</f>
        <v/>
      </c>
      <c r="F166" s="46">
        <f>INDEX(Nodes!$B$2:$B$97,MATCH(B166,Nodes!$A$2:$A$97,0))</f>
        <v/>
      </c>
    </row>
    <row r="167" ht="15" customHeight="1" s="26">
      <c r="A167" s="46" t="inlineStr">
        <is>
          <t>kopenhagen</t>
        </is>
      </c>
      <c r="B167" s="46" t="inlineStr">
        <is>
          <t>flavio</t>
        </is>
      </c>
      <c r="C167" s="46" t="inlineStr">
        <is>
          <t>Franquia dele; MP suspeitou de lavagem (1.512 depósitos em espécie)</t>
        </is>
      </c>
      <c r="D167" s="46" t="inlineStr">
        <is>
          <t>Alegado ou contestado</t>
        </is>
      </c>
      <c r="E167" s="46">
        <f>INDEX(Nodes!$B$2:$B$97,MATCH(A167,Nodes!$A$2:$A$97,0))</f>
        <v/>
      </c>
      <c r="F167" s="46">
        <f>INDEX(Nodes!$B$2:$B$97,MATCH(B167,Nodes!$A$2:$A$97,0))</f>
        <v/>
      </c>
    </row>
    <row r="168" ht="23.85" customHeight="1" s="26">
      <c r="A168" s="46" t="inlineStr">
        <is>
          <t>flavio</t>
        </is>
      </c>
      <c r="B168" s="46" t="inlineStr">
        <is>
          <t>nunes</t>
        </is>
      </c>
      <c r="C168" s="46" t="inlineStr">
        <is>
          <t>Ex-sócio cita lobby dele com Nunes em favor de cliente; sem comprovação independente (PlatôBR)</t>
        </is>
      </c>
      <c r="D168" s="46" t="inlineStr">
        <is>
          <t>Alegado ou contestado</t>
        </is>
      </c>
      <c r="E168" s="46">
        <f>INDEX(Nodes!$B$2:$B$97,MATCH(A168,Nodes!$A$2:$A$97,0))</f>
        <v/>
      </c>
      <c r="F168" s="46">
        <f>INDEX(Nodes!$B$2:$B$97,MATCH(B168,Nodes!$A$2:$A$97,0))</f>
        <v/>
      </c>
    </row>
    <row r="169" ht="23.85" customHeight="1" s="26">
      <c r="A169" s="46" t="inlineStr">
        <is>
          <t>adriano</t>
        </is>
      </c>
      <c r="B169" s="46" t="inlineStr">
        <is>
          <t>flavio</t>
        </is>
      </c>
      <c r="C169" s="46" t="inlineStr">
        <is>
          <t>Mãe e mulher empregadas no gabinete; homenageado por Flávio em 2003 e 2005</t>
        </is>
      </c>
      <c r="D169" s="46" t="inlineStr">
        <is>
          <t>Reportado</t>
        </is>
      </c>
      <c r="E169" s="46">
        <f>INDEX(Nodes!$B$2:$B$97,MATCH(A169,Nodes!$A$2:$A$97,0))</f>
        <v/>
      </c>
      <c r="F169" s="46">
        <f>INDEX(Nodes!$B$2:$B$97,MATCH(B169,Nodes!$A$2:$A$97,0))</f>
        <v/>
      </c>
    </row>
    <row r="170" ht="23.85" customHeight="1" s="26">
      <c r="A170" s="46" t="inlineStr">
        <is>
          <t>adriano</t>
        </is>
      </c>
      <c r="B170" s="46" t="inlineStr">
        <is>
          <t>coaf</t>
        </is>
      </c>
      <c r="C170" s="46" t="inlineStr">
        <is>
          <t>MP-RJ: mãe e mulher eram “assessoras fantasmas” e devolviam salário (310 desvios)</t>
        </is>
      </c>
      <c r="D170" s="46" t="inlineStr">
        <is>
          <t>Alegado ou contestado</t>
        </is>
      </c>
      <c r="E170" s="46">
        <f>INDEX(Nodes!$B$2:$B$97,MATCH(A170,Nodes!$A$2:$A$97,0))</f>
        <v/>
      </c>
      <c r="F170" s="46">
        <f>INDEX(Nodes!$B$2:$B$97,MATCH(B170,Nodes!$A$2:$A$97,0))</f>
        <v/>
      </c>
    </row>
    <row r="171" ht="15" customHeight="1" s="26">
      <c r="A171" s="46" t="inlineStr">
        <is>
          <t>coaf</t>
        </is>
      </c>
      <c r="B171" s="46" t="inlineStr">
        <is>
          <t>adriano</t>
        </is>
      </c>
      <c r="C171" s="46" t="inlineStr">
        <is>
          <t>Dinheiro da rachadinha teria financiado prédios da milícia (Intercept)</t>
        </is>
      </c>
      <c r="D171" s="46" t="inlineStr">
        <is>
          <t>Alegado ou contestado</t>
        </is>
      </c>
      <c r="E171" s="46">
        <f>INDEX(Nodes!$B$2:$B$97,MATCH(A171,Nodes!$A$2:$A$97,0))</f>
        <v/>
      </c>
      <c r="F171" s="46">
        <f>INDEX(Nodes!$B$2:$B$97,MATCH(B171,Nodes!$A$2:$A$97,0))</f>
        <v/>
      </c>
    </row>
    <row r="172" ht="15" customHeight="1" s="26">
      <c r="A172" s="46" t="inlineStr">
        <is>
          <t>flavio</t>
        </is>
      </c>
      <c r="B172" s="46" t="inlineStr">
        <is>
          <t>ronald</t>
        </is>
      </c>
      <c r="C172" s="46" t="inlineStr">
        <is>
          <t>Homenageou em 2004</t>
        </is>
      </c>
      <c r="D172" s="46" t="inlineStr">
        <is>
          <t>Reportado</t>
        </is>
      </c>
      <c r="E172" s="46">
        <f>INDEX(Nodes!$B$2:$B$97,MATCH(A172,Nodes!$A$2:$A$97,0))</f>
        <v/>
      </c>
      <c r="F172" s="46">
        <f>INDEX(Nodes!$B$2:$B$97,MATCH(B172,Nodes!$A$2:$A$97,0))</f>
        <v/>
      </c>
    </row>
    <row r="173" ht="15" customHeight="1" s="26">
      <c r="A173" s="46" t="n"/>
      <c r="B173" s="46" t="n"/>
      <c r="C173" s="46" t="n"/>
      <c r="D173" s="46" t="n"/>
      <c r="E173" s="46" t="n"/>
      <c r="F173" s="46" t="n"/>
    </row>
    <row r="174" ht="15" customHeight="1" s="26">
      <c r="A174" s="46" t="n"/>
      <c r="B174" s="46" t="n"/>
      <c r="C174" s="46" t="n"/>
      <c r="D174" s="46" t="n"/>
      <c r="E174" s="46" t="n"/>
      <c r="F174" s="46" t="n"/>
    </row>
    <row r="175" ht="15" customHeight="1" s="26">
      <c r="A175" s="46" t="inlineStr">
        <is>
          <t>flavio</t>
        </is>
      </c>
      <c r="B175" s="46" t="inlineStr">
        <is>
          <t>pms16</t>
        </is>
      </c>
      <c r="C175" s="46" t="inlineStr">
        <is>
          <t>Condecorou</t>
        </is>
      </c>
      <c r="D175" s="46" t="inlineStr">
        <is>
          <t>Reportado</t>
        </is>
      </c>
      <c r="E175" s="46">
        <f>INDEX(Nodes!$B$2:$B$97,MATCH(A175,Nodes!$A$2:$A$97,0))</f>
        <v/>
      </c>
      <c r="F175" s="46">
        <f>INDEX(Nodes!$B$2:$B$97,MATCH(B175,Nodes!$A$2:$A$97,0))</f>
        <v/>
      </c>
    </row>
    <row r="176" ht="15" customHeight="1" s="26">
      <c r="A176" s="46" t="inlineStr">
        <is>
          <t>carlos</t>
        </is>
      </c>
      <c r="B176" s="46" t="inlineStr">
        <is>
          <t>pms16</t>
        </is>
      </c>
      <c r="C176" s="46" t="inlineStr">
        <is>
          <t>Condecorou</t>
        </is>
      </c>
      <c r="D176" s="46" t="inlineStr">
        <is>
          <t>Reportado</t>
        </is>
      </c>
      <c r="E176" s="46">
        <f>INDEX(Nodes!$B$2:$B$97,MATCH(A176,Nodes!$A$2:$A$97,0))</f>
        <v/>
      </c>
      <c r="F176" s="46">
        <f>INDEX(Nodes!$B$2:$B$97,MATCH(B176,Nodes!$A$2:$A$97,0))</f>
        <v/>
      </c>
    </row>
    <row r="177" ht="23.85" customHeight="1" s="26">
      <c r="A177" s="46" t="inlineStr">
        <is>
          <t>flavio</t>
        </is>
      </c>
      <c r="B177" s="46" t="inlineStr">
        <is>
          <t>ongbrazao</t>
        </is>
      </c>
      <c r="C177" s="46" t="inlineStr">
        <is>
          <t>Emenda de R$ 199 mil (nov/2023); PF apura. Ele diz que não cabe ao parlamentar auditar o uso</t>
        </is>
      </c>
      <c r="D177" s="46" t="inlineStr">
        <is>
          <t>Alegado ou contestado</t>
        </is>
      </c>
      <c r="E177" s="46">
        <f>INDEX(Nodes!$B$2:$B$97,MATCH(A177,Nodes!$A$2:$A$97,0))</f>
        <v/>
      </c>
      <c r="F177" s="46">
        <f>INDEX(Nodes!$B$2:$B$97,MATCH(B177,Nodes!$A$2:$A$97,0))</f>
        <v/>
      </c>
    </row>
    <row r="178" ht="15" customHeight="1" s="26">
      <c r="A178" s="46" t="inlineStr">
        <is>
          <t>peixe</t>
        </is>
      </c>
      <c r="B178" s="46" t="inlineStr">
        <is>
          <t>flavio</t>
        </is>
      </c>
      <c r="C178" s="46" t="inlineStr">
        <is>
          <t>PF: intermediou a emenda com o gabinete dele (O Globo, Estadão)</t>
        </is>
      </c>
      <c r="D178" s="46" t="inlineStr">
        <is>
          <t>Alegado ou contestado</t>
        </is>
      </c>
      <c r="E178" s="46">
        <f>INDEX(Nodes!$B$2:$B$97,MATCH(A178,Nodes!$A$2:$A$97,0))</f>
        <v/>
      </c>
      <c r="F178" s="46">
        <f>INDEX(Nodes!$B$2:$B$97,MATCH(B178,Nodes!$A$2:$A$97,0))</f>
        <v/>
      </c>
    </row>
    <row r="179" ht="15" customHeight="1" s="26">
      <c r="A179" s="46" t="inlineStr">
        <is>
          <t>peixe</t>
        </is>
      </c>
      <c r="B179" s="46" t="inlineStr">
        <is>
          <t>ongbrazao</t>
        </is>
      </c>
      <c r="C179" s="46" t="inlineStr">
        <is>
          <t>Ligado ao esquema dos irmãos Brazão</t>
        </is>
      </c>
      <c r="D179" s="46" t="inlineStr">
        <is>
          <t>Alegado ou contestado</t>
        </is>
      </c>
      <c r="E179" s="46">
        <f>INDEX(Nodes!$B$2:$B$97,MATCH(A179,Nodes!$A$2:$A$97,0))</f>
        <v/>
      </c>
      <c r="F179" s="46">
        <f>INDEX(Nodes!$B$2:$B$97,MATCH(B179,Nodes!$A$2:$A$97,0))</f>
        <v/>
      </c>
    </row>
    <row r="180" ht="23.85" customHeight="1" s="26">
      <c r="A180" s="46" t="inlineStr">
        <is>
          <t>flavio</t>
        </is>
      </c>
      <c r="B180" s="46" t="inlineStr">
        <is>
          <t>pmacusado</t>
        </is>
      </c>
      <c r="C180" s="46" t="inlineStr">
        <is>
          <t>Advogado dele no STJ (2024); recurso reverteu a ida a júri popular (coluna no iG)</t>
        </is>
      </c>
      <c r="D180" s="46" t="inlineStr">
        <is>
          <t>Reportado</t>
        </is>
      </c>
      <c r="E180" s="46">
        <f>INDEX(Nodes!$B$2:$B$97,MATCH(A180,Nodes!$A$2:$A$97,0))</f>
        <v/>
      </c>
      <c r="F180" s="46">
        <f>INDEX(Nodes!$B$2:$B$97,MATCH(B180,Nodes!$A$2:$A$97,0))</f>
        <v/>
      </c>
    </row>
    <row r="181" ht="15" customHeight="1" s="26">
      <c r="A181" s="46" t="inlineStr">
        <is>
          <t>willer</t>
        </is>
      </c>
      <c r="B181" s="46" t="inlineStr">
        <is>
          <t>angra</t>
        </is>
      </c>
      <c r="C181" s="46" t="inlineStr">
        <is>
          <t>Obteve a posse na Justiça na disputa com Richarlison</t>
        </is>
      </c>
      <c r="D181" s="46" t="inlineStr">
        <is>
          <t>Reportado</t>
        </is>
      </c>
      <c r="E181" s="46">
        <f>INDEX(Nodes!$B$2:$B$97,MATCH(A181,Nodes!$A$2:$A$97,0))</f>
        <v/>
      </c>
      <c r="F181" s="46">
        <f>INDEX(Nodes!$B$2:$B$97,MATCH(B181,Nodes!$A$2:$A$97,0))</f>
        <v/>
      </c>
    </row>
    <row r="182" ht="15" customHeight="1" s="26">
      <c r="A182" s="46" t="inlineStr">
        <is>
          <t>jair</t>
        </is>
      </c>
      <c r="B182" s="46" t="inlineStr">
        <is>
          <t>angra</t>
        </is>
      </c>
      <c r="C182" s="46" t="inlineStr">
        <is>
          <t>Governo dele liberou em um dia a transferência do imóvel (ICL)</t>
        </is>
      </c>
      <c r="D182" s="46" t="inlineStr">
        <is>
          <t>Alegado ou contestado</t>
        </is>
      </c>
      <c r="E182" s="46">
        <f>INDEX(Nodes!$B$2:$B$97,MATCH(A182,Nodes!$A$2:$A$97,0))</f>
        <v/>
      </c>
      <c r="F182" s="46">
        <f>INDEX(Nodes!$B$2:$B$97,MATCH(B182,Nodes!$A$2:$A$97,0))</f>
        <v/>
      </c>
    </row>
    <row r="183" ht="15" customHeight="1" s="26">
      <c r="A183" s="46" t="inlineStr">
        <is>
          <t>willer</t>
        </is>
      </c>
      <c r="B183" s="46" t="inlineStr">
        <is>
          <t>cathedral</t>
        </is>
      </c>
      <c r="C183" s="46" t="inlineStr">
        <is>
          <t>Criou em jan/2023; sócio com Jorge Barbosa Dias</t>
        </is>
      </c>
      <c r="D183" s="46" t="inlineStr">
        <is>
          <t>Reportado</t>
        </is>
      </c>
      <c r="E183" s="46">
        <f>INDEX(Nodes!$B$2:$B$97,MATCH(A183,Nodes!$A$2:$A$97,0))</f>
        <v/>
      </c>
      <c r="F183" s="46">
        <f>INDEX(Nodes!$B$2:$B$97,MATCH(B183,Nodes!$A$2:$A$97,0))</f>
        <v/>
      </c>
    </row>
    <row r="184" ht="15" customHeight="1" s="26">
      <c r="A184" s="46" t="inlineStr">
        <is>
          <t>cathedral</t>
        </is>
      </c>
      <c r="B184" s="46" t="inlineStr">
        <is>
          <t>bestbet</t>
        </is>
      </c>
      <c r="C184" s="46" t="inlineStr">
        <is>
          <t>Única acionista da Rede Loto (nome fantasia Best Bet)</t>
        </is>
      </c>
      <c r="D184" s="46" t="inlineStr">
        <is>
          <t>Reportado</t>
        </is>
      </c>
      <c r="E184" s="46">
        <f>INDEX(Nodes!$B$2:$B$97,MATCH(A184,Nodes!$A$2:$A$97,0))</f>
        <v/>
      </c>
      <c r="F184" s="46">
        <f>INDEX(Nodes!$B$2:$B$97,MATCH(B184,Nodes!$A$2:$A$97,0))</f>
        <v/>
      </c>
    </row>
    <row r="185" ht="23.85" customHeight="1" s="26">
      <c r="A185" s="46" t="inlineStr">
        <is>
          <t>cathedral</t>
        </is>
      </c>
      <c r="B185" s="46" t="inlineStr">
        <is>
          <t>alcazar</t>
        </is>
      </c>
      <c r="C185" s="46" t="inlineStr">
        <is>
          <t>Mesmo dono, administrador e endereço no Funchal; auditor ouvido pela piauí vê possível financiamento</t>
        </is>
      </c>
      <c r="D185" s="46" t="inlineStr">
        <is>
          <t>Alegado ou contestado</t>
        </is>
      </c>
      <c r="E185" s="46">
        <f>INDEX(Nodes!$B$2:$B$97,MATCH(A185,Nodes!$A$2:$A$97,0))</f>
        <v/>
      </c>
      <c r="F185" s="46">
        <f>INDEX(Nodes!$B$2:$B$97,MATCH(B185,Nodes!$A$2:$A$97,0))</f>
        <v/>
      </c>
    </row>
    <row r="186" ht="23.85" customHeight="1" s="26">
      <c r="A186" s="46" t="inlineStr">
        <is>
          <t>flavio</t>
        </is>
      </c>
      <c r="B186" s="46" t="inlineStr">
        <is>
          <t>bestbet</t>
        </is>
      </c>
      <c r="C186" s="46" t="inlineStr">
        <is>
          <t>piauí/PF: possível sócio oculto, via acesso à conta da Alcazar; ele e Willer negam</t>
        </is>
      </c>
      <c r="D186" s="46" t="inlineStr">
        <is>
          <t>Alegado ou contestado</t>
        </is>
      </c>
      <c r="E186" s="46">
        <f>INDEX(Nodes!$B$2:$B$97,MATCH(A186,Nodes!$A$2:$A$97,0))</f>
        <v/>
      </c>
      <c r="F186" s="46">
        <f>INDEX(Nodes!$B$2:$B$97,MATCH(B186,Nodes!$A$2:$A$97,0))</f>
        <v/>
      </c>
    </row>
    <row r="187" ht="15" customHeight="1" s="26">
      <c r="A187" s="46" t="inlineStr">
        <is>
          <t>loterj</t>
        </is>
      </c>
      <c r="B187" s="46" t="inlineStr">
        <is>
          <t>bestbet</t>
        </is>
      </c>
      <c r="C187" s="46" t="inlineStr">
        <is>
          <t>Licença de mai/2023</t>
        </is>
      </c>
      <c r="D187" s="46" t="inlineStr">
        <is>
          <t>Reportado</t>
        </is>
      </c>
      <c r="E187" s="46">
        <f>INDEX(Nodes!$B$2:$B$97,MATCH(A187,Nodes!$A$2:$A$97,0))</f>
        <v/>
      </c>
      <c r="F187" s="46">
        <f>INDEX(Nodes!$B$2:$B$97,MATCH(B187,Nodes!$A$2:$A$97,0))</f>
        <v/>
      </c>
    </row>
    <row r="188" ht="15" customHeight="1" s="26">
      <c r="A188" s="46" t="inlineStr">
        <is>
          <t>cancado</t>
        </is>
      </c>
      <c r="B188" s="46" t="inlineStr">
        <is>
          <t>bestbet</t>
        </is>
      </c>
      <c r="C188" s="46" t="inlineStr">
        <is>
          <t>Assinou a licença como presidente da Loterj</t>
        </is>
      </c>
      <c r="D188" s="46" t="inlineStr">
        <is>
          <t>Reportado</t>
        </is>
      </c>
      <c r="E188" s="46">
        <f>INDEX(Nodes!$B$2:$B$97,MATCH(A188,Nodes!$A$2:$A$97,0))</f>
        <v/>
      </c>
      <c r="F188" s="46">
        <f>INDEX(Nodes!$B$2:$B$97,MATCH(B188,Nodes!$A$2:$A$97,0))</f>
        <v/>
      </c>
    </row>
    <row r="189" ht="15" customHeight="1" s="26">
      <c r="A189" s="46" t="inlineStr">
        <is>
          <t>flavio</t>
        </is>
      </c>
      <c r="B189" s="46" t="inlineStr">
        <is>
          <t>cancado</t>
        </is>
      </c>
      <c r="C189" s="46" t="inlineStr">
        <is>
          <t>Teria indicado à presidência da Loterj (Folha)</t>
        </is>
      </c>
      <c r="D189" s="46" t="inlineStr">
        <is>
          <t>Alegado ou contestado</t>
        </is>
      </c>
      <c r="E189" s="46">
        <f>INDEX(Nodes!$B$2:$B$97,MATCH(A189,Nodes!$A$2:$A$97,0))</f>
        <v/>
      </c>
      <c r="F189" s="46">
        <f>INDEX(Nodes!$B$2:$B$97,MATCH(B189,Nodes!$A$2:$A$97,0))</f>
        <v/>
      </c>
    </row>
    <row r="190" ht="15" customHeight="1" s="26">
      <c r="A190" s="46" t="inlineStr">
        <is>
          <t>castro</t>
        </is>
      </c>
      <c r="B190" s="46" t="inlineStr">
        <is>
          <t>loterj</t>
        </is>
      </c>
      <c r="C190" s="46" t="inlineStr">
        <is>
          <t>Loteria do governo dele; contratos de 2023</t>
        </is>
      </c>
      <c r="D190" s="46" t="inlineStr">
        <is>
          <t>Reportado</t>
        </is>
      </c>
      <c r="E190" s="46">
        <f>INDEX(Nodes!$B$2:$B$97,MATCH(A190,Nodes!$A$2:$A$97,0))</f>
        <v/>
      </c>
      <c r="F190" s="46">
        <f>INDEX(Nodes!$B$2:$B$97,MATCH(B190,Nodes!$A$2:$A$97,0))</f>
        <v/>
      </c>
    </row>
    <row r="191" ht="35.05" customHeight="1" s="26">
      <c r="A191" s="46" t="inlineStr">
        <is>
          <t>cathedral</t>
        </is>
      </c>
      <c r="B191" s="46" t="inlineStr">
        <is>
          <t>flavio</t>
        </is>
      </c>
      <c r="C191" s="46" t="inlineStr">
        <is>
          <t>PF: canhotos de voos Lisboa–Nice e Cascais–Nice–Paris (2025) em nome da empresa; a defesa diz que Willer pagou e que eram passeios entre famílias</t>
        </is>
      </c>
      <c r="D191" s="46" t="inlineStr">
        <is>
          <t>Alegado ou contestado</t>
        </is>
      </c>
      <c r="E191" s="46">
        <f>INDEX(Nodes!$B$2:$B$97,MATCH(A191,Nodes!$A$2:$A$97,0))</f>
        <v/>
      </c>
      <c r="F191" s="46">
        <f>INDEX(Nodes!$B$2:$B$97,MATCH(B191,Nodes!$A$2:$A$97,0))</f>
        <v/>
      </c>
    </row>
    <row r="192" ht="23.85" customHeight="1" s="26">
      <c r="A192" s="46" t="inlineStr">
        <is>
          <t>willer</t>
        </is>
      </c>
      <c r="B192" s="46" t="inlineStr">
        <is>
          <t>riopag</t>
        </is>
      </c>
      <c r="C192" s="46" t="inlineStr">
        <is>
          <t>E-mail achado pela PF: se apresentou como sócio; antes negava, depois admitiu participação indireta (O Globo)</t>
        </is>
      </c>
      <c r="D192" s="46" t="inlineStr">
        <is>
          <t>Reportado</t>
        </is>
      </c>
      <c r="E192" s="46">
        <f>INDEX(Nodes!$B$2:$B$97,MATCH(A192,Nodes!$A$2:$A$97,0))</f>
        <v/>
      </c>
      <c r="F192" s="46">
        <f>INDEX(Nodes!$B$2:$B$97,MATCH(B192,Nodes!$A$2:$A$97,0))</f>
        <v/>
      </c>
    </row>
    <row r="193" ht="23.85" customHeight="1" s="26">
      <c r="A193" s="46" t="inlineStr">
        <is>
          <t>loterj</t>
        </is>
      </c>
      <c r="B193" s="46" t="inlineStr">
        <is>
          <t>riopag</t>
        </is>
      </c>
      <c r="C193" s="46" t="inlineStr">
        <is>
          <t>Contratou em 2023; o estado rescindiu em set/2026 e cobra R$ 9,4 mi (liminar suspendeu); a empresa contesta</t>
        </is>
      </c>
      <c r="D193" s="46" t="inlineStr">
        <is>
          <t>Reportado</t>
        </is>
      </c>
      <c r="E193" s="46">
        <f>INDEX(Nodes!$B$2:$B$97,MATCH(A193,Nodes!$A$2:$A$97,0))</f>
        <v/>
      </c>
      <c r="F193" s="46">
        <f>INDEX(Nodes!$B$2:$B$97,MATCH(B193,Nodes!$A$2:$A$97,0))</f>
        <v/>
      </c>
    </row>
    <row r="194" ht="23.85" customHeight="1" s="26">
      <c r="A194" s="46" t="inlineStr">
        <is>
          <t>willer</t>
        </is>
      </c>
      <c r="B194" s="46" t="inlineStr">
        <is>
          <t>hangar</t>
        </is>
      </c>
      <c r="C194" s="46" t="inlineStr">
        <is>
          <t>Ocupados por duas empresas de aviação dele</t>
        </is>
      </c>
      <c r="D194" s="46" t="inlineStr">
        <is>
          <t>Reportado</t>
        </is>
      </c>
      <c r="E194" s="46">
        <f>INDEX(Nodes!$B$2:$B$97,MATCH(A194,Nodes!$A$2:$A$97,0))</f>
        <v/>
      </c>
      <c r="F194" s="46">
        <f>INDEX(Nodes!$B$2:$B$97,MATCH(B194,Nodes!$A$2:$A$97,0))</f>
        <v/>
      </c>
    </row>
    <row r="195" ht="23.85" customHeight="1" s="26">
      <c r="A195" s="46" t="inlineStr">
        <is>
          <t>pf</t>
        </is>
      </c>
      <c r="B195" s="46" t="inlineStr">
        <is>
          <t>hangar</t>
        </is>
      </c>
      <c r="C195" s="46" t="inlineStr">
        <is>
          <t>Busca em ago/2026: sala oculta, máquina de contar e malas vazias, sem dinheiro (Estadão); Willer nega uso irregular</t>
        </is>
      </c>
      <c r="D195" s="46" t="inlineStr">
        <is>
          <t>Alegado ou contestado</t>
        </is>
      </c>
      <c r="E195" s="46">
        <f>INDEX(Nodes!$B$2:$B$97,MATCH(A195,Nodes!$A$2:$A$97,0))</f>
        <v/>
      </c>
      <c r="F195" s="46">
        <f>INDEX(Nodes!$B$2:$B$97,MATCH(B195,Nodes!$A$2:$A$97,0))</f>
        <v/>
      </c>
    </row>
    <row r="196" ht="15" customHeight="1" s="26">
      <c r="A196" s="46" t="inlineStr">
        <is>
          <t>pf</t>
        </is>
      </c>
      <c r="B196" s="46" t="inlineStr">
        <is>
          <t>weverton</t>
        </is>
      </c>
      <c r="C196" s="46" t="inlineStr">
        <is>
          <t>Operação Sem Desconto (04/08/2026), autorizada por Mendonça</t>
        </is>
      </c>
      <c r="D196" s="46" t="inlineStr">
        <is>
          <t>Reportado</t>
        </is>
      </c>
      <c r="E196" s="46">
        <f>INDEX(Nodes!$B$2:$B$97,MATCH(A196,Nodes!$A$2:$A$97,0))</f>
        <v/>
      </c>
      <c r="F196" s="46">
        <f>INDEX(Nodes!$B$2:$B$97,MATCH(B196,Nodes!$A$2:$A$97,0))</f>
        <v/>
      </c>
    </row>
    <row r="197" ht="23.85" customHeight="1" s="26">
      <c r="A197" s="46" t="inlineStr">
        <is>
          <t>willer</t>
        </is>
      </c>
      <c r="B197" s="46" t="inlineStr">
        <is>
          <t>weverton</t>
        </is>
      </c>
      <c r="C197" s="46" t="inlineStr">
        <is>
          <t>PF: a estrutura dele era “hub financeiro” do senador; a mulher do senador recebeu R$ 11 mi de empresas dele. Ambos negam</t>
        </is>
      </c>
      <c r="D197" s="46" t="inlineStr">
        <is>
          <t>Alegado ou contestado</t>
        </is>
      </c>
      <c r="E197" s="46">
        <f>INDEX(Nodes!$B$2:$B$97,MATCH(A197,Nodes!$A$2:$A$97,0))</f>
        <v/>
      </c>
      <c r="F197" s="46">
        <f>INDEX(Nodes!$B$2:$B$97,MATCH(B197,Nodes!$A$2:$A$97,0))</f>
        <v/>
      </c>
    </row>
    <row r="198" ht="23.85" customHeight="1" s="26">
      <c r="A198" s="46" t="inlineStr">
        <is>
          <t>weverton</t>
        </is>
      </c>
      <c r="B198" s="46" t="inlineStr">
        <is>
          <t>wt</t>
        </is>
      </c>
      <c r="C198" s="46" t="inlineStr">
        <is>
          <t>PF: mora em casa de R$ 6 mi registrada na WT; Willer diz que é negócio regular da imobiliária</t>
        </is>
      </c>
      <c r="D198" s="46" t="inlineStr">
        <is>
          <t>Alegado ou contestado</t>
        </is>
      </c>
      <c r="E198" s="46">
        <f>INDEX(Nodes!$B$2:$B$97,MATCH(A198,Nodes!$A$2:$A$97,0))</f>
        <v/>
      </c>
      <c r="F198" s="46">
        <f>INDEX(Nodes!$B$2:$B$97,MATCH(B198,Nodes!$A$2:$A$97,0))</f>
        <v/>
      </c>
    </row>
    <row r="199" ht="23.85" customHeight="1" s="26">
      <c r="A199" s="46" t="inlineStr">
        <is>
          <t>rueda</t>
        </is>
      </c>
      <c r="B199" s="46" t="inlineStr">
        <is>
          <t>vorcaro</t>
        </is>
      </c>
      <c r="C199" s="46" t="inlineStr">
        <is>
          <t>Contato no celular de Vorcaro: 2.712 interações (nov/2023 a set/2025); 36% ainda legíveis. Mede volume, não conteúdo (piauí/InterSecLab)</t>
        </is>
      </c>
      <c r="D199" s="46" t="inlineStr">
        <is>
          <t>Reportado</t>
        </is>
      </c>
      <c r="E199" s="46">
        <f>INDEX(Nodes!$B$2:$B$97,MATCH(A199,Nodes!$A$2:$A$97,0))</f>
        <v/>
      </c>
      <c r="F199" s="46">
        <f>INDEX(Nodes!$B$2:$B$97,MATCH(B199,Nodes!$A$2:$A$97,0))</f>
        <v/>
      </c>
    </row>
    <row r="200" ht="35.05" customHeight="1" s="26">
      <c r="A200" s="46" t="inlineStr">
        <is>
          <t>rueda</t>
        </is>
      </c>
      <c r="B200" s="46" t="inlineStr">
        <is>
          <t>vorcaro</t>
        </is>
      </c>
      <c r="C200" s="46" t="inlineStr">
        <is>
          <t>Admitiu à piauí ter advogado para o Master (“dezenas de pareceres e centenas de reuniões”); diz que só teve “contatos sociais eventuais” com Vorcaro</t>
        </is>
      </c>
      <c r="D200" s="46" t="inlineStr">
        <is>
          <t>Reportado</t>
        </is>
      </c>
      <c r="E200" s="46">
        <f>INDEX(Nodes!$B$2:$B$97,MATCH(A200,Nodes!$A$2:$A$97,0))</f>
        <v/>
      </c>
      <c r="F200" s="46">
        <f>INDEX(Nodes!$B$2:$B$97,MATCH(B200,Nodes!$A$2:$A$97,0))</f>
        <v/>
      </c>
    </row>
    <row r="201" ht="35.05" customHeight="1" s="26">
      <c r="A201" s="46" t="inlineStr">
        <is>
          <t>rueda</t>
        </is>
      </c>
      <c r="B201" s="46" t="inlineStr">
        <is>
          <t>vorcaro</t>
        </is>
      </c>
      <c r="C201" s="46" t="inlineStr">
        <is>
          <t>Proposta de delação de Vorcaro, rejeitada pela PF e pela PGR (UOL, set/2026), diz que ele e ACM Neto receberiam 10% dos aportes de previdências; os dois negam</t>
        </is>
      </c>
      <c r="D201" s="46" t="inlineStr">
        <is>
          <t>Alegado ou contestado</t>
        </is>
      </c>
      <c r="E201" s="46">
        <f>INDEX(Nodes!$B$2:$B$97,MATCH(A201,Nodes!$A$2:$A$97,0))</f>
        <v/>
      </c>
      <c r="F201" s="46">
        <f>INDEX(Nodes!$B$2:$B$97,MATCH(B201,Nodes!$A$2:$A$97,0))</f>
        <v/>
      </c>
    </row>
    <row r="202" ht="23.85" customHeight="1" s="26">
      <c r="A202" s="46" t="inlineStr">
        <is>
          <t>wajngarten</t>
        </is>
      </c>
      <c r="B202" s="46" t="inlineStr">
        <is>
          <t>vorcaro</t>
        </is>
      </c>
      <c r="C202" s="46" t="inlineStr">
        <is>
          <t>Contato no celular de Vorcaro: 1.151 interações (mar a nov/2025); 7% ainda legíveis. Mede volume, não conteúdo (piauí/InterSecLab)</t>
        </is>
      </c>
      <c r="D202" s="46" t="inlineStr">
        <is>
          <t>Reportado</t>
        </is>
      </c>
      <c r="E202" s="46">
        <f>INDEX(Nodes!$B$2:$B$97,MATCH(A202,Nodes!$A$2:$A$97,0))</f>
        <v/>
      </c>
      <c r="F202" s="46">
        <f>INDEX(Nodes!$B$2:$B$97,MATCH(B202,Nodes!$A$2:$A$97,0))</f>
        <v/>
      </c>
    </row>
    <row r="203" ht="35.05" customHeight="1" s="26">
      <c r="A203" s="46" t="inlineStr">
        <is>
          <t>wajngarten</t>
        </is>
      </c>
      <c r="B203" s="46" t="inlineStr">
        <is>
          <t>vorcaro</t>
        </is>
      </c>
      <c r="C203" s="46" t="inlineStr">
        <is>
          <t>Integra a defesa de Vorcaro na comunicação (desde o 1º semestre de 2025); o Master pagou ao menos R$ 3,8 mi à empresa dele em 2025 (Folha, documentos da Receita à CPI)</t>
        </is>
      </c>
      <c r="D203" s="46" t="inlineStr">
        <is>
          <t>Reportado</t>
        </is>
      </c>
      <c r="E203" s="46">
        <f>INDEX(Nodes!$B$2:$B$97,MATCH(A203,Nodes!$A$2:$A$97,0))</f>
        <v/>
      </c>
      <c r="F203" s="46">
        <f>INDEX(Nodes!$B$2:$B$97,MATCH(B203,Nodes!$A$2:$A$97,0))</f>
        <v/>
      </c>
    </row>
    <row r="204" ht="23.85" customHeight="1" s="26">
      <c r="A204" s="46" t="inlineStr">
        <is>
          <t>mantega</t>
        </is>
      </c>
      <c r="B204" s="46" t="inlineStr">
        <is>
          <t>vorcaro</t>
        </is>
      </c>
      <c r="C204" s="46" t="inlineStr">
        <is>
          <t>Contato no celular de Vorcaro: 323 interações (jun/2024 a nov/2025); 6% ainda legíveis. Mede volume, não conteúdo (piauí/InterSecLab)</t>
        </is>
      </c>
      <c r="D204" s="46" t="inlineStr">
        <is>
          <t>Reportado</t>
        </is>
      </c>
      <c r="E204" s="46">
        <f>INDEX(Nodes!$B$2:$B$97,MATCH(A204,Nodes!$A$2:$A$97,0))</f>
        <v/>
      </c>
      <c r="F204" s="46">
        <f>INDEX(Nodes!$B$2:$B$97,MATCH(B204,Nodes!$A$2:$A$97,0))</f>
        <v/>
      </c>
    </row>
    <row r="205" ht="23.85" customHeight="1" s="26">
      <c r="A205" s="46" t="inlineStr">
        <is>
          <t>mantega</t>
        </is>
      </c>
      <c r="B205" s="46" t="inlineStr">
        <is>
          <t>vorcaro</t>
        </is>
      </c>
      <c r="C205" s="46" t="inlineStr">
        <is>
          <t>Diz à piauí ter sido contratado pelo Master em 2024–2025 para consultoria econômica</t>
        </is>
      </c>
      <c r="D205" s="46" t="inlineStr">
        <is>
          <t>Reportado</t>
        </is>
      </c>
      <c r="E205" s="46">
        <f>INDEX(Nodes!$B$2:$B$97,MATCH(A205,Nodes!$A$2:$A$97,0))</f>
        <v/>
      </c>
      <c r="F205" s="46">
        <f>INDEX(Nodes!$B$2:$B$97,MATCH(B205,Nodes!$A$2:$A$97,0))</f>
        <v/>
      </c>
    </row>
    <row r="206" ht="35.05" customHeight="1" s="26">
      <c r="A206" s="46" t="inlineStr">
        <is>
          <t>mantega</t>
        </is>
      </c>
      <c r="B206" s="46" t="inlineStr">
        <is>
          <t>vorcaro</t>
        </is>
      </c>
      <c r="C206" s="46" t="inlineStr">
        <is>
          <t>Mensagens (Estadão) mostram Vorcaro e um advogado tentando levá-lo a Lula em 2025; o Planalto diz que Lula recebeu Vorcaro só uma vez (04/12/2024), com Mantega</t>
        </is>
      </c>
      <c r="D206" s="46" t="inlineStr">
        <is>
          <t>Alegado ou contestado</t>
        </is>
      </c>
      <c r="E206" s="46">
        <f>INDEX(Nodes!$B$2:$B$97,MATCH(A206,Nodes!$A$2:$A$97,0))</f>
        <v/>
      </c>
      <c r="F206" s="46">
        <f>INDEX(Nodes!$B$2:$B$97,MATCH(B206,Nodes!$A$2:$A$97,0))</f>
        <v/>
      </c>
    </row>
    <row r="207" ht="23.85" customHeight="1" s="26">
      <c r="A207" s="46" t="inlineStr">
        <is>
          <t>doria</t>
        </is>
      </c>
      <c r="B207" s="46" t="inlineStr">
        <is>
          <t>vorcaro</t>
        </is>
      </c>
      <c r="C207" s="46" t="inlineStr">
        <is>
          <t>Contato no celular de Vorcaro: 2.309 interações (abr/2022 a nov/2025); 99,7% ainda legíveis. Mede volume, não conteúdo (piauí/InterSecLab)</t>
        </is>
      </c>
      <c r="D207" s="46" t="inlineStr">
        <is>
          <t>Reportado</t>
        </is>
      </c>
      <c r="E207" s="46">
        <f>INDEX(Nodes!$B$2:$B$97,MATCH(A207,Nodes!$A$2:$A$97,0))</f>
        <v/>
      </c>
      <c r="F207" s="46">
        <f>INDEX(Nodes!$B$2:$B$97,MATCH(B207,Nodes!$A$2:$A$97,0))</f>
        <v/>
      </c>
    </row>
    <row r="208" ht="23.85" customHeight="1" s="26">
      <c r="A208" s="46" t="inlineStr">
        <is>
          <t>doria</t>
        </is>
      </c>
      <c r="B208" s="46" t="inlineStr">
        <is>
          <t>vorcaro</t>
        </is>
      </c>
      <c r="C208" s="46" t="inlineStr">
        <is>
          <t>Mensagem de maio/2025 (confirmada por sua assessoria): disse estar “preocupado” e propôs conversa reservada; ele diz que foi “gesto cordial”</t>
        </is>
      </c>
      <c r="D208" s="46" t="inlineStr">
        <is>
          <t>Reportado</t>
        </is>
      </c>
      <c r="E208" s="46">
        <f>INDEX(Nodes!$B$2:$B$97,MATCH(A208,Nodes!$A$2:$A$97,0))</f>
        <v/>
      </c>
      <c r="F208" s="46">
        <f>INDEX(Nodes!$B$2:$B$97,MATCH(B208,Nodes!$A$2:$A$97,0))</f>
        <v/>
      </c>
    </row>
    <row r="209" ht="23.85" customHeight="1" s="26">
      <c r="A209" s="46" t="inlineStr">
        <is>
          <t>bacelar</t>
        </is>
      </c>
      <c r="B209" s="46" t="inlineStr">
        <is>
          <t>vorcaro</t>
        </is>
      </c>
      <c r="C209" s="46" t="inlineStr">
        <is>
          <t>Contato no celular de Vorcaro: 597 interações (jul/2024 a nov/2025); 98% ainda legíveis. Mede volume, não conteúdo (piauí/InterSecLab)</t>
        </is>
      </c>
      <c r="D209" s="46" t="inlineStr">
        <is>
          <t>Reportado</t>
        </is>
      </c>
      <c r="E209" s="46">
        <f>INDEX(Nodes!$B$2:$B$97,MATCH(A209,Nodes!$A$2:$A$97,0))</f>
        <v/>
      </c>
      <c r="F209" s="46">
        <f>INDEX(Nodes!$B$2:$B$97,MATCH(B209,Nodes!$A$2:$A$97,0))</f>
        <v/>
      </c>
    </row>
    <row r="210" ht="35.05" customHeight="1" s="26">
      <c r="A210" s="46" t="inlineStr">
        <is>
          <t>bacelar</t>
        </is>
      </c>
      <c r="B210" s="46" t="inlineStr">
        <is>
          <t>vorcaro</t>
        </is>
      </c>
      <c r="C210" s="46" t="inlineStr">
        <is>
          <t>PF achou, em endereço ligado a Vorcaro, documento com o nome dele: opção de compra de terreno em Trancoso (BA), ~R$ 250 mi. O papel não cita Vorcaro; Bacelar diz que o negócio não se concretizou</t>
        </is>
      </c>
      <c r="D210" s="46" t="inlineStr">
        <is>
          <t>Alegado ou contestado</t>
        </is>
      </c>
      <c r="E210" s="46">
        <f>INDEX(Nodes!$B$2:$B$97,MATCH(A210,Nodes!$A$2:$A$97,0))</f>
        <v/>
      </c>
      <c r="F210" s="46">
        <f>INDEX(Nodes!$B$2:$B$97,MATCH(B210,Nodes!$A$2:$A$97,0))</f>
        <v/>
      </c>
    </row>
    <row r="211" ht="23.85" customHeight="1" s="26">
      <c r="A211" s="46" t="inlineStr">
        <is>
          <t>feitosa</t>
        </is>
      </c>
      <c r="B211" s="46" t="inlineStr">
        <is>
          <t>vorcaro</t>
        </is>
      </c>
      <c r="C211" s="46" t="inlineStr">
        <is>
          <t>Contato no celular de Vorcaro: 446 interações (abr/2024 a mai/2025); 85% ainda legíveis. Mede volume, não conteúdo (piauí/InterSecLab)</t>
        </is>
      </c>
      <c r="D211" s="46" t="inlineStr">
        <is>
          <t>Reportado</t>
        </is>
      </c>
      <c r="E211" s="46">
        <f>INDEX(Nodes!$B$2:$B$97,MATCH(A211,Nodes!$A$2:$A$97,0))</f>
        <v/>
      </c>
      <c r="F211" s="46">
        <f>INDEX(Nodes!$B$2:$B$97,MATCH(B211,Nodes!$A$2:$A$97,0))</f>
        <v/>
      </c>
    </row>
    <row r="212" ht="35.05" customHeight="1" s="26">
      <c r="A212" s="46" t="inlineStr">
        <is>
          <t>feitosa</t>
        </is>
      </c>
      <c r="B212" s="46" t="inlineStr">
        <is>
          <t>vorcaro</t>
        </is>
      </c>
      <c r="C212" s="46" t="inlineStr">
        <is>
          <t>Mensagens obtidas pela PF indicam que se ofereceu como ponte entre Vorcaro e Gilmar Mendes, de quem era cunhado; Gilmar nega que o jantar citado tenha ocorrido</t>
        </is>
      </c>
      <c r="D212" s="46" t="inlineStr">
        <is>
          <t>Alegado ou contestado</t>
        </is>
      </c>
      <c r="E212" s="46">
        <f>INDEX(Nodes!$B$2:$B$97,MATCH(A212,Nodes!$A$2:$A$97,0))</f>
        <v/>
      </c>
      <c r="F212" s="46">
        <f>INDEX(Nodes!$B$2:$B$97,MATCH(B212,Nodes!$A$2:$A$97,0))</f>
        <v/>
      </c>
    </row>
    <row r="213" ht="23.85" customHeight="1" s="26">
      <c r="A213" s="46" t="inlineStr">
        <is>
          <t>faria</t>
        </is>
      </c>
      <c r="B213" s="46" t="inlineStr">
        <is>
          <t>vorcaro</t>
        </is>
      </c>
      <c r="C213" s="46" t="inlineStr">
        <is>
          <t>Contato no celular de Vorcaro: 19.293 interações (out/2023 a nov/2025); 59% ainda legíveis. Mede volume, não conteúdo (piauí/InterSecLab)</t>
        </is>
      </c>
      <c r="D213" s="46" t="inlineStr">
        <is>
          <t>Reportado</t>
        </is>
      </c>
      <c r="E213" s="46">
        <f>INDEX(Nodes!$B$2:$B$97,MATCH(A213,Nodes!$A$2:$A$97,0))</f>
        <v/>
      </c>
      <c r="F213" s="46">
        <f>INDEX(Nodes!$B$2:$B$97,MATCH(B213,Nodes!$A$2:$A$97,0))</f>
        <v/>
      </c>
    </row>
    <row r="214" ht="23.85" customHeight="1" s="26">
      <c r="A214" s="46" t="inlineStr">
        <is>
          <t>bianco</t>
        </is>
      </c>
      <c r="B214" s="46" t="inlineStr">
        <is>
          <t>vorcaro</t>
        </is>
      </c>
      <c r="C214" s="46" t="inlineStr">
        <is>
          <t>Contato no celular de Vorcaro: 4.782 interações (jan/2024 a nov/2025); 13% ainda legíveis. Mede volume, não conteúdo (piauí/InterSecLab)</t>
        </is>
      </c>
      <c r="D214" s="46" t="inlineStr">
        <is>
          <t>Reportado</t>
        </is>
      </c>
      <c r="E214" s="46">
        <f>INDEX(Nodes!$B$2:$B$97,MATCH(A214,Nodes!$A$2:$A$97,0))</f>
        <v/>
      </c>
      <c r="F214" s="46">
        <f>INDEX(Nodes!$B$2:$B$97,MATCH(B214,Nodes!$A$2:$A$97,0))</f>
        <v/>
      </c>
    </row>
    <row r="215" ht="23.85" customHeight="1" s="26">
      <c r="A215" s="46" t="inlineStr">
        <is>
          <t>ciro</t>
        </is>
      </c>
      <c r="B215" s="46" t="inlineStr">
        <is>
          <t>vorcaro</t>
        </is>
      </c>
      <c r="C215" s="46" t="inlineStr">
        <is>
          <t>Contato no celular de Vorcaro: 3.967 interações (out/2023 a nov/2025); 3% ainda legíveis. Mede volume, não conteúdo (piauí/InterSecLab)</t>
        </is>
      </c>
      <c r="D215" s="46" t="inlineStr">
        <is>
          <t>Reportado</t>
        </is>
      </c>
      <c r="E215" s="46">
        <f>INDEX(Nodes!$B$2:$B$97,MATCH(A215,Nodes!$A$2:$A$97,0))</f>
        <v/>
      </c>
      <c r="F215" s="46">
        <f>INDEX(Nodes!$B$2:$B$97,MATCH(B215,Nodes!$A$2:$A$97,0))</f>
        <v/>
      </c>
    </row>
    <row r="216" ht="23.85" customHeight="1" s="26">
      <c r="A216" s="46" t="inlineStr">
        <is>
          <t>motta</t>
        </is>
      </c>
      <c r="B216" s="46" t="inlineStr">
        <is>
          <t>vorcaro</t>
        </is>
      </c>
      <c r="C216" s="46" t="inlineStr">
        <is>
          <t>Contato no celular de Vorcaro: 1.068 interações (mar/2024 a out/2025); 99% ainda legíveis. Mede volume, não conteúdo (piauí/InterSecLab)</t>
        </is>
      </c>
      <c r="D216" s="46" t="inlineStr">
        <is>
          <t>Reportado</t>
        </is>
      </c>
      <c r="E216" s="46">
        <f>INDEX(Nodes!$B$2:$B$97,MATCH(A216,Nodes!$A$2:$A$97,0))</f>
        <v/>
      </c>
      <c r="F216" s="46">
        <f>INDEX(Nodes!$B$2:$B$97,MATCH(B216,Nodes!$A$2:$A$97,0))</f>
        <v/>
      </c>
    </row>
    <row r="217" ht="23.85" customHeight="1" s="26">
      <c r="A217" s="46" t="inlineStr">
        <is>
          <t>castro</t>
        </is>
      </c>
      <c r="B217" s="46" t="inlineStr">
        <is>
          <t>vorcaro</t>
        </is>
      </c>
      <c r="C217" s="46" t="inlineStr">
        <is>
          <t>Contato no celular de Vorcaro: 463 interações (mai/2023 a nov/2025); 100% ainda legíveis. Mede volume, não conteúdo (piauí/InterSecLab)</t>
        </is>
      </c>
      <c r="D217" s="46" t="inlineStr">
        <is>
          <t>Reportado</t>
        </is>
      </c>
      <c r="E217" s="46">
        <f>INDEX(Nodes!$B$2:$B$97,MATCH(A217,Nodes!$A$2:$A$97,0))</f>
        <v/>
      </c>
      <c r="F217" s="46">
        <f>INDEX(Nodes!$B$2:$B$97,MATCH(B217,Nodes!$A$2:$A$97,0))</f>
        <v/>
      </c>
    </row>
    <row r="218" ht="23.85" customHeight="1" s="26">
      <c r="A218" s="46" t="inlineStr">
        <is>
          <t>marcal</t>
        </is>
      </c>
      <c r="B218" s="46" t="inlineStr">
        <is>
          <t>vorcaro</t>
        </is>
      </c>
      <c r="C218" s="46" t="inlineStr">
        <is>
          <t>Contato no celular de Vorcaro: 438 interações (ago/2024 a set/2025); 1% ainda legíveis. Mede volume, não conteúdo (piauí/InterSecLab)</t>
        </is>
      </c>
      <c r="D218" s="46" t="inlineStr">
        <is>
          <t>Reportado</t>
        </is>
      </c>
      <c r="E218" s="46">
        <f>INDEX(Nodes!$B$2:$B$97,MATCH(A218,Nodes!$A$2:$A$97,0))</f>
        <v/>
      </c>
      <c r="F218" s="46">
        <f>INDEX(Nodes!$B$2:$B$97,MATCH(B218,Nodes!$A$2:$A$97,0))</f>
        <v/>
      </c>
    </row>
    <row r="219" ht="23.85" customHeight="1" s="26">
      <c r="A219" s="46" t="inlineStr">
        <is>
          <t>flavio</t>
        </is>
      </c>
      <c r="B219" s="46" t="inlineStr">
        <is>
          <t>vorcaro</t>
        </is>
      </c>
      <c r="C219" s="46" t="inlineStr">
        <is>
          <t>Contato no celular de Vorcaro: 246 interações (dez/2024 a nov/2025); 53% ainda legíveis. Mede volume, não conteúdo (piauí/InterSecLab)</t>
        </is>
      </c>
      <c r="D219" s="46" t="inlineStr">
        <is>
          <t>Reportado</t>
        </is>
      </c>
      <c r="E219" s="46">
        <f>INDEX(Nodes!$B$2:$B$97,MATCH(A219,Nodes!$A$2:$A$97,0))</f>
        <v/>
      </c>
      <c r="F219" s="46">
        <f>INDEX(Nodes!$B$2:$B$97,MATCH(B219,Nodes!$A$2:$A$97,0))</f>
        <v/>
      </c>
    </row>
    <row r="220" ht="23.85" customHeight="1" s="26">
      <c r="A220" s="46" t="inlineStr">
        <is>
          <t>frias</t>
        </is>
      </c>
      <c r="B220" s="46" t="inlineStr">
        <is>
          <t>vorcaro</t>
        </is>
      </c>
      <c r="C220" s="46" t="inlineStr">
        <is>
          <t>Contato no celular de Vorcaro: 181 interações (dez/2024 a nov/2025); 60% ainda legíveis. Mede volume, não conteúdo (piauí/InterSecLab)</t>
        </is>
      </c>
      <c r="D220" s="46" t="inlineStr">
        <is>
          <t>Reportado</t>
        </is>
      </c>
      <c r="E220" s="46">
        <f>INDEX(Nodes!$B$2:$B$97,MATCH(A220,Nodes!$A$2:$A$97,0))</f>
        <v/>
      </c>
      <c r="F220" s="46">
        <f>INDEX(Nodes!$B$2:$B$97,MATCH(B220,Nodes!$A$2:$A$97,0))</f>
        <v/>
      </c>
    </row>
    <row r="221" ht="23.85" customHeight="1" s="26">
      <c r="A221" s="46" t="inlineStr">
        <is>
          <t>cezinha</t>
        </is>
      </c>
      <c r="B221" s="46" t="inlineStr">
        <is>
          <t>vorcaro</t>
        </is>
      </c>
      <c r="C221" s="46" t="inlineStr">
        <is>
          <t>Contato no celular de Vorcaro: 34 interações (mar a mai/2025); 100% ainda legíveis. Mede volume, não conteúdo (piauí/InterSecLab)</t>
        </is>
      </c>
      <c r="D221" s="46" t="inlineStr">
        <is>
          <t>Reportado</t>
        </is>
      </c>
      <c r="E221" s="46">
        <f>INDEX(Nodes!$B$2:$B$97,MATCH(A221,Nodes!$A$2:$A$97,0))</f>
        <v/>
      </c>
      <c r="F221" s="46">
        <f>INDEX(Nodes!$B$2:$B$97,MATCH(B221,Nodes!$A$2:$A$97,0))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5" min="1" max="1"/>
  </cols>
  <sheetData>
    <row r="1" ht="15" customHeight="1" s="26">
      <c r="A1" s="47" t="inlineStr">
        <is>
          <t>Notes</t>
        </is>
      </c>
    </row>
    <row r="2" ht="15" customHeight="1" s="26">
      <c r="A2" s="46" t="inlineStr">
        <is>
          <t>Source: transcrição do vídeo do canal Revelando (fornecida pela usuária) e reportagens citadas na conversa.</t>
        </is>
      </c>
    </row>
    <row r="3" ht="23.25" customHeight="1" s="26">
      <c r="A3" s="46" t="inlineStr">
        <is>
          <t>Status “Reportado”: a ligação foi noticiada pela imprensa, consta em relatório oficial ou é ato público, com a fonte indicada no perfil dos envolvidos; “reportado” não é prova nem decisão judicial. “Alegado ou contestado”: hipótese, suspeita, mensagem ou algo que o citado nega.</t>
        </is>
      </c>
    </row>
    <row r="4" ht="15" customHeight="1" s="26">
      <c r="A4" s="46" t="inlineStr">
        <is>
          <t>Todas as pessoas e empresas citadas negam ou contestam irregularidades; nada aqui é condenação.</t>
        </is>
      </c>
    </row>
    <row r="5" ht="15" customHeight="1" s="26">
      <c r="A5" s="46" t="inlineStr">
        <is>
          <t>Alguns nomes vêm de transcrição automática e podem estar grafados de forma imprecisa (ex.: Willer Tomás/Tomaz, Roberta).</t>
        </is>
      </c>
    </row>
    <row r="6" ht="15" customHeight="1" s="26">
      <c r="A6" s="46" t="inlineStr">
        <is>
          <t>“Ciro Nogueira” aparece como “Círio Nogueira” na transcrição; a identificação é inferida do contexto (Folha, 2020).</t>
        </is>
      </c>
    </row>
    <row r="7" ht="15" customHeight="1" s="26">
      <c r="A7" s="46" t="inlineStr">
        <is>
          <t>Valores monetários mensais do promoter e do diretor jurídico estão ilegíveis na transcrição e foram omitidos.</t>
        </is>
      </c>
    </row>
    <row r="8" ht="23.25" customHeight="1" s="26">
      <c r="A8" s="46" t="inlineStr">
        <is>
          <t>Não incluídos por não serem nomeados no vídeo: terceiro cotista do jato, sócio do Careca no exterior, amiga que cobrou Vorcaro, e as mulheres individualmente.</t>
        </is>
      </c>
    </row>
    <row r="9" ht="15" customHeight="1" s="26">
      <c r="A9" s="46" t="inlineStr">
        <is>
          <t>Pronto para importar em ferramentas de grafos: Nodes (Id, Label) e Edges (Source, Target) seguem o padrão do Gephi/Kumu.</t>
        </is>
      </c>
    </row>
    <row r="10" ht="15" customHeight="1" s="26">
      <c r="A10" s="46" t="inlineStr">
        <is>
          <t>Degree (Nodes) e nomes (Edges) são fórmulas; recalculam se você editar as abas.</t>
        </is>
      </c>
    </row>
    <row r="11" ht="15" customHeight="1" s="26">
      <c r="A11" s="25" t="inlineStr">
        <is>
          <t>21/10/2026: importados 26 nós, 62 conexões e 4 perfis do acervo a verdade. (https://bolsomaster.site, PDF em https://bolsomaster.site/documento-original.pdf). As fontes de cada item são as do acervo e não foram reverificadas uma a uma.</t>
        </is>
      </c>
    </row>
    <row r="12" ht="15" customHeight="1" s="26">
      <c r="A12" s="25"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ht="15" customHeight="1" s="26">
      <c r="A13" s="25"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ht="15" customHeight="1" s="26">
      <c r="A14" s="25"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ht="15" customHeight="1" s="26">
      <c r="A15" s="25"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ht="15" customHeight="1" s="26">
      <c r="A16" s="25"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row r="17" ht="15" customHeight="1" s="26">
      <c r="A17" s="25" t="inlineStr">
        <is>
          <t>26/10/2026: revisão pós-2º turno. Resultado oficial do TSE; atualizados os perfis de Flávio, Willer, Vorcaro, Mendonça, Nunes Marques, Ciro, Jair, Frias e Gaspar e 4 rótulos de Edges (flavio–pf, flavio–pgr, mendonca–master, gaspar–flavio). Sem fonte nova após 21/10 para Careca do INSS e Fábio Faria. Ficou de fora: pedido de investigação de deputado do PT à PGR sobre Flávio (21/10), por ser só representação sem apuração aberta.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2026-10-29T01:43:33Z</dcterms:modified>
  <cp:revision>1</cp:revision>
</cp:coreProperties>
</file>