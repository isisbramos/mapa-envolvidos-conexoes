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'Perfis'!$A$1:$M$31</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20/10/2026 (revisão 2).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COUNTIF(Perfis!$H$2:$H$31,A5)</f>
        <v/>
      </c>
      <c r="C5" s="30" t="inlineStr">
        <is>
          <t>Jair Messias Bolsonaro; Alexandre Ramagem; Augusto Heleno</t>
        </is>
      </c>
    </row>
    <row r="6" ht="15" customHeight="1" s="25">
      <c r="A6" s="31" t="inlineStr">
        <is>
          <t>Preso, sem condenação</t>
        </is>
      </c>
      <c r="B6" s="24">
        <f>COUNTIF(Perfis!$H$2:$H$31,A6)</f>
        <v/>
      </c>
      <c r="C6" s="30" t="inlineStr">
        <is>
          <t>Antônio Carlos Camilo Antunes; Alexandre Caetano dos Reis; Daniel Vorcaro; Fabiano Campos Zettel</t>
        </is>
      </c>
    </row>
    <row r="7" ht="28.35" customHeight="1" s="25">
      <c r="A7" s="32" t="inlineStr">
        <is>
          <t>Investigado / alvo (sem denúncia)</t>
        </is>
      </c>
      <c r="B7" s="24">
        <f>COUNTIF(Perfis!$H$2:$H$31,A7)</f>
        <v/>
      </c>
      <c r="C7" s="30" t="inlineStr">
        <is>
          <t>Fábio Luís Lula da Silva; Roberta Moreira Luchsinger; Willer Tomaz; Flávio Bolsonaro; Carlos Bolsonaro; Frederick Wassef; Ciro Nogueira</t>
        </is>
      </c>
    </row>
    <row r="8" ht="28.35" customHeight="1" s="25">
      <c r="A8" s="33" t="inlineStr">
        <is>
          <t>Citado, sem acusação</t>
        </is>
      </c>
      <c r="B8" s="24">
        <f>COUNTIF(Perfis!$H$2:$H$31,A8)</f>
        <v/>
      </c>
      <c r="C8" s="30" t="inlineStr">
        <is>
          <t>Letícia Caetano dos Reis; Lídia Maria Figueiredo Mazelli; Renan Calheiros; Fabrício José Carlos de Queiroz; Richarlison; Kassio Nunes Marques; Kevin Marques; Sergio Fernando Moro</t>
        </is>
      </c>
    </row>
    <row r="9" ht="28.35" customHeight="1" s="25">
      <c r="A9" s="34" t="inlineStr">
        <is>
          <t>Não pesquisado</t>
        </is>
      </c>
      <c r="B9" s="24">
        <f>COUNTIF(Perfis!$H$2:$H$31,A9)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t>
        </is>
      </c>
      <c r="L2" s="37" t="inlineStr">
        <is>
          <t>20/10/2026</t>
        </is>
      </c>
      <c r="M2" s="37" t="inlineStr">
        <is>
          <t>Confirmado preso em 09/09/2026; local, idade e decisão de jan/2026 adicionados.</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t>
        </is>
      </c>
      <c r="L3" s="37" t="inlineStr">
        <is>
          <t>20/10/2026</t>
        </is>
      </c>
      <c r="M3" s="37" t="inlineStr">
        <is>
          <t>—</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 (planilha: "Tomás")</t>
        </is>
      </c>
      <c r="C7" s="37" t="inlineStr">
        <is>
          <t>Willer Tomás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t>
        </is>
      </c>
      <c r="E7" s="37" t="inlineStr">
        <is>
          <t>Brasília (DF)</t>
        </is>
      </c>
      <c r="F7" s="37" t="inlineStr">
        <is>
          <t>Vivo</t>
        </is>
      </c>
      <c r="G7" s="37" t="inlineStr">
        <is>
          <t>Investigado; nega irregularidades e fala em "pescaria probatória". Nas fontes não há denúncia nem condenação.</t>
        </is>
      </c>
      <c r="H7" s="41" t="inlineStr">
        <is>
          <t>Investigado / alvo (sem denúncia)</t>
        </is>
      </c>
      <c r="I7" s="37" t="inlineStr">
        <is>
          <t>Nada nas fontes.</t>
        </is>
      </c>
      <c r="J7" s="37" t="inlineStr">
        <is>
          <t>Grafia na imprensa é "Tomaz".</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t>
        </is>
      </c>
      <c r="L7" s="37" t="inlineStr">
        <is>
          <t>20/10/2026</t>
        </is>
      </c>
      <c r="M7" s="37" t="inlineStr">
        <is>
          <t>Data de entrada no STF (08/10/2026), valores e confirmação da busca de ago/2026.</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Tomás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Tomás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t>
        </is>
      </c>
      <c r="L10" s="37" t="inlineStr">
        <is>
          <t>20/10/2026</t>
        </is>
      </c>
      <c r="M10" s="37" t="inlineStr">
        <is>
          <t>Resultado do 1º turno; 2º inquérito no STF; Operação Make Up; visitas ao pai liberadas.</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t>
        </is>
      </c>
      <c r="L12" s="37" t="inlineStr">
        <is>
          <t>20/10/2026</t>
        </is>
      </c>
      <c r="M12" s="37" t="inlineStr">
        <is>
          <t>Eleito senador por SC; deixou a Câmara de Vereadores.</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t>
        </is>
      </c>
      <c r="L13" s="37" t="inlineStr">
        <is>
          <t>20/10/2026</t>
        </is>
      </c>
      <c r="M13" s="37" t="inlineStr">
        <is>
          <t>Domiciliar confirmada em 12/10/2026; motivo e visitas de Flávio.</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 (planilha: "Frederico")</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Grafia correta é "Frederick". 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t>
        </is>
      </c>
      <c r="L15" s="37" t="inlineStr">
        <is>
          <t>20/10/2026</t>
        </is>
      </c>
      <c r="M15" s="37" t="inlineStr">
        <is>
          <t>Sem candidatura formalizada em 2026 (confirmado pela usuária); cargo público e encontro com Flávio em set/2026.</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t>
        </is>
      </c>
      <c r="L17" s="37" t="inlineStr">
        <is>
          <t>20/10/2026</t>
        </is>
      </c>
      <c r="M17" s="37" t="inlineStr">
        <is>
          <t>Preso na Papudinha desde 25/06/2026; delações rejeitadas; situação das provas no STF.</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 (planilha: "Zetel")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Grafia na imprensa: "Zettel". Não achei a venda do apartamento à WT nas fontes que abri.</t>
        </is>
      </c>
      <c r="K18" s="37" t="inlineStr">
        <is>
          <t>Congresso em Foco https://www.congressoemfoco.com.br/noticia/116929/pf-prende-cunhado-de-vorcaro-suspeito-de-operar-esquema-do-master | Mateus Oliver (link na linha do Vorcaro)</t>
        </is>
      </c>
      <c r="L18" s="37" t="inlineStr">
        <is>
          <t>20/10/2026</t>
        </is>
      </c>
      <c r="M18" s="37" t="inlineStr">
        <is>
          <t>Segue preso em 20/10/2026 (PGR contra soltura).</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t>
        </is>
      </c>
      <c r="K24" s="37" t="inlineStr">
        <is>
          <t>Poder360 https://www.poder360.com.br/justica/richarlison-briga-na-justica-com-amigo-de-flavio-bolsonaro/ | Congresso em Foco https://www.congressoemfoco.com.br/noticia/120171/disputa-por-mansao-de-r-10-mi-envolve-richarlison-e-flavio-bolsonaro</t>
        </is>
      </c>
      <c r="L24" s="37" t="inlineStr">
        <is>
          <t>20/10/2026</t>
        </is>
      </c>
      <c r="M24" s="37" t="inlineStr">
        <is>
          <t>—</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Kassio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t>
        </is>
      </c>
      <c r="L26" s="37" t="inlineStr">
        <is>
          <t>20/10/2026</t>
        </is>
      </c>
      <c r="M26" s="37" t="inlineStr">
        <is>
          <t>Presidente do TSE confirmado (eleito em 14/04/2026).</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t>
        </is>
      </c>
      <c r="L27" s="37" t="inlineStr">
        <is>
          <t>20/10/2026</t>
        </is>
      </c>
      <c r="M27" s="37" t="inlineStr">
        <is>
          <t>—</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t>
        </is>
      </c>
      <c r="L28" s="37" t="inlineStr">
        <is>
          <t>20/10/2026</t>
        </is>
      </c>
      <c r="M28" s="37" t="inlineStr">
        <is>
          <t>Entrevista de 05/07/2026; asilo pendente; processo de extradição em paralelo.</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Sergio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t>
        </is>
      </c>
      <c r="L30" s="37" t="inlineStr">
        <is>
          <t>20/10/2026</t>
        </is>
      </c>
      <c r="M30" s="37" t="inlineStr">
        <is>
          <t>Eleito governador do Paraná no 1º turno (04/10/2026).</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t>
        </is>
      </c>
      <c r="L31" s="37" t="inlineStr">
        <is>
          <t>20/10/2026</t>
        </is>
      </c>
      <c r="M31" s="37" t="inlineStr">
        <is>
          <t>Identificação tratada como confirmada (antes: inferida); busca em 07/05/2026.</t>
        </is>
      </c>
      <c r="N31" s="24" t="inlineStr">
        <is>
          <t>ciro.jpg</t>
        </is>
      </c>
      <c r="O31" s="24" t="inlineStr">
        <is>
          <t>Wikimedia Commons · CC BY-SA 4.0</t>
        </is>
      </c>
      <c r="P31" s="24" t="inlineStr">
        <is>
          <t>https://commons.wikimedia.org/wiki/File:Senador739.jpg</t>
        </is>
      </c>
    </row>
  </sheetData>
  <autoFilter ref="A1:M3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COUNTIF(Edges!$A$2:$A$120,A2)+COUNTIF(Edges!$B$2:$B$120,A2)</f>
        <v/>
      </c>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COUNTIF(Edges!$A$2:$A$120,A3)+COUNTIF(Edges!$B$2:$B$120,A3)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COUNTIF(Edges!$A$2:$A$120,A4)+COUNTIF(Edges!$B$2:$B$120,A4)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COUNTIF(Edges!$A$2:$A$120,A5)+COUNTIF(Edges!$B$2:$B$120,A5)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COUNTIF(Edges!$A$2:$A$120,A6)+COUNTIF(Edges!$B$2:$B$120,A6)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COUNTIF(Edges!$A$2:$A$120,A7)+COUNTIF(Edges!$B$2:$B$120,A7)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COUNTIF(Edges!$A$2:$A$120,A8)+COUNTIF(Edges!$B$2:$B$120,A8)</f>
        <v/>
      </c>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COUNTIF(Edges!$A$2:$A$120,A9)+COUNTIF(Edges!$B$2:$B$120,A9)</f>
        <v/>
      </c>
    </row>
    <row r="10" ht="15" customHeight="1" s="25">
      <c r="A10" s="45" t="inlineStr">
        <is>
          <t>willer</t>
        </is>
      </c>
      <c r="B10" s="45" t="inlineStr">
        <is>
          <t>Willer Tomás</t>
        </is>
      </c>
      <c r="C10" s="45" t="inlineStr">
        <is>
          <t>Pessoa</t>
        </is>
      </c>
      <c r="D10" s="45" t="inlineStr">
        <is>
          <t>Willer Tomás e sua rede</t>
        </is>
      </c>
      <c r="E10" s="45" t="inlineStr">
        <is>
          <t>Advogado em Brasília; investigado por lavagem; nega</t>
        </is>
      </c>
      <c r="F10" s="45">
        <f>COUNTIF(Edges!$A$2:$A$120,A10)+COUNTIF(Edges!$B$2:$B$120,A10)</f>
        <v/>
      </c>
    </row>
    <row r="11" ht="15" customHeight="1" s="25">
      <c r="A11" s="45" t="inlineStr">
        <is>
          <t>escw</t>
        </is>
      </c>
      <c r="B11" s="45" t="inlineStr">
        <is>
          <t>Escritório de Willer</t>
        </is>
      </c>
      <c r="C11" s="45" t="inlineStr">
        <is>
          <t>Casa ou ativo</t>
        </is>
      </c>
      <c r="D11" s="45" t="inlineStr">
        <is>
          <t>Willer Tomás e sua rede</t>
        </is>
      </c>
      <c r="E11" s="45" t="inlineStr">
        <is>
          <t>PF achou máquina de contar e dinheiro em livros-cofre</t>
        </is>
      </c>
      <c r="F11" s="45">
        <f>COUNTIF(Edges!$A$2:$A$120,A11)+COUNTIF(Edges!$B$2:$B$120,A11)</f>
        <v/>
      </c>
    </row>
    <row r="12" ht="15" customHeight="1" s="25">
      <c r="A12" s="45" t="inlineStr">
        <is>
          <t>bets</t>
        </is>
      </c>
      <c r="B12" s="45" t="inlineStr">
        <is>
          <t>Blaze e sites de apostas</t>
        </is>
      </c>
      <c r="C12" s="45" t="inlineStr">
        <is>
          <t>Empresa</t>
        </is>
      </c>
      <c r="D12" s="45" t="inlineStr">
        <is>
          <t>Willer Tomás e sua rede</t>
        </is>
      </c>
      <c r="E12" s="45" t="inlineStr">
        <is>
          <t>~R$ 5 bi movimentados em 2025; PF vê possível lavagem</t>
        </is>
      </c>
      <c r="F12" s="45">
        <f>COUNTIF(Edges!$A$2:$A$120,A12)+COUNTIF(Edges!$B$2:$B$120,A12)</f>
        <v/>
      </c>
    </row>
    <row r="13" ht="15" customHeight="1" s="25">
      <c r="A13" s="45" t="inlineStr">
        <is>
          <t>lidia</t>
        </is>
      </c>
      <c r="B13" s="45" t="inlineStr">
        <is>
          <t>Lídia Mazelli</t>
        </is>
      </c>
      <c r="C13" s="45" t="inlineStr">
        <is>
          <t>Pessoa</t>
        </is>
      </c>
      <c r="D13" s="45" t="inlineStr">
        <is>
          <t>Willer Tomás e sua rede</t>
        </is>
      </c>
      <c r="E13" s="45" t="inlineStr">
        <is>
          <t>61 anos; diz ser doméstica; figura à frente de 14 empresas</t>
        </is>
      </c>
      <c r="F13" s="45">
        <f>COUNTIF(Edges!$A$2:$A$120,A13)+COUNTIF(Edges!$B$2:$B$120,A13)</f>
        <v/>
      </c>
    </row>
    <row r="14" ht="15" customHeight="1" s="25">
      <c r="A14" s="45" t="inlineStr">
        <is>
          <t>wt</t>
        </is>
      </c>
      <c r="B14" s="45" t="inlineStr">
        <is>
          <t>WT (e outras 13 empresas)</t>
        </is>
      </c>
      <c r="C14" s="45" t="inlineStr">
        <is>
          <t>Empresa</t>
        </is>
      </c>
      <c r="D14" s="45" t="inlineStr">
        <is>
          <t>Willer Tomás e sua rede</t>
        </is>
      </c>
      <c r="E14" s="45" t="inlineStr">
        <is>
          <t>Empresa da “doméstica”; dona de mansão e apartamento</t>
        </is>
      </c>
      <c r="F14" s="45">
        <f>COUNTIF(Edges!$A$2:$A$120,A14)+COUNTIF(Edges!$B$2:$B$120,A14)</f>
        <v/>
      </c>
    </row>
    <row r="15" ht="15" customHeight="1" s="25">
      <c r="A15" s="45" t="inlineStr">
        <is>
          <t>alcazar</t>
        </is>
      </c>
      <c r="B15" s="45" t="inlineStr">
        <is>
          <t>Alcazar Holdings</t>
        </is>
      </c>
      <c r="C15" s="45" t="inlineStr">
        <is>
          <t>Empresa</t>
        </is>
      </c>
      <c r="D15" s="45" t="inlineStr">
        <is>
          <t>Willer Tomás e sua rede</t>
        </is>
      </c>
      <c r="E15" s="45" t="inlineStr">
        <is>
          <t>Empresa ligada a Willer; conta no Santander</t>
        </is>
      </c>
      <c r="F15" s="45">
        <f>COUNTIF(Edges!$A$2:$A$120,A15)+COUNTIF(Edges!$B$2:$B$120,A15)</f>
        <v/>
      </c>
    </row>
    <row r="16" ht="15" customHeight="1" s="25">
      <c r="A16" s="45" t="inlineStr">
        <is>
          <t>santander</t>
        </is>
      </c>
      <c r="B16" s="45" t="inlineStr">
        <is>
          <t>Santander</t>
        </is>
      </c>
      <c r="C16" s="45" t="inlineStr">
        <is>
          <t>Empresa</t>
        </is>
      </c>
      <c r="D16" s="45" t="inlineStr">
        <is>
          <t>Willer Tomás e sua rede</t>
        </is>
      </c>
      <c r="E16" s="45" t="inlineStr">
        <is>
          <t>Conta da Alcazar com Flávio como “usuário master”</t>
        </is>
      </c>
      <c r="F16" s="45">
        <f>COUNTIF(Edges!$A$2:$A$120,A16)+COUNTIF(Edges!$B$2:$B$120,A16)</f>
        <v/>
      </c>
    </row>
    <row r="17" ht="15" customHeight="1" s="25">
      <c r="A17" s="45" t="inlineStr">
        <is>
          <t>cpi</t>
        </is>
      </c>
      <c r="B17" s="45" t="inlineStr">
        <is>
          <t>CPI da pandemia (Covaxin)</t>
        </is>
      </c>
      <c r="C17" s="45" t="inlineStr">
        <is>
          <t>Instituição ou caso</t>
        </is>
      </c>
      <c r="D17" s="45" t="inlineStr">
        <is>
          <t>Willer Tomás e sua rede</t>
        </is>
      </c>
      <c r="E17" s="45" t="inlineStr">
        <is>
          <t>Quebra de sigilo de Willer pedida e depois cancelada</t>
        </is>
      </c>
      <c r="F17" s="45">
        <f>COUNTIF(Edges!$A$2:$A$120,A17)+COUNTIF(Edges!$B$2:$B$120,A17)</f>
        <v/>
      </c>
    </row>
    <row r="18" ht="15" customHeight="1" s="25">
      <c r="A18" s="45" t="inlineStr">
        <is>
          <t>renan</t>
        </is>
      </c>
      <c r="B18" s="45" t="inlineStr">
        <is>
          <t>Renan Calheiros</t>
        </is>
      </c>
      <c r="C18" s="45" t="inlineStr">
        <is>
          <t>Pessoa</t>
        </is>
      </c>
      <c r="D18" s="45" t="inlineStr">
        <is>
          <t>Willer Tomás e sua rede</t>
        </is>
      </c>
      <c r="E18" s="45" t="inlineStr">
        <is>
          <t>Relator da CPI; pediu a quebra de sigilo</t>
        </is>
      </c>
      <c r="F18" s="45">
        <f>COUNTIF(Edges!$A$2:$A$120,A18)+COUNTIF(Edges!$B$2:$B$120,A18)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COUNTIF(Edges!$A$2:$A$120,A19)+COUNTIF(Edges!$B$2:$B$120,A19)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COUNTIF(Edges!$A$2:$A$120,A20)+COUNTIF(Edges!$B$2:$B$120,A20)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COUNTIF(Edges!$A$2:$A$120,A21)+COUNTIF(Edges!$B$2:$B$120,A21)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COUNTIF(Edges!$A$2:$A$120,A22)+COUNTIF(Edges!$B$2:$B$120,A22)</f>
        <v/>
      </c>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COUNTIF(Edges!$A$2:$A$120,A23)+COUNTIF(Edges!$B$2:$B$120,A23)</f>
        <v/>
      </c>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COUNTIF(Edges!$A$2:$A$120,A24)+COUNTIF(Edges!$B$2:$B$120,A24)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COUNTIF(Edges!$A$2:$A$120,A25)+COUNTIF(Edges!$B$2:$B$120,A25)</f>
        <v/>
      </c>
    </row>
    <row r="26" ht="15" customHeight="1" s="25">
      <c r="A26" s="45" t="inlineStr">
        <is>
          <t>wassef</t>
        </is>
      </c>
      <c r="B26" s="45" t="inlineStr">
        <is>
          <t>Frederico Wassef</t>
        </is>
      </c>
      <c r="C26" s="45" t="inlineStr">
        <is>
          <t>Pessoa</t>
        </is>
      </c>
      <c r="D26" s="45" t="inlineStr">
        <is>
          <t>Flávio e família</t>
        </is>
      </c>
      <c r="E26" s="45" t="inlineStr">
        <is>
          <t>Advogado da família Bolsonaro</t>
        </is>
      </c>
      <c r="F26" s="45">
        <f>COUNTIF(Edges!$A$2:$A$120,A26)+COUNTIF(Edges!$B$2:$B$120,A26)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COUNTIF(Edges!$A$2:$A$120,A27)+COUNTIF(Edges!$B$2:$B$120,A27)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COUNTIF(Edges!$A$2:$A$120,A28)+COUNTIF(Edges!$B$2:$B$120,A28)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COUNTIF(Edges!$A$2:$A$120,A29)+COUNTIF(Edges!$B$2:$B$120,A29)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COUNTIF(Edges!$A$2:$A$120,A30)+COUNTIF(Edges!$B$2:$B$120,A30)</f>
        <v/>
      </c>
    </row>
    <row r="31" ht="15" customHeight="1" s="25">
      <c r="A31" s="45" t="inlineStr">
        <is>
          <t>zetel</t>
        </is>
      </c>
      <c r="B31" s="45" t="inlineStr">
        <is>
          <t>Fabiano Zetel</t>
        </is>
      </c>
      <c r="C31" s="45" t="inlineStr">
        <is>
          <t>Pessoa</t>
        </is>
      </c>
      <c r="D31" s="45" t="inlineStr">
        <is>
          <t>Vorcaro e o Banco Master</t>
        </is>
      </c>
      <c r="E31" s="45" t="inlineStr">
        <is>
          <t>Cunhado de Vorcaro; preso</t>
        </is>
      </c>
      <c r="F31" s="45">
        <f>COUNTIF(Edges!$A$2:$A$120,A31)+COUNTIF(Edges!$B$2:$B$120,A31)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COUNTIF(Edges!$A$2:$A$120,A32)+COUNTIF(Edges!$B$2:$B$120,A32)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COUNTIF(Edges!$A$2:$A$120,A33)+COUNTIF(Edges!$B$2:$B$120,A33)</f>
        <v/>
      </c>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COUNTIF(Edges!$A$2:$A$120,A34)+COUNTIF(Edges!$B$2:$B$120,A34)</f>
        <v/>
      </c>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COUNTIF(Edges!$A$2:$A$120,A35)+COUNTIF(Edges!$B$2:$B$120,A35)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COUNTIF(Edges!$A$2:$A$120,A36)+COUNTIF(Edges!$B$2:$B$120,A36)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COUNTIF(Edges!$A$2:$A$120,A37)+COUNTIF(Edges!$B$2:$B$120,A37)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COUNTIF(Edges!$A$2:$A$120,A38)+COUNTIF(Edges!$B$2:$B$120,A38)</f>
        <v/>
      </c>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COUNTIF(Edges!$A$2:$A$120,A39)+COUNTIF(Edges!$B$2:$B$120,A39)</f>
        <v/>
      </c>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COUNTIF(Edges!$A$2:$A$120,A40)+COUNTIF(Edges!$B$2:$B$120,A40)</f>
        <v/>
      </c>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COUNTIF(Edges!$A$2:$A$120,A41)+COUNTIF(Edges!$B$2:$B$120,A41)</f>
        <v/>
      </c>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COUNTIF(Edges!$A$2:$A$120,A42)+COUNTIF(Edges!$B$2:$B$120,A42)</f>
        <v/>
      </c>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COUNTIF(Edges!$A$2:$A$120,A43)+COUNTIF(Edges!$B$2:$B$120,A43)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COUNTIF(Edges!$A$2:$A$120,A44)+COUNTIF(Edges!$B$2:$B$120,A44)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COUNTIF(Edges!$A$2:$A$120,A45)+COUNTIF(Edges!$B$2:$B$120,A45)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COUNTIF(Edges!$A$2:$A$120,A46)+COUNTIF(Edges!$B$2:$B$120,A46)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COUNTIF(Edges!$A$2:$A$120,A47)+COUNTIF(Edges!$B$2:$B$120,A47)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COUNTIF(Edges!$A$2:$A$120,A48)+COUNTIF(Edges!$B$2:$B$120,A48)</f>
        <v/>
      </c>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COUNTIF(Edges!$A$2:$A$120,A49)+COUNTIF(Edges!$B$2:$B$120,A49)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COUNTIF(Edges!$A$2:$A$120,A50)+COUNTIF(Edges!$B$2:$B$120,A50)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COUNTIF(Edges!$A$2:$A$120,A51)+COUNTIF(Edges!$B$2:$B$120,A51)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COUNTIF(Edges!$A$2:$A$120,A52)+COUNTIF(Edges!$B$2:$B$120,A52)</f>
        <v/>
      </c>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COUNTIF(Edges!$A$2:$A$120,A53)+COUNTIF(Edges!$B$2:$B$120,A53)</f>
        <v/>
      </c>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COUNTIF(Edges!$A$2:$A$120,A54)+COUNTIF(Edges!$B$2:$B$120,A54)</f>
        <v/>
      </c>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COUNTIF(Edges!$A$2:$A$120,A55)+COUNTIF(Edges!$B$2:$B$120,A55)</f>
        <v/>
      </c>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COUNTIF(Edges!$A$2:$A$120,A56)+COUNTIF(Edges!$B$2:$B$120,A56)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COUNTIF(Edges!$A$2:$A$120,A57)+COUNTIF(Edges!$B$2:$B$120,A57)</f>
        <v/>
      </c>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COUNTIF(Edges!$A$2:$A$120,A58)+COUNTIF(Edges!$B$2:$B$120,A58)</f>
        <v/>
      </c>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INDEX(Nodes!$B$2:$B$58,MATCH(A2,Nodes!$A$2:$A$58,0))</f>
        <v/>
      </c>
      <c r="F2" s="45">
        <f>INDEX(Nodes!$B$2:$B$58,MATCH(B2,Nodes!$A$2:$A$58,0))</f>
        <v/>
      </c>
    </row>
    <row r="3" ht="15" customHeight="1" s="25">
      <c r="A3" s="45" t="inlineStr">
        <is>
          <t>careca</t>
        </is>
      </c>
      <c r="B3" s="45" t="inlineStr">
        <is>
          <t>contador</t>
        </is>
      </c>
      <c r="C3" s="45" t="inlineStr">
        <is>
          <t>Contador dele</t>
        </is>
      </c>
      <c r="D3" s="45" t="inlineStr">
        <is>
          <t>Documentado</t>
        </is>
      </c>
      <c r="E3" s="45">
        <f>INDEX(Nodes!$B$2:$B$58,MATCH(A3,Nodes!$A$2:$A$58,0))</f>
        <v/>
      </c>
      <c r="F3" s="45">
        <f>INDEX(Nodes!$B$2:$B$58,MATCH(B3,Nodes!$A$2:$A$58,0))</f>
        <v/>
      </c>
    </row>
    <row r="4" ht="15" customHeight="1" s="25">
      <c r="A4" s="45" t="inlineStr">
        <is>
          <t>contador</t>
        </is>
      </c>
      <c r="B4" s="45" t="inlineStr">
        <is>
          <t>leticia</t>
        </is>
      </c>
      <c r="C4" s="45" t="inlineStr">
        <is>
          <t>Irmãos</t>
        </is>
      </c>
      <c r="D4" s="45" t="inlineStr">
        <is>
          <t>Documentado</t>
        </is>
      </c>
      <c r="E4" s="45">
        <f>INDEX(Nodes!$B$2:$B$58,MATCH(A4,Nodes!$A$2:$A$58,0))</f>
        <v/>
      </c>
      <c r="F4" s="45">
        <f>INDEX(Nodes!$B$2:$B$58,MATCH(B4,Nodes!$A$2:$A$58,0))</f>
        <v/>
      </c>
    </row>
    <row r="5" ht="15" customHeight="1" s="25">
      <c r="A5" s="45" t="inlineStr">
        <is>
          <t>leticia</t>
        </is>
      </c>
      <c r="B5" s="45" t="inlineStr">
        <is>
          <t>escf</t>
        </is>
      </c>
      <c r="C5" s="45" t="inlineStr">
        <is>
          <t>Administra desde 2021</t>
        </is>
      </c>
      <c r="D5" s="45" t="inlineStr">
        <is>
          <t>Documentado</t>
        </is>
      </c>
      <c r="E5" s="45">
        <f>INDEX(Nodes!$B$2:$B$58,MATCH(A5,Nodes!$A$2:$A$58,0))</f>
        <v/>
      </c>
      <c r="F5" s="45">
        <f>INDEX(Nodes!$B$2:$B$58,MATCH(B5,Nodes!$A$2:$A$58,0))</f>
        <v/>
      </c>
    </row>
    <row r="6" ht="15" customHeight="1" s="25">
      <c r="A6" s="45" t="inlineStr">
        <is>
          <t>contador</t>
        </is>
      </c>
      <c r="B6" s="45" t="inlineStr">
        <is>
          <t>escf</t>
        </is>
      </c>
      <c r="C6" s="45" t="inlineStr">
        <is>
          <t>Faz a contabilidade</t>
        </is>
      </c>
      <c r="D6" s="45" t="inlineStr">
        <is>
          <t>Documentado</t>
        </is>
      </c>
      <c r="E6" s="45">
        <f>INDEX(Nodes!$B$2:$B$58,MATCH(A6,Nodes!$A$2:$A$58,0))</f>
        <v/>
      </c>
      <c r="F6" s="45">
        <f>INDEX(Nodes!$B$2:$B$58,MATCH(B6,Nodes!$A$2:$A$58,0))</f>
        <v/>
      </c>
    </row>
    <row r="7" ht="15" customHeight="1" s="25">
      <c r="A7" s="45" t="inlineStr">
        <is>
          <t>willer</t>
        </is>
      </c>
      <c r="B7" s="45" t="inlineStr">
        <is>
          <t>leticia</t>
        </is>
      </c>
      <c r="C7" s="45" t="inlineStr">
        <is>
          <t>Teria indicado a irmã ao escritório de Flávio</t>
        </is>
      </c>
      <c r="D7" s="45" t="inlineStr">
        <is>
          <t>Documentado</t>
        </is>
      </c>
      <c r="E7" s="45">
        <f>INDEX(Nodes!$B$2:$B$58,MATCH(A7,Nodes!$A$2:$A$58,0))</f>
        <v/>
      </c>
      <c r="F7" s="45">
        <f>INDEX(Nodes!$B$2:$B$58,MATCH(B7,Nodes!$A$2:$A$58,0))</f>
        <v/>
      </c>
    </row>
    <row r="8" ht="15" customHeight="1" s="25">
      <c r="A8" s="45" t="inlineStr">
        <is>
          <t>willer</t>
        </is>
      </c>
      <c r="B8" s="45" t="inlineStr">
        <is>
          <t>contador</t>
        </is>
      </c>
      <c r="C8" s="45" t="inlineStr">
        <is>
          <t>É o advogado de defesa</t>
        </is>
      </c>
      <c r="D8" s="45" t="inlineStr">
        <is>
          <t>Documentado</t>
        </is>
      </c>
      <c r="E8" s="45">
        <f>INDEX(Nodes!$B$2:$B$58,MATCH(A8,Nodes!$A$2:$A$58,0))</f>
        <v/>
      </c>
      <c r="F8" s="45">
        <f>INDEX(Nodes!$B$2:$B$58,MATCH(B8,Nodes!$A$2:$A$58,0))</f>
        <v/>
      </c>
    </row>
    <row r="9" ht="15" customHeight="1" s="25">
      <c r="A9" s="45" t="inlineStr">
        <is>
          <t>willer</t>
        </is>
      </c>
      <c r="B9" s="45" t="inlineStr">
        <is>
          <t>careca</t>
        </is>
      </c>
      <c r="C9" s="45" t="inlineStr">
        <is>
          <t>Investigado no mesmo esquema do INSS</t>
        </is>
      </c>
      <c r="D9" s="45" t="inlineStr">
        <is>
          <t>Documentado</t>
        </is>
      </c>
      <c r="E9" s="45">
        <f>INDEX(Nodes!$B$2:$B$58,MATCH(A9,Nodes!$A$2:$A$58,0))</f>
        <v/>
      </c>
      <c r="F9" s="45">
        <f>INDEX(Nodes!$B$2:$B$58,MATCH(B9,Nodes!$A$2:$A$58,0))</f>
        <v/>
      </c>
    </row>
    <row r="10" ht="15" customHeight="1" s="25">
      <c r="A10" s="45" t="inlineStr">
        <is>
          <t>pf</t>
        </is>
      </c>
      <c r="B10" s="45" t="inlineStr">
        <is>
          <t>careca</t>
        </is>
      </c>
      <c r="C10" s="45" t="inlineStr">
        <is>
          <t>Investiga</t>
        </is>
      </c>
      <c r="D10" s="45" t="inlineStr">
        <is>
          <t>Documentado</t>
        </is>
      </c>
      <c r="E10" s="45">
        <f>INDEX(Nodes!$B$2:$B$58,MATCH(A10,Nodes!$A$2:$A$58,0))</f>
        <v/>
      </c>
      <c r="F10" s="45">
        <f>INDEX(Nodes!$B$2:$B$58,MATCH(B10,Nodes!$A$2:$A$58,0))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INDEX(Nodes!$B$2:$B$58,MATCH(A11,Nodes!$A$2:$A$58,0))</f>
        <v/>
      </c>
      <c r="F11" s="45">
        <f>INDEX(Nodes!$B$2:$B$58,MATCH(B11,Nodes!$A$2:$A$58,0))</f>
        <v/>
      </c>
    </row>
    <row r="12" ht="15" customHeight="1" s="25">
      <c r="A12" s="45" t="inlineStr">
        <is>
          <t>lulinha</t>
        </is>
      </c>
      <c r="B12" s="45" t="inlineStr">
        <is>
          <t>roberta</t>
        </is>
      </c>
      <c r="C12" s="45" t="inlineStr">
        <is>
          <t>Amiga; PF diz que ela podia agir em nome dele</t>
        </is>
      </c>
      <c r="D12" s="45" t="inlineStr">
        <is>
          <t>Alegado ou contestado</t>
        </is>
      </c>
      <c r="E12" s="45">
        <f>INDEX(Nodes!$B$2:$B$58,MATCH(A12,Nodes!$A$2:$A$58,0))</f>
        <v/>
      </c>
      <c r="F12" s="45">
        <f>INDEX(Nodes!$B$2:$B$58,MATCH(B12,Nodes!$A$2:$A$58,0))</f>
        <v/>
      </c>
    </row>
    <row r="13" ht="15" customHeight="1" s="25">
      <c r="A13" s="45" t="inlineStr">
        <is>
          <t>roberta</t>
        </is>
      </c>
      <c r="B13" s="45" t="inlineStr">
        <is>
          <t>careca</t>
        </is>
      </c>
      <c r="C13" s="45" t="inlineStr">
        <is>
          <t>Recebeu ~R$ 1 mi de empresa de fachada</t>
        </is>
      </c>
      <c r="D13" s="45" t="inlineStr">
        <is>
          <t>Documentado</t>
        </is>
      </c>
      <c r="E13" s="45">
        <f>INDEX(Nodes!$B$2:$B$58,MATCH(A13,Nodes!$A$2:$A$58,0))</f>
        <v/>
      </c>
      <c r="F13" s="45">
        <f>INDEX(Nodes!$B$2:$B$58,MATCH(B13,Nodes!$A$2:$A$58,0))</f>
        <v/>
      </c>
    </row>
    <row r="14" ht="15" customHeight="1" s="25">
      <c r="A14" s="45" t="inlineStr">
        <is>
          <t>careca</t>
        </is>
      </c>
      <c r="B14" s="45" t="inlineStr">
        <is>
          <t>sala</t>
        </is>
      </c>
      <c r="C14" s="45" t="inlineStr">
        <is>
          <t>16 empresas dele no endereço</t>
        </is>
      </c>
      <c r="D14" s="45" t="inlineStr">
        <is>
          <t>Documentado</t>
        </is>
      </c>
      <c r="E14" s="45">
        <f>INDEX(Nodes!$B$2:$B$58,MATCH(A14,Nodes!$A$2:$A$58,0))</f>
        <v/>
      </c>
      <c r="F14" s="45">
        <f>INDEX(Nodes!$B$2:$B$58,MATCH(B14,Nodes!$A$2:$A$58,0))</f>
        <v/>
      </c>
    </row>
    <row r="15" ht="15" customHeight="1" s="25">
      <c r="A15" s="45" t="inlineStr">
        <is>
          <t>bravo</t>
        </is>
      </c>
      <c r="B15" s="45" t="inlineStr">
        <is>
          <t>sala</t>
        </is>
      </c>
      <c r="C15" s="45" t="inlineStr">
        <is>
          <t>Registrada no mesmo endereço</t>
        </is>
      </c>
      <c r="D15" s="45" t="inlineStr">
        <is>
          <t>Documentado</t>
        </is>
      </c>
      <c r="E15" s="45">
        <f>INDEX(Nodes!$B$2:$B$58,MATCH(A15,Nodes!$A$2:$A$58,0))</f>
        <v/>
      </c>
      <c r="F15" s="45">
        <f>INDEX(Nodes!$B$2:$B$58,MATCH(B15,Nodes!$A$2:$A$58,0))</f>
        <v/>
      </c>
    </row>
    <row r="16" ht="15" customHeight="1" s="25">
      <c r="A16" s="45" t="inlineStr">
        <is>
          <t>bravo</t>
        </is>
      </c>
      <c r="B16" s="45" t="inlineStr">
        <is>
          <t>flavio</t>
        </is>
      </c>
      <c r="C16" s="45" t="inlineStr">
        <is>
          <t>Fábrica dele e do irmão</t>
        </is>
      </c>
      <c r="D16" s="45" t="inlineStr">
        <is>
          <t>Documentado</t>
        </is>
      </c>
      <c r="E16" s="45">
        <f>INDEX(Nodes!$B$2:$B$58,MATCH(A16,Nodes!$A$2:$A$58,0))</f>
        <v/>
      </c>
      <c r="F16" s="45">
        <f>INDEX(Nodes!$B$2:$B$58,MATCH(B16,Nodes!$A$2:$A$58,0))</f>
        <v/>
      </c>
    </row>
    <row r="17" ht="15" customHeight="1" s="25">
      <c r="A17" s="45" t="inlineStr">
        <is>
          <t>bravo</t>
        </is>
      </c>
      <c r="B17" s="45" t="inlineStr">
        <is>
          <t>carlos</t>
        </is>
      </c>
      <c r="C17" s="45" t="inlineStr">
        <is>
          <t>Sócios</t>
        </is>
      </c>
      <c r="D17" s="45" t="inlineStr">
        <is>
          <t>Documentado</t>
        </is>
      </c>
      <c r="E17" s="45">
        <f>INDEX(Nodes!$B$2:$B$58,MATCH(A17,Nodes!$A$2:$A$58,0))</f>
        <v/>
      </c>
      <c r="F17" s="45">
        <f>INDEX(Nodes!$B$2:$B$58,MATCH(B17,Nodes!$A$2:$A$58,0))</f>
        <v/>
      </c>
    </row>
    <row r="18" ht="15" customHeight="1" s="25">
      <c r="A18" s="45" t="inlineStr">
        <is>
          <t>flavio</t>
        </is>
      </c>
      <c r="B18" s="45" t="inlineStr">
        <is>
          <t>carlos</t>
        </is>
      </c>
      <c r="C18" s="45" t="inlineStr">
        <is>
          <t>Irmãos</t>
        </is>
      </c>
      <c r="D18" s="45" t="inlineStr">
        <is>
          <t>Documentado</t>
        </is>
      </c>
      <c r="E18" s="45">
        <f>INDEX(Nodes!$B$2:$B$58,MATCH(A18,Nodes!$A$2:$A$58,0))</f>
        <v/>
      </c>
      <c r="F18" s="45">
        <f>INDEX(Nodes!$B$2:$B$58,MATCH(B18,Nodes!$A$2:$A$58,0))</f>
        <v/>
      </c>
    </row>
    <row r="19" ht="15" customHeight="1" s="25">
      <c r="A19" s="45" t="inlineStr">
        <is>
          <t>willer</t>
        </is>
      </c>
      <c r="B19" s="45" t="inlineStr">
        <is>
          <t>escw</t>
        </is>
      </c>
      <c r="C19" s="45" t="inlineStr">
        <is>
          <t>PF fez buscas e achou dinheiro em livros-cofre</t>
        </is>
      </c>
      <c r="D19" s="45" t="inlineStr">
        <is>
          <t>Documentado</t>
        </is>
      </c>
      <c r="E19" s="45">
        <f>INDEX(Nodes!$B$2:$B$58,MATCH(A19,Nodes!$A$2:$A$58,0))</f>
        <v/>
      </c>
      <c r="F19" s="45">
        <f>INDEX(Nodes!$B$2:$B$58,MATCH(B19,Nodes!$A$2:$A$58,0))</f>
        <v/>
      </c>
    </row>
    <row r="20" ht="15" customHeight="1" s="25">
      <c r="A20" s="45" t="inlineStr">
        <is>
          <t>willer</t>
        </is>
      </c>
      <c r="B20" s="45" t="inlineStr">
        <is>
          <t>bets</t>
        </is>
      </c>
      <c r="C20" s="45" t="inlineStr">
        <is>
          <t>Movimentou ~R$ 5 bi em apostas</t>
        </is>
      </c>
      <c r="D20" s="45" t="inlineStr">
        <is>
          <t>Documentado</t>
        </is>
      </c>
      <c r="E20" s="45">
        <f>INDEX(Nodes!$B$2:$B$58,MATCH(A20,Nodes!$A$2:$A$58,0))</f>
        <v/>
      </c>
      <c r="F20" s="45">
        <f>INDEX(Nodes!$B$2:$B$58,MATCH(B20,Nodes!$A$2:$A$58,0))</f>
        <v/>
      </c>
    </row>
    <row r="21" ht="15" customHeight="1" s="25">
      <c r="A21" s="45" t="inlineStr">
        <is>
          <t>willer</t>
        </is>
      </c>
      <c r="B21" s="45" t="inlineStr">
        <is>
          <t>lidia</t>
        </is>
      </c>
      <c r="C21" s="45" t="inlineStr">
        <is>
          <t>Ela comanda 14 empresas ligadas a ele</t>
        </is>
      </c>
      <c r="D21" s="45" t="inlineStr">
        <is>
          <t>Documentado</t>
        </is>
      </c>
      <c r="E21" s="45">
        <f>INDEX(Nodes!$B$2:$B$58,MATCH(A21,Nodes!$A$2:$A$58,0))</f>
        <v/>
      </c>
      <c r="F21" s="45">
        <f>INDEX(Nodes!$B$2:$B$58,MATCH(B21,Nodes!$A$2:$A$58,0))</f>
        <v/>
      </c>
    </row>
    <row r="22" ht="15" customHeight="1" s="25">
      <c r="A22" s="45" t="inlineStr">
        <is>
          <t>lidia</t>
        </is>
      </c>
      <c r="B22" s="45" t="inlineStr">
        <is>
          <t>wt</t>
        </is>
      </c>
      <c r="C22" s="45" t="inlineStr">
        <is>
          <t>Aparece à frente da WT</t>
        </is>
      </c>
      <c r="D22" s="45" t="inlineStr">
        <is>
          <t>Documentado</t>
        </is>
      </c>
      <c r="E22" s="45">
        <f>INDEX(Nodes!$B$2:$B$58,MATCH(A22,Nodes!$A$2:$A$58,0))</f>
        <v/>
      </c>
      <c r="F22" s="45">
        <f>INDEX(Nodes!$B$2:$B$58,MATCH(B22,Nodes!$A$2:$A$58,0))</f>
        <v/>
      </c>
    </row>
    <row r="23" ht="15" customHeight="1" s="25">
      <c r="A23" s="45" t="inlineStr">
        <is>
          <t>willer</t>
        </is>
      </c>
      <c r="B23" s="45" t="inlineStr">
        <is>
          <t>alcazar</t>
        </is>
      </c>
      <c r="C23" s="45" t="inlineStr">
        <is>
          <t>Empresa ligada a ele</t>
        </is>
      </c>
      <c r="D23" s="45" t="inlineStr">
        <is>
          <t>Documentado</t>
        </is>
      </c>
      <c r="E23" s="45">
        <f>INDEX(Nodes!$B$2:$B$58,MATCH(A23,Nodes!$A$2:$A$58,0))</f>
        <v/>
      </c>
      <c r="F23" s="45">
        <f>INDEX(Nodes!$B$2:$B$58,MATCH(B23,Nodes!$A$2:$A$58,0))</f>
        <v/>
      </c>
    </row>
    <row r="24" ht="15" customHeight="1" s="25">
      <c r="A24" s="45" t="inlineStr">
        <is>
          <t>alcazar</t>
        </is>
      </c>
      <c r="B24" s="45" t="inlineStr">
        <is>
          <t>santander</t>
        </is>
      </c>
      <c r="C24" s="45" t="inlineStr">
        <is>
          <t>Conta bancária</t>
        </is>
      </c>
      <c r="D24" s="45" t="inlineStr">
        <is>
          <t>Documentado</t>
        </is>
      </c>
      <c r="E24" s="45">
        <f>INDEX(Nodes!$B$2:$B$58,MATCH(A24,Nodes!$A$2:$A$58,0))</f>
        <v/>
      </c>
      <c r="F24" s="45">
        <f>INDEX(Nodes!$B$2:$B$58,MATCH(B24,Nodes!$A$2:$A$58,0))</f>
        <v/>
      </c>
    </row>
    <row r="25" ht="15" customHeight="1" s="25">
      <c r="A25" s="45" t="inlineStr">
        <is>
          <t>santander</t>
        </is>
      </c>
      <c r="B25" s="45" t="inlineStr">
        <is>
          <t>flavio</t>
        </is>
      </c>
      <c r="C25" s="45" t="inlineStr">
        <is>
          <t>Flávio era “usuário master”; excluído após a 1ª operação</t>
        </is>
      </c>
      <c r="D25" s="45" t="inlineStr">
        <is>
          <t>Alegado ou contestado</t>
        </is>
      </c>
      <c r="E25" s="45">
        <f>INDEX(Nodes!$B$2:$B$58,MATCH(A25,Nodes!$A$2:$A$58,0))</f>
        <v/>
      </c>
      <c r="F25" s="45">
        <f>INDEX(Nodes!$B$2:$B$58,MATCH(B25,Nodes!$A$2:$A$58,0))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INDEX(Nodes!$B$2:$B$58,MATCH(A26,Nodes!$A$2:$A$58,0))</f>
        <v/>
      </c>
      <c r="F26" s="45">
        <f>INDEX(Nodes!$B$2:$B$58,MATCH(B26,Nodes!$A$2:$A$58,0))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INDEX(Nodes!$B$2:$B$58,MATCH(A27,Nodes!$A$2:$A$58,0))</f>
        <v/>
      </c>
      <c r="F27" s="45">
        <f>INDEX(Nodes!$B$2:$B$58,MATCH(B27,Nodes!$A$2:$A$58,0))</f>
        <v/>
      </c>
    </row>
    <row r="28" ht="15" customHeight="1" s="25">
      <c r="A28" s="45" t="inlineStr">
        <is>
          <t>cpi</t>
        </is>
      </c>
      <c r="B28" s="45" t="inlineStr">
        <is>
          <t>willer</t>
        </is>
      </c>
      <c r="C28" s="45" t="inlineStr">
        <is>
          <t>Citado na Covaxin; quebra de sigilo cancelada</t>
        </is>
      </c>
      <c r="D28" s="45" t="inlineStr">
        <is>
          <t>Documentado</t>
        </is>
      </c>
      <c r="E28" s="45">
        <f>INDEX(Nodes!$B$2:$B$58,MATCH(A28,Nodes!$A$2:$A$58,0))</f>
        <v/>
      </c>
      <c r="F28" s="45">
        <f>INDEX(Nodes!$B$2:$B$58,MATCH(B28,Nodes!$A$2:$A$58,0))</f>
        <v/>
      </c>
    </row>
    <row r="29" ht="15" customHeight="1" s="25">
      <c r="A29" s="45" t="inlineStr">
        <is>
          <t>renan</t>
        </is>
      </c>
      <c r="B29" s="45" t="inlineStr">
        <is>
          <t>cpi</t>
        </is>
      </c>
      <c r="C29" s="45" t="inlineStr">
        <is>
          <t>Relator</t>
        </is>
      </c>
      <c r="D29" s="45" t="inlineStr">
        <is>
          <t>Documentado</t>
        </is>
      </c>
      <c r="E29" s="45">
        <f>INDEX(Nodes!$B$2:$B$58,MATCH(A29,Nodes!$A$2:$A$58,0))</f>
        <v/>
      </c>
      <c r="F29" s="45">
        <f>INDEX(Nodes!$B$2:$B$58,MATCH(B29,Nodes!$A$2:$A$58,0))</f>
        <v/>
      </c>
    </row>
    <row r="30" ht="15" customHeight="1" s="25">
      <c r="A30" s="45" t="inlineStr">
        <is>
          <t>cpi</t>
        </is>
      </c>
      <c r="B30" s="45" t="inlineStr">
        <is>
          <t>flavio</t>
        </is>
      </c>
      <c r="C30" s="45" t="inlineStr">
        <is>
          <t>Reagiu contra a quebra do sigilo</t>
        </is>
      </c>
      <c r="D30" s="45" t="inlineStr">
        <is>
          <t>Documentado</t>
        </is>
      </c>
      <c r="E30" s="45">
        <f>INDEX(Nodes!$B$2:$B$58,MATCH(A30,Nodes!$A$2:$A$58,0))</f>
        <v/>
      </c>
      <c r="F30" s="45">
        <f>INDEX(Nodes!$B$2:$B$58,MATCH(B30,Nodes!$A$2:$A$58,0))</f>
        <v/>
      </c>
    </row>
    <row r="31" ht="15" customHeight="1" s="25">
      <c r="A31" s="45" t="inlineStr">
        <is>
          <t>willer</t>
        </is>
      </c>
      <c r="B31" s="45" t="inlineStr">
        <is>
          <t>wassef</t>
        </is>
      </c>
      <c r="C31" s="45" t="inlineStr">
        <is>
          <t>Trio “WWF” com Flávio</t>
        </is>
      </c>
      <c r="D31" s="45" t="inlineStr">
        <is>
          <t>Documentado</t>
        </is>
      </c>
      <c r="E31" s="45">
        <f>INDEX(Nodes!$B$2:$B$58,MATCH(A31,Nodes!$A$2:$A$58,0))</f>
        <v/>
      </c>
      <c r="F31" s="45">
        <f>INDEX(Nodes!$B$2:$B$58,MATCH(B31,Nodes!$A$2:$A$58,0))</f>
        <v/>
      </c>
    </row>
    <row r="32" ht="15" customHeight="1" s="25">
      <c r="A32" s="45" t="inlineStr">
        <is>
          <t>wassef</t>
        </is>
      </c>
      <c r="B32" s="45" t="inlineStr">
        <is>
          <t>flavio</t>
        </is>
      </c>
      <c r="C32" s="45" t="inlineStr">
        <is>
          <t>Advogado da família; trio “WWF”</t>
        </is>
      </c>
      <c r="D32" s="45" t="inlineStr">
        <is>
          <t>Documentado</t>
        </is>
      </c>
      <c r="E32" s="45">
        <f>INDEX(Nodes!$B$2:$B$58,MATCH(A32,Nodes!$A$2:$A$58,0))</f>
        <v/>
      </c>
      <c r="F32" s="45">
        <f>INDEX(Nodes!$B$2:$B$58,MATCH(B32,Nodes!$A$2:$A$58,0))</f>
        <v/>
      </c>
    </row>
    <row r="33" ht="15" customHeight="1" s="25">
      <c r="A33" s="45" t="inlineStr">
        <is>
          <t>willer</t>
        </is>
      </c>
      <c r="B33" s="45" t="inlineStr">
        <is>
          <t>nunes</t>
        </is>
      </c>
      <c r="C33" s="45" t="inlineStr">
        <is>
          <t>Teria respaldado a indicação ao STF (2020)</t>
        </is>
      </c>
      <c r="D33" s="45" t="inlineStr">
        <is>
          <t>Alegado ou contestado</t>
        </is>
      </c>
      <c r="E33" s="45">
        <f>INDEX(Nodes!$B$2:$B$58,MATCH(A33,Nodes!$A$2:$A$58,0))</f>
        <v/>
      </c>
      <c r="F33" s="45">
        <f>INDEX(Nodes!$B$2:$B$58,MATCH(B33,Nodes!$A$2:$A$58,0))</f>
        <v/>
      </c>
    </row>
    <row r="34" ht="15" customHeight="1" s="25">
      <c r="A34" s="45" t="inlineStr">
        <is>
          <t>wassef</t>
        </is>
      </c>
      <c r="B34" s="45" t="inlineStr">
        <is>
          <t>nunes</t>
        </is>
      </c>
      <c r="C34" s="45" t="inlineStr">
        <is>
          <t>Teria respaldado a indicação ao STF (2020)</t>
        </is>
      </c>
      <c r="D34" s="45" t="inlineStr">
        <is>
          <t>Alegado ou contestado</t>
        </is>
      </c>
      <c r="E34" s="45">
        <f>INDEX(Nodes!$B$2:$B$58,MATCH(A34,Nodes!$A$2:$A$58,0))</f>
        <v/>
      </c>
      <c r="F34" s="45">
        <f>INDEX(Nodes!$B$2:$B$58,MATCH(B34,Nodes!$A$2:$A$58,0))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INDEX(Nodes!$B$2:$B$58,MATCH(A35,Nodes!$A$2:$A$58,0))</f>
        <v/>
      </c>
      <c r="F35" s="45">
        <f>INDEX(Nodes!$B$2:$B$58,MATCH(B35,Nodes!$A$2:$A$58,0))</f>
        <v/>
      </c>
    </row>
    <row r="36" ht="15" customHeight="1" s="25">
      <c r="A36" s="45" t="inlineStr">
        <is>
          <t>jair</t>
        </is>
      </c>
      <c r="B36" s="45" t="inlineStr">
        <is>
          <t>nunes</t>
        </is>
      </c>
      <c r="C36" s="45" t="inlineStr">
        <is>
          <t>Indicou ao STF em 2020</t>
        </is>
      </c>
      <c r="D36" s="45" t="inlineStr">
        <is>
          <t>Documentado</t>
        </is>
      </c>
      <c r="E36" s="45">
        <f>INDEX(Nodes!$B$2:$B$58,MATCH(A36,Nodes!$A$2:$A$58,0))</f>
        <v/>
      </c>
      <c r="F36" s="45">
        <f>INDEX(Nodes!$B$2:$B$58,MATCH(B36,Nodes!$A$2:$A$58,0))</f>
        <v/>
      </c>
    </row>
    <row r="37" ht="15" customHeight="1" s="25">
      <c r="A37" s="45" t="inlineStr">
        <is>
          <t>willer</t>
        </is>
      </c>
      <c r="B37" s="45" t="inlineStr">
        <is>
          <t>angra</t>
        </is>
      </c>
      <c r="C37" s="45" t="inlineStr">
        <is>
          <t>Mansão ficou com a empresa dele (WT)</t>
        </is>
      </c>
      <c r="D37" s="45" t="inlineStr">
        <is>
          <t>Documentado</t>
        </is>
      </c>
      <c r="E37" s="45">
        <f>INDEX(Nodes!$B$2:$B$58,MATCH(A37,Nodes!$A$2:$A$58,0))</f>
        <v/>
      </c>
      <c r="F37" s="45">
        <f>INDEX(Nodes!$B$2:$B$58,MATCH(B37,Nodes!$A$2:$A$58,0))</f>
        <v/>
      </c>
    </row>
    <row r="38" ht="15" customHeight="1" s="25">
      <c r="A38" s="45" t="inlineStr">
        <is>
          <t>alcazar</t>
        </is>
      </c>
      <c r="B38" s="45" t="inlineStr">
        <is>
          <t>jato</t>
        </is>
      </c>
      <c r="C38" s="45" t="inlineStr">
        <is>
          <t>Cotista</t>
        </is>
      </c>
      <c r="D38" s="45" t="inlineStr">
        <is>
          <t>Documentado</t>
        </is>
      </c>
      <c r="E38" s="45">
        <f>INDEX(Nodes!$B$2:$B$58,MATCH(A38,Nodes!$A$2:$A$58,0))</f>
        <v/>
      </c>
      <c r="F38" s="45">
        <f>INDEX(Nodes!$B$2:$B$58,MATCH(B38,Nodes!$A$2:$A$58,0))</f>
        <v/>
      </c>
    </row>
    <row r="39" ht="15" customHeight="1" s="25">
      <c r="A39" s="45" t="inlineStr">
        <is>
          <t>primeu</t>
        </is>
      </c>
      <c r="B39" s="45" t="inlineStr">
        <is>
          <t>jato</t>
        </is>
      </c>
      <c r="C39" s="45" t="inlineStr">
        <is>
          <t>Cotista</t>
        </is>
      </c>
      <c r="D39" s="45" t="inlineStr">
        <is>
          <t>Documentado</t>
        </is>
      </c>
      <c r="E39" s="45">
        <f>INDEX(Nodes!$B$2:$B$58,MATCH(A39,Nodes!$A$2:$A$58,0))</f>
        <v/>
      </c>
      <c r="F39" s="45">
        <f>INDEX(Nodes!$B$2:$B$58,MATCH(B39,Nodes!$A$2:$A$58,0))</f>
        <v/>
      </c>
    </row>
    <row r="40" ht="15" customHeight="1" s="25">
      <c r="A40" s="45" t="inlineStr">
        <is>
          <t>flavio</t>
        </is>
      </c>
      <c r="B40" s="45" t="inlineStr">
        <is>
          <t>jato</t>
        </is>
      </c>
      <c r="C40" s="45" t="inlineStr">
        <is>
          <t>Voou em jan/2025</t>
        </is>
      </c>
      <c r="D40" s="45" t="inlineStr">
        <is>
          <t>Documentado</t>
        </is>
      </c>
      <c r="E40" s="45">
        <f>INDEX(Nodes!$B$2:$B$58,MATCH(A40,Nodes!$A$2:$A$58,0))</f>
        <v/>
      </c>
      <c r="F40" s="45">
        <f>INDEX(Nodes!$B$2:$B$58,MATCH(B40,Nodes!$A$2:$A$58,0))</f>
        <v/>
      </c>
    </row>
    <row r="41" ht="15" customHeight="1" s="25">
      <c r="A41" s="45" t="inlineStr">
        <is>
          <t>vorcaro</t>
        </is>
      </c>
      <c r="B41" s="45" t="inlineStr">
        <is>
          <t>jato</t>
        </is>
      </c>
      <c r="C41" s="45" t="inlineStr">
        <is>
          <t>Sócio da Prime U, cotista do jato (ligação indireta)</t>
        </is>
      </c>
      <c r="D41" s="45" t="inlineStr">
        <is>
          <t>Documentado</t>
        </is>
      </c>
      <c r="E41" s="45">
        <f>INDEX(Nodes!$B$2:$B$58,MATCH(A41,Nodes!$A$2:$A$58,0))</f>
        <v/>
      </c>
      <c r="F41" s="45">
        <f>INDEX(Nodes!$B$2:$B$58,MATCH(B41,Nodes!$A$2:$A$58,0))</f>
        <v/>
      </c>
    </row>
    <row r="42" ht="15" customHeight="1" s="25">
      <c r="A42" s="45" t="inlineStr">
        <is>
          <t>willer</t>
        </is>
      </c>
      <c r="B42" s="45" t="inlineStr">
        <is>
          <t>jato</t>
        </is>
      </c>
      <c r="C42" s="45" t="inlineStr">
        <is>
          <t>Voou junto</t>
        </is>
      </c>
      <c r="D42" s="45" t="inlineStr">
        <is>
          <t>Documentado</t>
        </is>
      </c>
      <c r="E42" s="45">
        <f>INDEX(Nodes!$B$2:$B$58,MATCH(A42,Nodes!$A$2:$A$58,0))</f>
        <v/>
      </c>
      <c r="F42" s="45">
        <f>INDEX(Nodes!$B$2:$B$58,MATCH(B42,Nodes!$A$2:$A$58,0))</f>
        <v/>
      </c>
    </row>
    <row r="43" ht="15" customHeight="1" s="25">
      <c r="A43" s="45" t="inlineStr">
        <is>
          <t>fam</t>
        </is>
      </c>
      <c r="B43" s="45" t="inlineStr">
        <is>
          <t>jato</t>
        </is>
      </c>
      <c r="C43" s="45" t="inlineStr">
        <is>
          <t>Voou em jan/2025</t>
        </is>
      </c>
      <c r="D43" s="45" t="inlineStr">
        <is>
          <t>Documentado</t>
        </is>
      </c>
      <c r="E43" s="45">
        <f>INDEX(Nodes!$B$2:$B$58,MATCH(A43,Nodes!$A$2:$A$58,0))</f>
        <v/>
      </c>
      <c r="F43" s="45">
        <f>INDEX(Nodes!$B$2:$B$58,MATCH(B43,Nodes!$A$2:$A$58,0))</f>
        <v/>
      </c>
    </row>
    <row r="44" ht="15" customHeight="1" s="25">
      <c r="A44" s="45" t="inlineStr">
        <is>
          <t>flavio</t>
        </is>
      </c>
      <c r="B44" s="45" t="inlineStr">
        <is>
          <t>fam</t>
        </is>
      </c>
      <c r="C44" s="45" t="inlineStr">
        <is>
          <t>Família</t>
        </is>
      </c>
      <c r="D44" s="45" t="inlineStr">
        <is>
          <t>Documentado</t>
        </is>
      </c>
      <c r="E44" s="45">
        <f>INDEX(Nodes!$B$2:$B$58,MATCH(A44,Nodes!$A$2:$A$58,0))</f>
        <v/>
      </c>
      <c r="F44" s="45">
        <f>INDEX(Nodes!$B$2:$B$58,MATCH(B44,Nodes!$A$2:$A$58,0))</f>
        <v/>
      </c>
    </row>
    <row r="45" ht="15" customHeight="1" s="25">
      <c r="A45" s="45" t="inlineStr">
        <is>
          <t>vorcaro</t>
        </is>
      </c>
      <c r="B45" s="45" t="inlineStr">
        <is>
          <t>primeu</t>
        </is>
      </c>
      <c r="C45" s="45" t="inlineStr">
        <is>
          <t>Sócio</t>
        </is>
      </c>
      <c r="D45" s="45" t="inlineStr">
        <is>
          <t>Documentado</t>
        </is>
      </c>
      <c r="E45" s="45">
        <f>INDEX(Nodes!$B$2:$B$58,MATCH(A45,Nodes!$A$2:$A$58,0))</f>
        <v/>
      </c>
      <c r="F45" s="45">
        <f>INDEX(Nodes!$B$2:$B$58,MATCH(B45,Nodes!$A$2:$A$58,0))</f>
        <v/>
      </c>
    </row>
    <row r="46" ht="15" customHeight="1" s="25">
      <c r="A46" s="45" t="inlineStr">
        <is>
          <t>primeu</t>
        </is>
      </c>
      <c r="B46" s="45" t="inlineStr">
        <is>
          <t>mulheres</t>
        </is>
      </c>
      <c r="C46" s="45" t="inlineStr">
        <is>
          <t>Passagens e hotéis delas faturados à Prime U</t>
        </is>
      </c>
      <c r="D46" s="45" t="inlineStr">
        <is>
          <t>Documentado</t>
        </is>
      </c>
      <c r="E46" s="45">
        <f>INDEX(Nodes!$B$2:$B$58,MATCH(A46,Nodes!$A$2:$A$58,0))</f>
        <v/>
      </c>
      <c r="F46" s="45">
        <f>INDEX(Nodes!$B$2:$B$58,MATCH(B46,Nodes!$A$2:$A$58,0))</f>
        <v/>
      </c>
    </row>
    <row r="47" ht="15" customHeight="1" s="25">
      <c r="A47" s="45" t="inlineStr">
        <is>
          <t>primeu</t>
        </is>
      </c>
      <c r="B47" s="45" t="inlineStr">
        <is>
          <t>angra</t>
        </is>
      </c>
      <c r="C47" s="45" t="inlineStr">
        <is>
          <t>Administrava a mansão</t>
        </is>
      </c>
      <c r="D47" s="45" t="inlineStr">
        <is>
          <t>Documentado</t>
        </is>
      </c>
      <c r="E47" s="45">
        <f>INDEX(Nodes!$B$2:$B$58,MATCH(A47,Nodes!$A$2:$A$58,0))</f>
        <v/>
      </c>
      <c r="F47" s="45">
        <f>INDEX(Nodes!$B$2:$B$58,MATCH(B47,Nodes!$A$2:$A$58,0))</f>
        <v/>
      </c>
    </row>
    <row r="48" ht="15" customHeight="1" s="25">
      <c r="A48" s="45" t="inlineStr">
        <is>
          <t>vorcaro</t>
        </is>
      </c>
      <c r="B48" s="45" t="inlineStr">
        <is>
          <t>luri</t>
        </is>
      </c>
      <c r="C48" s="45" t="inlineStr">
        <is>
          <t>Negociou comprar metade</t>
        </is>
      </c>
      <c r="D48" s="45" t="inlineStr">
        <is>
          <t>Documentado</t>
        </is>
      </c>
      <c r="E48" s="45">
        <f>INDEX(Nodes!$B$2:$B$58,MATCH(A48,Nodes!$A$2:$A$58,0))</f>
        <v/>
      </c>
      <c r="F48" s="45">
        <f>INDEX(Nodes!$B$2:$B$58,MATCH(B48,Nodes!$A$2:$A$58,0))</f>
        <v/>
      </c>
    </row>
    <row r="49" ht="15" customHeight="1" s="25">
      <c r="A49" s="45" t="inlineStr">
        <is>
          <t>vorcaro</t>
        </is>
      </c>
      <c r="B49" s="45" t="inlineStr">
        <is>
          <t>triplex</t>
        </is>
      </c>
      <c r="C49" s="45" t="inlineStr">
        <is>
          <t>Festas no triplex</t>
        </is>
      </c>
      <c r="D49" s="45" t="inlineStr">
        <is>
          <t>Documentado</t>
        </is>
      </c>
      <c r="E49" s="45">
        <f>INDEX(Nodes!$B$2:$B$58,MATCH(A49,Nodes!$A$2:$A$58,0))</f>
        <v/>
      </c>
      <c r="F49" s="45">
        <f>INDEX(Nodes!$B$2:$B$58,MATCH(B49,Nodes!$A$2:$A$58,0))</f>
        <v/>
      </c>
    </row>
    <row r="50" ht="15" customHeight="1" s="25">
      <c r="A50" s="45" t="inlineStr">
        <is>
          <t>vorcaro</t>
        </is>
      </c>
      <c r="B50" s="45" t="inlineStr">
        <is>
          <t>master</t>
        </is>
      </c>
      <c r="C50" s="45" t="inlineStr">
        <is>
          <t>Dono</t>
        </is>
      </c>
      <c r="D50" s="45" t="inlineStr">
        <is>
          <t>Documentado</t>
        </is>
      </c>
      <c r="E50" s="45">
        <f>INDEX(Nodes!$B$2:$B$58,MATCH(A50,Nodes!$A$2:$A$58,0))</f>
        <v/>
      </c>
      <c r="F50" s="45">
        <f>INDEX(Nodes!$B$2:$B$58,MATCH(B50,Nodes!$A$2:$A$58,0))</f>
        <v/>
      </c>
    </row>
    <row r="51" ht="15" customHeight="1" s="25">
      <c r="A51" s="45" t="inlineStr">
        <is>
          <t>vorcaro</t>
        </is>
      </c>
      <c r="B51" s="45" t="inlineStr">
        <is>
          <t>zetel</t>
        </is>
      </c>
      <c r="C51" s="45" t="inlineStr">
        <is>
          <t>Cunhado</t>
        </is>
      </c>
      <c r="D51" s="45" t="inlineStr">
        <is>
          <t>Documentado</t>
        </is>
      </c>
      <c r="E51" s="45">
        <f>INDEX(Nodes!$B$2:$B$58,MATCH(A51,Nodes!$A$2:$A$58,0))</f>
        <v/>
      </c>
      <c r="F51" s="45">
        <f>INDEX(Nodes!$B$2:$B$58,MATCH(B51,Nodes!$A$2:$A$58,0))</f>
        <v/>
      </c>
    </row>
    <row r="52" ht="15" customHeight="1" s="25">
      <c r="A52" s="45" t="inlineStr">
        <is>
          <t>zetel</t>
        </is>
      </c>
      <c r="B52" s="45" t="inlineStr">
        <is>
          <t>aptosp</t>
        </is>
      </c>
      <c r="C52" s="45" t="inlineStr">
        <is>
          <t>Vendeu à WT por R$ 2 mi a menos</t>
        </is>
      </c>
      <c r="D52" s="45" t="inlineStr">
        <is>
          <t>Documentado</t>
        </is>
      </c>
      <c r="E52" s="45">
        <f>INDEX(Nodes!$B$2:$B$58,MATCH(A52,Nodes!$A$2:$A$58,0))</f>
        <v/>
      </c>
      <c r="F52" s="45">
        <f>INDEX(Nodes!$B$2:$B$58,MATCH(B52,Nodes!$A$2:$A$58,0))</f>
        <v/>
      </c>
    </row>
    <row r="53" ht="15" customHeight="1" s="25">
      <c r="A53" s="45" t="inlineStr">
        <is>
          <t>wt</t>
        </is>
      </c>
      <c r="B53" s="45" t="inlineStr">
        <is>
          <t>aptosp</t>
        </is>
      </c>
      <c r="C53" s="45" t="inlineStr">
        <is>
          <t>Compradora</t>
        </is>
      </c>
      <c r="D53" s="45" t="inlineStr">
        <is>
          <t>Documentado</t>
        </is>
      </c>
      <c r="E53" s="45">
        <f>INDEX(Nodes!$B$2:$B$58,MATCH(A53,Nodes!$A$2:$A$58,0))</f>
        <v/>
      </c>
      <c r="F53" s="45">
        <f>INDEX(Nodes!$B$2:$B$58,MATCH(B53,Nodes!$A$2:$A$58,0))</f>
        <v/>
      </c>
    </row>
    <row r="54" ht="15" customHeight="1" s="25">
      <c r="A54" s="45" t="inlineStr">
        <is>
          <t>wt</t>
        </is>
      </c>
      <c r="B54" s="45" t="inlineStr">
        <is>
          <t>angra</t>
        </is>
      </c>
      <c r="C54" s="45" t="inlineStr">
        <is>
          <t>Dona</t>
        </is>
      </c>
      <c r="D54" s="45" t="inlineStr">
        <is>
          <t>Documentado</t>
        </is>
      </c>
      <c r="E54" s="45">
        <f>INDEX(Nodes!$B$2:$B$58,MATCH(A54,Nodes!$A$2:$A$58,0))</f>
        <v/>
      </c>
      <c r="F54" s="45">
        <f>INDEX(Nodes!$B$2:$B$58,MATCH(B54,Nodes!$A$2:$A$58,0))</f>
        <v/>
      </c>
    </row>
    <row r="55" ht="15" customHeight="1" s="25">
      <c r="A55" s="45" t="inlineStr">
        <is>
          <t>angra</t>
        </is>
      </c>
      <c r="B55" s="45" t="inlineStr">
        <is>
          <t>richarlison</t>
        </is>
      </c>
      <c r="C55" s="45" t="inlineStr">
        <is>
          <t>Investiu ~R$ 10 mi e perdeu a casa na Justiça</t>
        </is>
      </c>
      <c r="D55" s="45" t="inlineStr">
        <is>
          <t>Documentado</t>
        </is>
      </c>
      <c r="E55" s="45">
        <f>INDEX(Nodes!$B$2:$B$58,MATCH(A55,Nodes!$A$2:$A$58,0))</f>
        <v/>
      </c>
      <c r="F55" s="45">
        <f>INDEX(Nodes!$B$2:$B$58,MATCH(B55,Nodes!$A$2:$A$58,0))</f>
        <v/>
      </c>
    </row>
    <row r="56" ht="15" customHeight="1" s="25">
      <c r="A56" s="45" t="inlineStr">
        <is>
          <t>angra</t>
        </is>
      </c>
      <c r="B56" s="45" t="inlineStr">
        <is>
          <t>dono</t>
        </is>
      </c>
      <c r="C56" s="45" t="inlineStr">
        <is>
          <t>Antigo dono; ouviu Flávio chamar Willer de sócio</t>
        </is>
      </c>
      <c r="D56" s="45" t="inlineStr">
        <is>
          <t>Documentado</t>
        </is>
      </c>
      <c r="E56" s="45">
        <f>INDEX(Nodes!$B$2:$B$58,MATCH(A56,Nodes!$A$2:$A$58,0))</f>
        <v/>
      </c>
      <c r="F56" s="45">
        <f>INDEX(Nodes!$B$2:$B$58,MATCH(B56,Nodes!$A$2:$A$58,0))</f>
        <v/>
      </c>
    </row>
    <row r="57" ht="15" customHeight="1" s="25">
      <c r="A57" s="45" t="inlineStr">
        <is>
          <t>flavio</t>
        </is>
      </c>
      <c r="B57" s="45" t="inlineStr">
        <is>
          <t>angra</t>
        </is>
      </c>
      <c r="C57" s="45" t="inlineStr">
        <is>
          <t>Aniversário da filha na mansão</t>
        </is>
      </c>
      <c r="D57" s="45" t="inlineStr">
        <is>
          <t>Documentado</t>
        </is>
      </c>
      <c r="E57" s="45">
        <f>INDEX(Nodes!$B$2:$B$58,MATCH(A57,Nodes!$A$2:$A$58,0))</f>
        <v/>
      </c>
      <c r="F57" s="45">
        <f>INDEX(Nodes!$B$2:$B$58,MATCH(B57,Nodes!$A$2:$A$58,0))</f>
        <v/>
      </c>
    </row>
    <row r="58" ht="15" customHeight="1" s="25">
      <c r="A58" s="45" t="inlineStr">
        <is>
          <t>flavio</t>
        </is>
      </c>
      <c r="B58" s="45" t="inlineStr">
        <is>
          <t>aptosp</t>
        </is>
      </c>
      <c r="C58" s="45" t="inlineStr">
        <is>
          <t>Usou na campanha</t>
        </is>
      </c>
      <c r="D58" s="45" t="inlineStr">
        <is>
          <t>Documentado</t>
        </is>
      </c>
      <c r="E58" s="45">
        <f>INDEX(Nodes!$B$2:$B$58,MATCH(A58,Nodes!$A$2:$A$58,0))</f>
        <v/>
      </c>
      <c r="F58" s="45">
        <f>INDEX(Nodes!$B$2:$B$58,MATCH(B58,Nodes!$A$2:$A$58,0))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INDEX(Nodes!$B$2:$B$58,MATCH(A59,Nodes!$A$2:$A$58,0))</f>
        <v/>
      </c>
      <c r="F59" s="45">
        <f>INDEX(Nodes!$B$2:$B$58,MATCH(B59,Nodes!$A$2:$A$58,0))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INDEX(Nodes!$B$2:$B$58,MATCH(A60,Nodes!$A$2:$A$58,0))</f>
        <v/>
      </c>
      <c r="F60" s="45">
        <f>INDEX(Nodes!$B$2:$B$58,MATCH(B60,Nodes!$A$2:$A$58,0))</f>
        <v/>
      </c>
    </row>
    <row r="61" ht="15" customHeight="1" s="25">
      <c r="A61" s="45" t="inlineStr">
        <is>
          <t>ong</t>
        </is>
      </c>
      <c r="B61" s="45" t="inlineStr">
        <is>
          <t>flavio</t>
        </is>
      </c>
      <c r="C61" s="45" t="inlineStr">
        <is>
          <t>Dinheiro do filme sobre o pai</t>
        </is>
      </c>
      <c r="D61" s="45" t="inlineStr">
        <is>
          <t>Alegado ou contestado</t>
        </is>
      </c>
      <c r="E61" s="45">
        <f>INDEX(Nodes!$B$2:$B$58,MATCH(A61,Nodes!$A$2:$A$58,0))</f>
        <v/>
      </c>
      <c r="F61" s="45">
        <f>INDEX(Nodes!$B$2:$B$58,MATCH(B61,Nodes!$A$2:$A$58,0))</f>
        <v/>
      </c>
    </row>
    <row r="62" ht="15" customHeight="1" s="25">
      <c r="A62" s="45" t="inlineStr">
        <is>
          <t>ong</t>
        </is>
      </c>
      <c r="B62" s="45" t="inlineStr">
        <is>
          <t>vorcaro</t>
        </is>
      </c>
      <c r="C62" s="45" t="inlineStr">
        <is>
          <t>Negociação de ~US$ 24 mi</t>
        </is>
      </c>
      <c r="D62" s="45" t="inlineStr">
        <is>
          <t>Alegado ou contestado</t>
        </is>
      </c>
      <c r="E62" s="45">
        <f>INDEX(Nodes!$B$2:$B$58,MATCH(A62,Nodes!$A$2:$A$58,0))</f>
        <v/>
      </c>
      <c r="F62" s="45">
        <f>INDEX(Nodes!$B$2:$B$58,MATCH(B62,Nodes!$A$2:$A$58,0))</f>
        <v/>
      </c>
    </row>
    <row r="63" ht="15" customHeight="1" s="25">
      <c r="A63" s="45" t="inlineStr">
        <is>
          <t>ong</t>
        </is>
      </c>
      <c r="B63" s="45" t="inlineStr">
        <is>
          <t>eletricista</t>
        </is>
      </c>
      <c r="C63" s="45" t="inlineStr">
        <is>
          <t>Tesoureiro de fachada</t>
        </is>
      </c>
      <c r="D63" s="45" t="inlineStr">
        <is>
          <t>Documentado</t>
        </is>
      </c>
      <c r="E63" s="45">
        <f>INDEX(Nodes!$B$2:$B$58,MATCH(A63,Nodes!$A$2:$A$58,0))</f>
        <v/>
      </c>
      <c r="F63" s="45">
        <f>INDEX(Nodes!$B$2:$B$58,MATCH(B63,Nodes!$A$2:$A$58,0))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INDEX(Nodes!$B$2:$B$58,MATCH(A64,Nodes!$A$2:$A$58,0))</f>
        <v/>
      </c>
      <c r="F64" s="45">
        <f>INDEX(Nodes!$B$2:$B$58,MATCH(B64,Nodes!$A$2:$A$58,0))</f>
        <v/>
      </c>
    </row>
    <row r="65" ht="15" customHeight="1" s="25">
      <c r="A65" s="45" t="inlineStr">
        <is>
          <t>triplex</t>
        </is>
      </c>
      <c r="B65" s="45" t="inlineStr">
        <is>
          <t>mulheres</t>
        </is>
      </c>
      <c r="C65" s="45" t="inlineStr">
        <is>
          <t>Mulheres nas festas</t>
        </is>
      </c>
      <c r="D65" s="45" t="inlineStr">
        <is>
          <t>Alegado ou contestado</t>
        </is>
      </c>
      <c r="E65" s="45">
        <f>INDEX(Nodes!$B$2:$B$58,MATCH(A65,Nodes!$A$2:$A$58,0))</f>
        <v/>
      </c>
      <c r="F65" s="45">
        <f>INDEX(Nodes!$B$2:$B$58,MATCH(B65,Nodes!$A$2:$A$58,0))</f>
        <v/>
      </c>
    </row>
    <row r="66" ht="15" customHeight="1" s="25">
      <c r="A66" s="45" t="inlineStr">
        <is>
          <t>luri</t>
        </is>
      </c>
      <c r="B66" s="45" t="inlineStr">
        <is>
          <t>mulheres</t>
        </is>
      </c>
      <c r="C66" s="45" t="inlineStr">
        <is>
          <t>Recrutava</t>
        </is>
      </c>
      <c r="D66" s="45" t="inlineStr">
        <is>
          <t>Alegado ou contestado</t>
        </is>
      </c>
      <c r="E66" s="45">
        <f>INDEX(Nodes!$B$2:$B$58,MATCH(A66,Nodes!$A$2:$A$58,0))</f>
        <v/>
      </c>
      <c r="F66" s="45">
        <f>INDEX(Nodes!$B$2:$B$58,MATCH(B66,Nodes!$A$2:$A$58,0))</f>
        <v/>
      </c>
    </row>
    <row r="67" ht="15" customHeight="1" s="25">
      <c r="A67" s="45" t="inlineStr">
        <is>
          <t>promoter</t>
        </is>
      </c>
      <c r="B67" s="45" t="inlineStr">
        <is>
          <t>mulheres</t>
        </is>
      </c>
      <c r="C67" s="45" t="inlineStr">
        <is>
          <t>Levava as mulheres</t>
        </is>
      </c>
      <c r="D67" s="45" t="inlineStr">
        <is>
          <t>Alegado ou contestado</t>
        </is>
      </c>
      <c r="E67" s="45">
        <f>INDEX(Nodes!$B$2:$B$58,MATCH(A67,Nodes!$A$2:$A$58,0))</f>
        <v/>
      </c>
      <c r="F67" s="45">
        <f>INDEX(Nodes!$B$2:$B$58,MATCH(B67,Nodes!$A$2:$A$58,0))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INDEX(Nodes!$B$2:$B$58,MATCH(A68,Nodes!$A$2:$A$58,0))</f>
        <v/>
      </c>
      <c r="F68" s="45">
        <f>INDEX(Nodes!$B$2:$B$58,MATCH(B68,Nodes!$A$2:$A$58,0))</f>
        <v/>
      </c>
    </row>
    <row r="69" ht="15" customHeight="1" s="25">
      <c r="A69" s="45" t="inlineStr">
        <is>
          <t>mordomo</t>
        </is>
      </c>
      <c r="B69" s="45" t="inlineStr">
        <is>
          <t>triplex</t>
        </is>
      </c>
      <c r="C69" s="45" t="inlineStr">
        <is>
          <t>Trabalhava no triplex</t>
        </is>
      </c>
      <c r="D69" s="45" t="inlineStr">
        <is>
          <t>Documentado</t>
        </is>
      </c>
      <c r="E69" s="45">
        <f>INDEX(Nodes!$B$2:$B$58,MATCH(A69,Nodes!$A$2:$A$58,0))</f>
        <v/>
      </c>
      <c r="F69" s="45">
        <f>INDEX(Nodes!$B$2:$B$58,MATCH(B69,Nodes!$A$2:$A$58,0))</f>
        <v/>
      </c>
    </row>
    <row r="70" ht="15" customHeight="1" s="25">
      <c r="A70" s="45" t="inlineStr">
        <is>
          <t>mordomo</t>
        </is>
      </c>
      <c r="B70" s="45" t="inlineStr">
        <is>
          <t>vorcaro</t>
        </is>
      </c>
      <c r="C70" s="45" t="inlineStr">
        <is>
          <t>Mandou mensagens sobre a festa de fev/2025</t>
        </is>
      </c>
      <c r="D70" s="45" t="inlineStr">
        <is>
          <t>Alegado ou contestado</t>
        </is>
      </c>
      <c r="E70" s="45">
        <f>INDEX(Nodes!$B$2:$B$58,MATCH(A70,Nodes!$A$2:$A$58,0))</f>
        <v/>
      </c>
      <c r="F70" s="45">
        <f>INDEX(Nodes!$B$2:$B$58,MATCH(B70,Nodes!$A$2:$A$58,0))</f>
        <v/>
      </c>
    </row>
    <row r="71" ht="15" customHeight="1" s="25">
      <c r="A71" s="45" t="inlineStr">
        <is>
          <t>mordomo</t>
        </is>
      </c>
      <c r="B71" s="45" t="inlineStr">
        <is>
          <t>nunes</t>
        </is>
      </c>
      <c r="C71" s="45" t="inlineStr">
        <is>
          <t>Relatou “ministro com cinco meninas”</t>
        </is>
      </c>
      <c r="D71" s="45" t="inlineStr">
        <is>
          <t>Alegado ou contestado</t>
        </is>
      </c>
      <c r="E71" s="45">
        <f>INDEX(Nodes!$B$2:$B$58,MATCH(A71,Nodes!$A$2:$A$58,0))</f>
        <v/>
      </c>
      <c r="F71" s="45">
        <f>INDEX(Nodes!$B$2:$B$58,MATCH(B71,Nodes!$A$2:$A$58,0))</f>
        <v/>
      </c>
    </row>
    <row r="72" ht="15" customHeight="1" s="25">
      <c r="A72" s="45" t="inlineStr">
        <is>
          <t>dirjur</t>
        </is>
      </c>
      <c r="B72" s="45" t="inlineStr">
        <is>
          <t>master</t>
        </is>
      </c>
      <c r="C72" s="45" t="inlineStr">
        <is>
          <t>Diretor do banco</t>
        </is>
      </c>
      <c r="D72" s="45" t="inlineStr">
        <is>
          <t>Documentado</t>
        </is>
      </c>
      <c r="E72" s="45">
        <f>INDEX(Nodes!$B$2:$B$58,MATCH(A72,Nodes!$A$2:$A$58,0))</f>
        <v/>
      </c>
      <c r="F72" s="45">
        <f>INDEX(Nodes!$B$2:$B$58,MATCH(B72,Nodes!$A$2:$A$58,0))</f>
        <v/>
      </c>
    </row>
    <row r="73" ht="15" customHeight="1" s="25">
      <c r="A73" s="45" t="inlineStr">
        <is>
          <t>dirjur</t>
        </is>
      </c>
      <c r="B73" s="45" t="inlineStr">
        <is>
          <t>vorcaro</t>
        </is>
      </c>
      <c r="C73" s="45" t="inlineStr">
        <is>
          <t>“Dominado aqui” no dia do voto de desempate</t>
        </is>
      </c>
      <c r="D73" s="45" t="inlineStr">
        <is>
          <t>Alegado ou contestado</t>
        </is>
      </c>
      <c r="E73" s="45">
        <f>INDEX(Nodes!$B$2:$B$58,MATCH(A73,Nodes!$A$2:$A$58,0))</f>
        <v/>
      </c>
      <c r="F73" s="45">
        <f>INDEX(Nodes!$B$2:$B$58,MATCH(B73,Nodes!$A$2:$A$58,0))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INDEX(Nodes!$B$2:$B$58,MATCH(A74,Nodes!$A$2:$A$58,0))</f>
        <v/>
      </c>
      <c r="F74" s="45">
        <f>INDEX(Nodes!$B$2:$B$58,MATCH(B74,Nodes!$A$2:$A$58,0))</f>
        <v/>
      </c>
    </row>
    <row r="75" ht="15" customHeight="1" s="25">
      <c r="A75" s="45" t="inlineStr">
        <is>
          <t>master</t>
        </is>
      </c>
      <c r="B75" s="45" t="inlineStr">
        <is>
          <t>consult</t>
        </is>
      </c>
      <c r="C75" s="45" t="inlineStr">
        <is>
          <t>Pagou R$ 6,6 mi</t>
        </is>
      </c>
      <c r="D75" s="45" t="inlineStr">
        <is>
          <t>Documentado</t>
        </is>
      </c>
      <c r="E75" s="45">
        <f>INDEX(Nodes!$B$2:$B$58,MATCH(A75,Nodes!$A$2:$A$58,0))</f>
        <v/>
      </c>
      <c r="F75" s="45">
        <f>INDEX(Nodes!$B$2:$B$58,MATCH(B75,Nodes!$A$2:$A$58,0))</f>
        <v/>
      </c>
    </row>
    <row r="76" ht="15" customHeight="1" s="25">
      <c r="A76" s="45" t="inlineStr">
        <is>
          <t>consult</t>
        </is>
      </c>
      <c r="B76" s="45" t="inlineStr">
        <is>
          <t>kevin</t>
        </is>
      </c>
      <c r="C76" s="45" t="inlineStr">
        <is>
          <t>Repassou ~R$ 300 mil</t>
        </is>
      </c>
      <c r="D76" s="45" t="inlineStr">
        <is>
          <t>Documentado</t>
        </is>
      </c>
      <c r="E76" s="45">
        <f>INDEX(Nodes!$B$2:$B$58,MATCH(A76,Nodes!$A$2:$A$58,0))</f>
        <v/>
      </c>
      <c r="F76" s="45">
        <f>INDEX(Nodes!$B$2:$B$58,MATCH(B76,Nodes!$A$2:$A$58,0))</f>
        <v/>
      </c>
    </row>
    <row r="77" ht="15" customHeight="1" s="25">
      <c r="A77" s="45" t="inlineStr">
        <is>
          <t>consult</t>
        </is>
      </c>
      <c r="B77" s="45" t="inlineStr">
        <is>
          <t>nunes</t>
        </is>
      </c>
      <c r="C77" s="45" t="inlineStr">
        <is>
          <t>Dono é amigo do ministro</t>
        </is>
      </c>
      <c r="D77" s="45" t="inlineStr">
        <is>
          <t>Documentado</t>
        </is>
      </c>
      <c r="E77" s="45">
        <f>INDEX(Nodes!$B$2:$B$58,MATCH(A77,Nodes!$A$2:$A$58,0))</f>
        <v/>
      </c>
      <c r="F77" s="45">
        <f>INDEX(Nodes!$B$2:$B$58,MATCH(B77,Nodes!$A$2:$A$58,0))</f>
        <v/>
      </c>
    </row>
    <row r="78" ht="15" customHeight="1" s="25">
      <c r="A78" s="45" t="inlineStr">
        <is>
          <t>kevin</t>
        </is>
      </c>
      <c r="B78" s="45" t="inlineStr">
        <is>
          <t>nunes</t>
        </is>
      </c>
      <c r="C78" s="45" t="inlineStr">
        <is>
          <t>Filho</t>
        </is>
      </c>
      <c r="D78" s="45" t="inlineStr">
        <is>
          <t>Documentado</t>
        </is>
      </c>
      <c r="E78" s="45">
        <f>INDEX(Nodes!$B$2:$B$58,MATCH(A78,Nodes!$A$2:$A$58,0))</f>
        <v/>
      </c>
      <c r="F78" s="45">
        <f>INDEX(Nodes!$B$2:$B$58,MATCH(B78,Nodes!$A$2:$A$58,0))</f>
        <v/>
      </c>
    </row>
    <row r="79" ht="15" customHeight="1" s="25">
      <c r="A79" s="45" t="inlineStr">
        <is>
          <t>nunes</t>
        </is>
      </c>
      <c r="B79" s="45" t="inlineStr">
        <is>
          <t>coaf</t>
        </is>
      </c>
      <c r="C79" s="45" t="inlineStr">
        <is>
          <t>Votou a favor de Flávio; provas anuladas</t>
        </is>
      </c>
      <c r="D79" s="45" t="inlineStr">
        <is>
          <t>Documentado</t>
        </is>
      </c>
      <c r="E79" s="45">
        <f>INDEX(Nodes!$B$2:$B$58,MATCH(A79,Nodes!$A$2:$A$58,0))</f>
        <v/>
      </c>
      <c r="F79" s="45">
        <f>INDEX(Nodes!$B$2:$B$58,MATCH(B79,Nodes!$A$2:$A$58,0))</f>
        <v/>
      </c>
    </row>
    <row r="80" ht="15" customHeight="1" s="25">
      <c r="A80" s="45" t="inlineStr">
        <is>
          <t>coaf</t>
        </is>
      </c>
      <c r="B80" s="45" t="inlineStr">
        <is>
          <t>flavio</t>
        </is>
      </c>
      <c r="C80" s="45" t="inlineStr">
        <is>
          <t>Investigação da rachadinha</t>
        </is>
      </c>
      <c r="D80" s="45" t="inlineStr">
        <is>
          <t>Documentado</t>
        </is>
      </c>
      <c r="E80" s="45">
        <f>INDEX(Nodes!$B$2:$B$58,MATCH(A80,Nodes!$A$2:$A$58,0))</f>
        <v/>
      </c>
      <c r="F80" s="45">
        <f>INDEX(Nodes!$B$2:$B$58,MATCH(B80,Nodes!$A$2:$A$58,0))</f>
        <v/>
      </c>
    </row>
    <row r="81" ht="15" customHeight="1" s="25">
      <c r="A81" s="45" t="inlineStr">
        <is>
          <t>coaf</t>
        </is>
      </c>
      <c r="B81" s="45" t="inlineStr">
        <is>
          <t>queiroz</t>
        </is>
      </c>
      <c r="C81" s="45" t="inlineStr">
        <is>
          <t>Operador do esquema</t>
        </is>
      </c>
      <c r="D81" s="45" t="inlineStr">
        <is>
          <t>Documentado</t>
        </is>
      </c>
      <c r="E81" s="45">
        <f>INDEX(Nodes!$B$2:$B$58,MATCH(A81,Nodes!$A$2:$A$58,0))</f>
        <v/>
      </c>
      <c r="F81" s="45">
        <f>INDEX(Nodes!$B$2:$B$58,MATCH(B81,Nodes!$A$2:$A$58,0))</f>
        <v/>
      </c>
    </row>
    <row r="82" ht="15" customHeight="1" s="25">
      <c r="A82" s="45" t="inlineStr">
        <is>
          <t>queiroz</t>
        </is>
      </c>
      <c r="B82" s="45" t="inlineStr">
        <is>
          <t>atibaia</t>
        </is>
      </c>
      <c r="C82" s="45" t="inlineStr">
        <is>
          <t>Achado escondido lá</t>
        </is>
      </c>
      <c r="D82" s="45" t="inlineStr">
        <is>
          <t>Documentado</t>
        </is>
      </c>
      <c r="E82" s="45">
        <f>INDEX(Nodes!$B$2:$B$58,MATCH(A82,Nodes!$A$2:$A$58,0))</f>
        <v/>
      </c>
      <c r="F82" s="45">
        <f>INDEX(Nodes!$B$2:$B$58,MATCH(B82,Nodes!$A$2:$A$58,0))</f>
        <v/>
      </c>
    </row>
    <row r="83" ht="15" customHeight="1" s="25">
      <c r="A83" s="45" t="inlineStr">
        <is>
          <t>wassef</t>
        </is>
      </c>
      <c r="B83" s="45" t="inlineStr">
        <is>
          <t>atibaia</t>
        </is>
      </c>
      <c r="C83" s="45" t="inlineStr">
        <is>
          <t>Casa dele</t>
        </is>
      </c>
      <c r="D83" s="45" t="inlineStr">
        <is>
          <t>Documentado</t>
        </is>
      </c>
      <c r="E83" s="45">
        <f>INDEX(Nodes!$B$2:$B$58,MATCH(A83,Nodes!$A$2:$A$58,0))</f>
        <v/>
      </c>
      <c r="F83" s="45">
        <f>INDEX(Nodes!$B$2:$B$58,MATCH(B83,Nodes!$A$2:$A$58,0))</f>
        <v/>
      </c>
    </row>
    <row r="84" ht="15" customHeight="1" s="25">
      <c r="A84" s="45" t="inlineStr">
        <is>
          <t>jair</t>
        </is>
      </c>
      <c r="B84" s="45" t="inlineStr">
        <is>
          <t>flavio</t>
        </is>
      </c>
      <c r="C84" s="45" t="inlineStr">
        <is>
          <t>Pai; Flávio promete anistia ou indulto</t>
        </is>
      </c>
      <c r="D84" s="45" t="inlineStr">
        <is>
          <t>Documentado</t>
        </is>
      </c>
      <c r="E84" s="45">
        <f>INDEX(Nodes!$B$2:$B$58,MATCH(A84,Nodes!$A$2:$A$58,0))</f>
        <v/>
      </c>
      <c r="F84" s="45">
        <f>INDEX(Nodes!$B$2:$B$58,MATCH(B84,Nodes!$A$2:$A$58,0))</f>
        <v/>
      </c>
    </row>
    <row r="85" ht="15" customHeight="1" s="25">
      <c r="A85" s="45" t="inlineStr">
        <is>
          <t>jair</t>
        </is>
      </c>
      <c r="B85" s="45" t="inlineStr">
        <is>
          <t>wassef</t>
        </is>
      </c>
      <c r="C85" s="45" t="inlineStr">
        <is>
          <t>Advogado da família</t>
        </is>
      </c>
      <c r="D85" s="45" t="inlineStr">
        <is>
          <t>Documentado</t>
        </is>
      </c>
      <c r="E85" s="45">
        <f>INDEX(Nodes!$B$2:$B$58,MATCH(A85,Nodes!$A$2:$A$58,0))</f>
        <v/>
      </c>
      <c r="F85" s="45">
        <f>INDEX(Nodes!$B$2:$B$58,MATCH(B85,Nodes!$A$2:$A$58,0))</f>
        <v/>
      </c>
    </row>
    <row r="86" ht="15" customHeight="1" s="25">
      <c r="A86" s="45" t="inlineStr">
        <is>
          <t>jair</t>
        </is>
      </c>
      <c r="B86" s="45" t="inlineStr">
        <is>
          <t>abin</t>
        </is>
      </c>
      <c r="C86" s="45" t="inlineStr">
        <is>
          <t>Abin trabalhou para defender o filho</t>
        </is>
      </c>
      <c r="D86" s="45" t="inlineStr">
        <is>
          <t>Documentado</t>
        </is>
      </c>
      <c r="E86" s="45">
        <f>INDEX(Nodes!$B$2:$B$58,MATCH(A86,Nodes!$A$2:$A$58,0))</f>
        <v/>
      </c>
      <c r="F86" s="45">
        <f>INDEX(Nodes!$B$2:$B$58,MATCH(B86,Nodes!$A$2:$A$58,0))</f>
        <v/>
      </c>
    </row>
    <row r="87" ht="15" customHeight="1" s="25">
      <c r="A87" s="45" t="inlineStr">
        <is>
          <t>abin</t>
        </is>
      </c>
      <c r="B87" s="45" t="inlineStr">
        <is>
          <t>ramagem</t>
        </is>
      </c>
      <c r="C87" s="45" t="inlineStr">
        <is>
          <t>Chefiada por ele</t>
        </is>
      </c>
      <c r="D87" s="45" t="inlineStr">
        <is>
          <t>Documentado</t>
        </is>
      </c>
      <c r="E87" s="45">
        <f>INDEX(Nodes!$B$2:$B$58,MATCH(A87,Nodes!$A$2:$A$58,0))</f>
        <v/>
      </c>
      <c r="F87" s="45">
        <f>INDEX(Nodes!$B$2:$B$58,MATCH(B87,Nodes!$A$2:$A$58,0))</f>
        <v/>
      </c>
    </row>
    <row r="88" ht="15" customHeight="1" s="25">
      <c r="A88" s="45" t="inlineStr">
        <is>
          <t>abin</t>
        </is>
      </c>
      <c r="B88" s="45" t="inlineStr">
        <is>
          <t>flavio</t>
        </is>
      </c>
      <c r="C88" s="45" t="inlineStr">
        <is>
          <t>Relatórios para “defender FB”</t>
        </is>
      </c>
      <c r="D88" s="45" t="inlineStr">
        <is>
          <t>Documentado</t>
        </is>
      </c>
      <c r="E88" s="45">
        <f>INDEX(Nodes!$B$2:$B$58,MATCH(A88,Nodes!$A$2:$A$58,0))</f>
        <v/>
      </c>
      <c r="F88" s="45">
        <f>INDEX(Nodes!$B$2:$B$58,MATCH(B88,Nodes!$A$2:$A$58,0))</f>
        <v/>
      </c>
    </row>
    <row r="89" ht="15" customHeight="1" s="25">
      <c r="A89" s="45" t="inlineStr">
        <is>
          <t>heleno</t>
        </is>
      </c>
      <c r="B89" s="45" t="inlineStr">
        <is>
          <t>jair</t>
        </is>
      </c>
      <c r="C89" s="45" t="inlineStr">
        <is>
          <t>Reunião no Planalto (2020)</t>
        </is>
      </c>
      <c r="D89" s="45" t="inlineStr">
        <is>
          <t>Documentado</t>
        </is>
      </c>
      <c r="E89" s="45">
        <f>INDEX(Nodes!$B$2:$B$58,MATCH(A89,Nodes!$A$2:$A$58,0))</f>
        <v/>
      </c>
      <c r="F89" s="45">
        <f>INDEX(Nodes!$B$2:$B$58,MATCH(B89,Nodes!$A$2:$A$58,0))</f>
        <v/>
      </c>
    </row>
    <row r="90" ht="15" customHeight="1" s="25">
      <c r="A90" s="45" t="inlineStr">
        <is>
          <t>ramagem</t>
        </is>
      </c>
      <c r="B90" s="45" t="inlineStr">
        <is>
          <t>jair</t>
        </is>
      </c>
      <c r="C90" s="45" t="inlineStr">
        <is>
          <t>Reunião no Planalto (2020)</t>
        </is>
      </c>
      <c r="D90" s="45" t="inlineStr">
        <is>
          <t>Documentado</t>
        </is>
      </c>
      <c r="E90" s="45">
        <f>INDEX(Nodes!$B$2:$B$58,MATCH(A90,Nodes!$A$2:$A$58,0))</f>
        <v/>
      </c>
      <c r="F90" s="45">
        <f>INDEX(Nodes!$B$2:$B$58,MATCH(B90,Nodes!$A$2:$A$58,0))</f>
        <v/>
      </c>
    </row>
    <row r="91" ht="15" customHeight="1" s="25">
      <c r="A91" s="45" t="inlineStr">
        <is>
          <t>ramagem</t>
        </is>
      </c>
      <c r="B91" s="45" t="inlineStr">
        <is>
          <t>flavio</t>
        </is>
      </c>
      <c r="C91" s="45" t="inlineStr">
        <is>
          <t>Diz que volta ao Brasil se Flávio ganhar</t>
        </is>
      </c>
      <c r="D91" s="45" t="inlineStr">
        <is>
          <t>Documentado</t>
        </is>
      </c>
      <c r="E91" s="45">
        <f>INDEX(Nodes!$B$2:$B$58,MATCH(A91,Nodes!$A$2:$A$58,0))</f>
        <v/>
      </c>
      <c r="F91" s="45">
        <f>INDEX(Nodes!$B$2:$B$58,MATCH(B91,Nodes!$A$2:$A$58,0))</f>
        <v/>
      </c>
    </row>
    <row r="92" ht="15" customHeight="1" s="25">
      <c r="A92" s="45" t="inlineStr">
        <is>
          <t>receita</t>
        </is>
      </c>
      <c r="B92" s="45" t="inlineStr">
        <is>
          <t>flavio</t>
        </is>
      </c>
      <c r="C92" s="45" t="inlineStr">
        <is>
          <t>Chefe foi à casa dele</t>
        </is>
      </c>
      <c r="D92" s="45" t="inlineStr">
        <is>
          <t>Documentado</t>
        </is>
      </c>
      <c r="E92" s="45">
        <f>INDEX(Nodes!$B$2:$B$58,MATCH(A92,Nodes!$A$2:$A$58,0))</f>
        <v/>
      </c>
      <c r="F92" s="45">
        <f>INDEX(Nodes!$B$2:$B$58,MATCH(B92,Nodes!$A$2:$A$58,0))</f>
        <v/>
      </c>
    </row>
    <row r="93" ht="15" customHeight="1" s="25">
      <c r="A93" s="45" t="inlineStr">
        <is>
          <t>jair</t>
        </is>
      </c>
      <c r="B93" s="45" t="inlineStr">
        <is>
          <t>receita</t>
        </is>
      </c>
      <c r="C93" s="45" t="inlineStr">
        <is>
          <t>Reunião sobre a Receita</t>
        </is>
      </c>
      <c r="D93" s="45" t="inlineStr">
        <is>
          <t>Documentado</t>
        </is>
      </c>
      <c r="E93" s="45">
        <f>INDEX(Nodes!$B$2:$B$58,MATCH(A93,Nodes!$A$2:$A$58,0))</f>
        <v/>
      </c>
      <c r="F93" s="45">
        <f>INDEX(Nodes!$B$2:$B$58,MATCH(B93,Nodes!$A$2:$A$58,0))</f>
        <v/>
      </c>
    </row>
    <row r="94" ht="15" customHeight="1" s="25">
      <c r="A94" s="45" t="inlineStr">
        <is>
          <t>jair</t>
        </is>
      </c>
      <c r="B94" s="45" t="inlineStr">
        <is>
          <t>pf</t>
        </is>
      </c>
      <c r="C94" s="45" t="inlineStr">
        <is>
          <t>Tentou trocar o comando no Rio</t>
        </is>
      </c>
      <c r="D94" s="45" t="inlineStr">
        <is>
          <t>Documentado</t>
        </is>
      </c>
      <c r="E94" s="45">
        <f>INDEX(Nodes!$B$2:$B$58,MATCH(A94,Nodes!$A$2:$A$58,0))</f>
        <v/>
      </c>
      <c r="F94" s="45">
        <f>INDEX(Nodes!$B$2:$B$58,MATCH(B94,Nodes!$A$2:$A$58,0))</f>
        <v/>
      </c>
    </row>
    <row r="95" ht="15" customHeight="1" s="25">
      <c r="A95" s="45" t="inlineStr">
        <is>
          <t>moro</t>
        </is>
      </c>
      <c r="B95" s="45" t="inlineStr">
        <is>
          <t>jair</t>
        </is>
      </c>
      <c r="C95" s="45" t="inlineStr">
        <is>
          <t>Saiu denunciando interferência na PF</t>
        </is>
      </c>
      <c r="D95" s="45" t="inlineStr">
        <is>
          <t>Documentado</t>
        </is>
      </c>
      <c r="E95" s="45">
        <f>INDEX(Nodes!$B$2:$B$58,MATCH(A95,Nodes!$A$2:$A$58,0))</f>
        <v/>
      </c>
      <c r="F95" s="45">
        <f>INDEX(Nodes!$B$2:$B$58,MATCH(B95,Nodes!$A$2:$A$58,0))</f>
        <v/>
      </c>
    </row>
    <row r="96" ht="15" customHeight="1" s="25">
      <c r="A96" s="45" t="inlineStr">
        <is>
          <t>pf</t>
        </is>
      </c>
      <c r="B96" s="45" t="inlineStr">
        <is>
          <t>willer</t>
        </is>
      </c>
      <c r="C96" s="45" t="inlineStr">
        <is>
          <t>Investiga</t>
        </is>
      </c>
      <c r="D96" s="45" t="inlineStr">
        <is>
          <t>Documentado</t>
        </is>
      </c>
      <c r="E96" s="45">
        <f>INDEX(Nodes!$B$2:$B$58,MATCH(A96,Nodes!$A$2:$A$58,0))</f>
        <v/>
      </c>
      <c r="F96" s="45">
        <f>INDEX(Nodes!$B$2:$B$58,MATCH(B96,Nodes!$A$2:$A$58,0))</f>
        <v/>
      </c>
    </row>
    <row r="97" ht="15" customHeight="1" s="25">
      <c r="A97" s="45" t="inlineStr">
        <is>
          <t>flavio</t>
        </is>
      </c>
      <c r="B97" s="45" t="inlineStr">
        <is>
          <t>pf</t>
        </is>
      </c>
      <c r="C97" s="45" t="inlineStr">
        <is>
          <t>Se eleito, indicaria o diretor</t>
        </is>
      </c>
      <c r="D97" s="45" t="inlineStr">
        <is>
          <t>Alegado ou contestado</t>
        </is>
      </c>
      <c r="E97" s="45">
        <f>INDEX(Nodes!$B$2:$B$58,MATCH(A97,Nodes!$A$2:$A$58,0))</f>
        <v/>
      </c>
      <c r="F97" s="45">
        <f>INDEX(Nodes!$B$2:$B$58,MATCH(B97,Nodes!$A$2:$A$58,0))</f>
        <v/>
      </c>
    </row>
    <row r="98" ht="15" customHeight="1" s="25">
      <c r="A98" s="45" t="inlineStr">
        <is>
          <t>flavio</t>
        </is>
      </c>
      <c r="B98" s="45" t="inlineStr">
        <is>
          <t>pgr</t>
        </is>
      </c>
      <c r="C98" s="45" t="inlineStr">
        <is>
          <t>Se eleito, indicaria o procurador-geral</t>
        </is>
      </c>
      <c r="D98" s="45" t="inlineStr">
        <is>
          <t>Alegado ou contestado</t>
        </is>
      </c>
      <c r="E98" s="45">
        <f>INDEX(Nodes!$B$2:$B$58,MATCH(A98,Nodes!$A$2:$A$58,0))</f>
        <v/>
      </c>
      <c r="F98" s="45">
        <f>INDEX(Nodes!$B$2:$B$58,MATCH(B98,Nodes!$A$2:$A$58,0))</f>
        <v/>
      </c>
    </row>
    <row r="99" ht="15" customHeight="1" s="25">
      <c r="A99" s="45" t="inlineStr">
        <is>
          <t>pgr</t>
        </is>
      </c>
      <c r="B99" s="45" t="inlineStr">
        <is>
          <t>vorcaro</t>
        </is>
      </c>
      <c r="C99" s="45" t="inlineStr">
        <is>
          <t>Decide se denuncia</t>
        </is>
      </c>
      <c r="D99" s="45" t="inlineStr">
        <is>
          <t>Documentado</t>
        </is>
      </c>
      <c r="E99" s="45">
        <f>INDEX(Nodes!$B$2:$B$58,MATCH(A99,Nodes!$A$2:$A$58,0))</f>
        <v/>
      </c>
      <c r="F99" s="45">
        <f>INDEX(Nodes!$B$2:$B$58,MATCH(B99,Nodes!$A$2:$A$58,0))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INDEX(Nodes!$B$2:$B$58,MATCH(A100,Nodes!$A$2:$A$58,0))</f>
        <v/>
      </c>
      <c r="F100" s="45">
        <f>INDEX(Nodes!$B$2:$B$58,MATCH(B100,Nodes!$A$2:$A$58,0))</f>
        <v/>
      </c>
    </row>
    <row r="101" ht="15" customHeight="1" s="25">
      <c r="A101" s="45" t="inlineStr">
        <is>
          <t>willer</t>
        </is>
      </c>
      <c r="B101" s="45" t="inlineStr">
        <is>
          <t>wt</t>
        </is>
      </c>
      <c r="C101" s="45" t="inlineStr">
        <is>
          <t>Empresa dele, segundo o vídeo</t>
        </is>
      </c>
      <c r="D101" s="45" t="inlineStr">
        <is>
          <t>Documentado</t>
        </is>
      </c>
      <c r="E101" s="45">
        <f>INDEX(Nodes!$B$2:$B$58,MATCH(A101,Nodes!$A$2:$A$58,0))</f>
        <v/>
      </c>
      <c r="F101" s="45">
        <f>INDEX(Nodes!$B$2:$B$58,MATCH(B101,Nodes!$A$2:$A$58,0))</f>
        <v/>
      </c>
    </row>
    <row r="102" ht="15" customHeight="1" s="25">
      <c r="A102" s="45" t="inlineStr">
        <is>
          <t>flavio</t>
        </is>
      </c>
      <c r="B102" s="45" t="inlineStr">
        <is>
          <t>escf</t>
        </is>
      </c>
      <c r="C102" s="45" t="inlineStr">
        <is>
          <t>Escritório de advocacia dele</t>
        </is>
      </c>
      <c r="D102" s="45" t="inlineStr">
        <is>
          <t>Documentado</t>
        </is>
      </c>
      <c r="E102" s="45">
        <f>INDEX(Nodes!$B$2:$B$58,MATCH(A102,Nodes!$A$2:$A$58,0))</f>
        <v/>
      </c>
      <c r="F102" s="45">
        <f>INDEX(Nodes!$B$2:$B$58,MATCH(B102,Nodes!$A$2:$A$58,0))</f>
        <v/>
      </c>
    </row>
    <row r="103" ht="15" customHeight="1" s="25">
      <c r="A103" s="45" t="inlineStr">
        <is>
          <t>renan</t>
        </is>
      </c>
      <c r="B103" s="45" t="inlineStr">
        <is>
          <t>willer</t>
        </is>
      </c>
      <c r="C103" s="45" t="inlineStr">
        <is>
          <t>Pediu a quebra de sigilo</t>
        </is>
      </c>
      <c r="D103" s="45" t="inlineStr">
        <is>
          <t>Documentado</t>
        </is>
      </c>
      <c r="E103" s="45">
        <f>INDEX(Nodes!$B$2:$B$58,MATCH(A103,Nodes!$A$2:$A$58,0))</f>
        <v/>
      </c>
      <c r="F103" s="45">
        <f>INDEX(Nodes!$B$2:$B$58,MATCH(B103,Nodes!$A$2:$A$58,0))</f>
        <v/>
      </c>
    </row>
    <row r="104" ht="15" customHeight="1" s="25">
      <c r="A104" s="45" t="inlineStr">
        <is>
          <t>queiroz</t>
        </is>
      </c>
      <c r="B104" s="45" t="inlineStr">
        <is>
          <t>flavio</t>
        </is>
      </c>
      <c r="C104" s="45" t="inlineStr">
        <is>
          <t>Ex-assessor; operador da rachadinha no gabinete dele</t>
        </is>
      </c>
      <c r="D104" s="45" t="inlineStr">
        <is>
          <t>Documentado</t>
        </is>
      </c>
      <c r="E104" s="45">
        <f>INDEX(Nodes!$B$2:$B$58,MATCH(A104,Nodes!$A$2:$A$58,0))</f>
        <v/>
      </c>
      <c r="F104" s="45">
        <f>INDEX(Nodes!$B$2:$B$58,MATCH(B104,Nodes!$A$2:$A$58,0))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INDEX(Nodes!$B$2:$B$58,MATCH(A105,Nodes!$A$2:$A$58,0))</f>
        <v/>
      </c>
      <c r="F105" s="45">
        <f>INDEX(Nodes!$B$2:$B$58,MATCH(B105,Nodes!$A$2:$A$58,0))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INDEX(Nodes!$B$2:$B$58,MATCH(A106,Nodes!$A$2:$A$58,0))</f>
        <v/>
      </c>
      <c r="F106" s="45">
        <f>INDEX(Nodes!$B$2:$B$58,MATCH(B106,Nodes!$A$2:$A$58,0))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INDEX(Nodes!$B$2:$B$58,MATCH(A107,Nodes!$A$2:$A$58,0))</f>
        <v/>
      </c>
      <c r="F107" s="45">
        <f>INDEX(Nodes!$B$2:$B$58,MATCH(B107,Nodes!$A$2:$A$58,0))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INDEX(Nodes!$B$2:$B$58,MATCH(A108,Nodes!$A$2:$A$58,0))</f>
        <v/>
      </c>
      <c r="F108" s="45">
        <f>INDEX(Nodes!$B$2:$B$58,MATCH(B108,Nodes!$A$2:$A$58,0))</f>
        <v/>
      </c>
    </row>
    <row r="109" ht="15" customHeight="1" s="25">
      <c r="A109" s="45" t="inlineStr">
        <is>
          <t>kevin</t>
        </is>
      </c>
      <c r="B109" s="45" t="inlineStr">
        <is>
          <t>triplex</t>
        </is>
      </c>
      <c r="C109" s="45" t="inlineStr">
        <is>
          <t>Segundo a Piauí, ia às festas com o pai</t>
        </is>
      </c>
      <c r="D109" s="45" t="inlineStr">
        <is>
          <t>Alegado ou contestado</t>
        </is>
      </c>
      <c r="E109" s="45">
        <f>INDEX(Nodes!$B$2:$B$58,MATCH(A109,Nodes!$A$2:$A$58,0))</f>
        <v/>
      </c>
      <c r="F109" s="45">
        <f>INDEX(Nodes!$B$2:$B$58,MATCH(B109,Nodes!$A$2:$A$58,0))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INDEX(Nodes!$B$2:$B$58,MATCH(A110,Nodes!$A$2:$A$58,0))</f>
        <v/>
      </c>
      <c r="F110" s="45">
        <f>INDEX(Nodes!$B$2:$B$58,MATCH(B110,Nodes!$A$2:$A$58,0))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INDEX(Nodes!$B$2:$B$58,MATCH(A111,Nodes!$A$2:$A$58,0))</f>
        <v/>
      </c>
      <c r="F111" s="45">
        <f>INDEX(Nodes!$B$2:$B$58,MATCH(B111,Nodes!$A$2:$A$58,0))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INDEX(Nodes!$B$2:$B$58,MATCH(A112,Nodes!$A$2:$A$58,0))</f>
        <v/>
      </c>
      <c r="F112" s="45">
        <f>INDEX(Nodes!$B$2:$B$58,MATCH(B112,Nodes!$A$2:$A$58,0))</f>
        <v/>
      </c>
    </row>
    <row r="113" ht="15" customHeight="1" s="25">
      <c r="A113" s="45" t="inlineStr">
        <is>
          <t>advflavio</t>
        </is>
      </c>
      <c r="B113" s="45" t="inlineStr">
        <is>
          <t>flavio</t>
        </is>
      </c>
      <c r="C113" s="45" t="inlineStr">
        <is>
          <t>Advogadas dele</t>
        </is>
      </c>
      <c r="D113" s="45" t="inlineStr">
        <is>
          <t>Documentado</t>
        </is>
      </c>
      <c r="E113" s="45">
        <f>INDEX(Nodes!$B$2:$B$58,MATCH(A113,Nodes!$A$2:$A$58,0))</f>
        <v/>
      </c>
      <c r="F113" s="45">
        <f>INDEX(Nodes!$B$2:$B$58,MATCH(B113,Nodes!$A$2:$A$58,0))</f>
        <v/>
      </c>
    </row>
    <row r="114" ht="15" customHeight="1" s="25">
      <c r="A114" s="45" t="inlineStr">
        <is>
          <t>ciro</t>
        </is>
      </c>
      <c r="B114" s="45" t="inlineStr">
        <is>
          <t>nunes</t>
        </is>
      </c>
      <c r="C114" s="45" t="inlineStr">
        <is>
          <t>Teria influenciado a escolha para o STF</t>
        </is>
      </c>
      <c r="D114" s="45" t="inlineStr">
        <is>
          <t>Alegado ou contestado</t>
        </is>
      </c>
      <c r="E114" s="45">
        <f>INDEX(Nodes!$B$2:$B$58,MATCH(A114,Nodes!$A$2:$A$58,0))</f>
        <v/>
      </c>
      <c r="F114" s="45">
        <f>INDEX(Nodes!$B$2:$B$58,MATCH(B114,Nodes!$A$2:$A$58,0))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INDEX(Nodes!$B$2:$B$58,MATCH(A115,Nodes!$A$2:$A$58,0))</f>
        <v/>
      </c>
      <c r="F115" s="45">
        <f>INDEX(Nodes!$B$2:$B$58,MATCH(B115,Nodes!$A$2:$A$58,0))</f>
        <v/>
      </c>
    </row>
    <row r="116" ht="15" customHeight="1" s="25">
      <c r="A116" s="45" t="inlineStr">
        <is>
          <t>stf</t>
        </is>
      </c>
      <c r="B116" s="45" t="inlineStr">
        <is>
          <t>nunes</t>
        </is>
      </c>
      <c r="C116" s="45" t="inlineStr">
        <is>
          <t>Ministro</t>
        </is>
      </c>
      <c r="D116" s="45" t="inlineStr">
        <is>
          <t>Documentado</t>
        </is>
      </c>
      <c r="E116" s="45">
        <f>INDEX(Nodes!$B$2:$B$58,MATCH(A116,Nodes!$A$2:$A$58,0))</f>
        <v/>
      </c>
      <c r="F116" s="45">
        <f>INDEX(Nodes!$B$2:$B$58,MATCH(B116,Nodes!$A$2:$A$58,0))</f>
        <v/>
      </c>
    </row>
    <row r="117" ht="15" customHeight="1" s="25">
      <c r="A117" s="45" t="inlineStr">
        <is>
          <t>stf</t>
        </is>
      </c>
      <c r="B117" s="45" t="inlineStr">
        <is>
          <t>lulinha</t>
        </is>
      </c>
      <c r="C117" s="45" t="inlineStr">
        <is>
          <t>3 inquéritos abertos no governo do pai</t>
        </is>
      </c>
      <c r="D117" s="45" t="inlineStr">
        <is>
          <t>Documentado</t>
        </is>
      </c>
      <c r="E117" s="45">
        <f>INDEX(Nodes!$B$2:$B$58,MATCH(A117,Nodes!$A$2:$A$58,0))</f>
        <v/>
      </c>
      <c r="F117" s="45">
        <f>INDEX(Nodes!$B$2:$B$58,MATCH(B117,Nodes!$A$2:$A$58,0))</f>
        <v/>
      </c>
    </row>
    <row r="118" ht="15" customHeight="1" s="25">
      <c r="A118" s="45" t="inlineStr">
        <is>
          <t>stf</t>
        </is>
      </c>
      <c r="B118" s="45" t="inlineStr">
        <is>
          <t>flavio</t>
        </is>
      </c>
      <c r="C118" s="45" t="inlineStr">
        <is>
          <t>Investigado no Supremo pelo dinheiro do filme</t>
        </is>
      </c>
      <c r="D118" s="45" t="inlineStr">
        <is>
          <t>Documentado</t>
        </is>
      </c>
      <c r="E118" s="45">
        <f>INDEX(Nodes!$B$2:$B$58,MATCH(A118,Nodes!$A$2:$A$58,0))</f>
        <v/>
      </c>
      <c r="F118" s="45">
        <f>INDEX(Nodes!$B$2:$B$58,MATCH(B118,Nodes!$A$2:$A$58,0))</f>
        <v/>
      </c>
    </row>
    <row r="119" ht="15" customHeight="1" s="25">
      <c r="A119" s="45" t="inlineStr">
        <is>
          <t>stf</t>
        </is>
      </c>
      <c r="B119" s="45" t="inlineStr">
        <is>
          <t>coaf</t>
        </is>
      </c>
      <c r="C119" s="45" t="inlineStr">
        <is>
          <t>Anulou os relatórios (nov/2021)</t>
        </is>
      </c>
      <c r="D119" s="45" t="inlineStr">
        <is>
          <t>Documentado</t>
        </is>
      </c>
      <c r="E119" s="45">
        <f>INDEX(Nodes!$B$2:$B$58,MATCH(A119,Nodes!$A$2:$A$58,0))</f>
        <v/>
      </c>
      <c r="F119" s="45">
        <f>INDEX(Nodes!$B$2:$B$58,MATCH(B119,Nodes!$A$2:$A$58,0))</f>
        <v/>
      </c>
    </row>
    <row r="120" ht="15" customHeight="1" s="25">
      <c r="A120" s="45" t="inlineStr">
        <is>
          <t>tse</t>
        </is>
      </c>
      <c r="B120" s="45" t="inlineStr">
        <is>
          <t>nunes</t>
        </is>
      </c>
      <c r="C120" s="45" t="inlineStr">
        <is>
          <t>Preside</t>
        </is>
      </c>
      <c r="D120" s="45" t="inlineStr">
        <is>
          <t>Documentado</t>
        </is>
      </c>
      <c r="E120" s="45">
        <f>INDEX(Nodes!$B$2:$B$58,MATCH(A120,Nodes!$A$2:$A$58,0))</f>
        <v/>
      </c>
      <c r="F120" s="45">
        <f>INDEX(Nodes!$B$2:$B$58,MATCH(B120,Nodes!$A$2:$A$58,0))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2026-10-20T21:07:33Z</dcterms:modified>
  <cp:revision>0</cp:revision>
</cp:coreProperties>
</file>