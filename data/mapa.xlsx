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t>
        </is>
      </c>
      <c r="L10" s="37" t="inlineStr">
        <is>
          <t>22/10/2026</t>
        </is>
      </c>
      <c r="M10" s="37" t="inlineStr">
        <is>
          <t>Resultado do 1º turno; 2º inquérito no STF; Operação Make Up; visitas ao pai liberadas. 21/10/2026: importado do acervo a verdade. (bolsomaster.site). 22/10/2026: rodada UOL News (bets, Loterj, hangar, Weverton).</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Justiça e investigação</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Justiça e investigação</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Política e governo</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Política e governo</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Política e governo</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Política e governo</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t>
        </is>
      </c>
      <c r="L31" s="37" t="inlineStr">
        <is>
          <t>20/10/2026</t>
        </is>
      </c>
      <c r="M31" s="37" t="inlineStr">
        <is>
          <t>Identificação tratada como confirmada (antes: inferida); busca em 07/05/2026. 21/10/2026: importado do acervo a verdade. (bolsomaster.site).</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Justiça e investigação</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t>
        </is>
      </c>
      <c r="N32" s="24" t="n"/>
      <c r="O32" s="24" t="n"/>
      <c r="P32" s="24" t="n"/>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t>
        </is>
      </c>
      <c r="L33" s="37" t="inlineStr">
        <is>
          <t>21/10/2026</t>
        </is>
      </c>
      <c r="M33" s="37" t="inlineStr">
        <is>
          <t>21/10/2026: importado do acervo a verdade. (bolsomaster.site) (perfil novo).</t>
        </is>
      </c>
      <c r="N33" s="24" t="n"/>
      <c r="O33" s="24" t="n"/>
      <c r="P33" s="24" t="n"/>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t>
        </is>
      </c>
      <c r="K34" s="37" t="inlineStr">
        <is>
          <t>Mario Frias e a produção de Dark Horse (intercept.com.br) https://www.intercept.com.br/2026/05/19/audio-mario-frias-daniel-vorcaro/</t>
        </is>
      </c>
      <c r="L34" s="37" t="inlineStr">
        <is>
          <t>21/10/2026</t>
        </is>
      </c>
      <c r="M34" s="37" t="inlineStr">
        <is>
          <t>21/10/2026: importado do acervo a verdade. (bolsomaster.site) (perfil novo).</t>
        </is>
      </c>
      <c r="N34" s="24" t="n"/>
      <c r="O34" s="24" t="n"/>
      <c r="P34" s="24" t="n"/>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t>
        </is>
      </c>
      <c r="N35" s="24" t="n"/>
      <c r="O35" s="24" t="n"/>
      <c r="P35" s="24" t="n"/>
    </row>
    <row r="36">
      <c r="A36" s="37" t="inlineStr">
        <is>
          <t>weverton</t>
        </is>
      </c>
      <c r="B36" s="38" t="inlineStr">
        <is>
          <t>Weverton Rocha</t>
        </is>
      </c>
      <c r="C36" s="37" t="inlineStr">
        <is>
          <t>Política e governo</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t>
        </is>
      </c>
      <c r="N36" s="24" t="n"/>
      <c r="O36" s="24" t="n"/>
      <c r="P36" s="24" t="n"/>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COUNTIF(Edges!$A$2:$A$198,A2)+COUNTIF(Edges!$B$2:$B$198,A2)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COUNTIF(Edges!$A$2:$A$198,A3)+COUNTIF(Edges!$B$2:$B$198,A3)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COUNTIF(Edges!$A$2:$A$198,A4)+COUNTIF(Edges!$B$2:$B$198,A4)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COUNTIF(Edges!$A$2:$A$198,A5)+COUNTIF(Edges!$B$2:$B$198,A5)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COUNTIF(Edges!$A$2:$A$198,A6)+COUNTIF(Edges!$B$2:$B$198,A6)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COUNTIF(Edges!$A$2:$A$198,A7)+COUNTIF(Edges!$B$2:$B$198,A7)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COUNTIF(Edges!$A$2:$A$198,A8)+COUNTIF(Edges!$B$2:$B$198,A8)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COUNTIF(Edges!$A$2:$A$198,A9)+COUNTIF(Edges!$B$2:$B$198,A9)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COUNTIF(Edges!$A$2:$A$198,A10)+COUNTIF(Edges!$B$2:$B$198,A10)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COUNTIF(Edges!$A$2:$A$198,A11)+COUNTIF(Edges!$B$2:$B$198,A11)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COUNTIF(Edges!$A$2:$A$198,A12)+COUNTIF(Edges!$B$2:$B$198,A12)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COUNTIF(Edges!$A$2:$A$198,A13)+COUNTIF(Edges!$B$2:$B$198,A13)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COUNTIF(Edges!$A$2:$A$198,A14)+COUNTIF(Edges!$B$2:$B$198,A14)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COUNTIF(Edges!$A$2:$A$198,A15)+COUNTIF(Edges!$B$2:$B$198,A15)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COUNTIF(Edges!$A$2:$A$198,A16)+COUNTIF(Edges!$B$2:$B$198,A16)</f>
        <v/>
      </c>
      <c r="G16" s="24" t="inlineStr">
        <is>
          <t>santander.png</t>
        </is>
      </c>
      <c r="H16" s="24" t="inlineStr">
        <is>
          <t>Interbrand · domínio público (logo simples, sem direito autoral)</t>
        </is>
      </c>
      <c r="I16" s="24" t="inlineStr">
        <is>
          <t>https://commons.wikimedia.org/wiki/File:Banco_Santander_Logotipo.svg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COUNTIF(Edges!$A$2:$A$198,A17)+COUNTIF(Edges!$B$2:$B$198,A17)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COUNTIF(Edges!$A$2:$A$198,A18)+COUNTIF(Edges!$B$2:$B$198,A18)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COUNTIF(Edges!$A$2:$A$198,A19)+COUNTIF(Edges!$B$2:$B$198,A19)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COUNTIF(Edges!$A$2:$A$198,A20)+COUNTIF(Edges!$B$2:$B$198,A20)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COUNTIF(Edges!$A$2:$A$198,A21)+COUNTIF(Edges!$B$2:$B$198,A21)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COUNTIF(Edges!$A$2:$A$198,A22)+COUNTIF(Edges!$B$2:$B$198,A22)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COUNTIF(Edges!$A$2:$A$198,A23)+COUNTIF(Edges!$B$2:$B$198,A23)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COUNTIF(Edges!$A$2:$A$198,A24)+COUNTIF(Edges!$B$2:$B$198,A24)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COUNTIF(Edges!$A$2:$A$198,A25)+COUNTIF(Edges!$B$2:$B$198,A25)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COUNTIF(Edges!$A$2:$A$198,A26)+COUNTIF(Edges!$B$2:$B$198,A26)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COUNTIF(Edges!$A$2:$A$198,A27)+COUNTIF(Edges!$B$2:$B$198,A27)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COUNTIF(Edges!$A$2:$A$198,A28)+COUNTIF(Edges!$B$2:$B$198,A28)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COUNTIF(Edges!$A$2:$A$198,A29)+COUNTIF(Edges!$B$2:$B$198,A29)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COUNTIF(Edges!$A$2:$A$198,A30)+COUNTIF(Edges!$B$2:$B$198,A30)</f>
        <v/>
      </c>
      <c r="G30" s="24" t="inlineStr">
        <is>
          <t>master.png</t>
        </is>
      </c>
      <c r="H30" s="24" t="inlineStr">
        <is>
          <t>Banco Master · domínio público (logo simples, sem direito autoral)</t>
        </is>
      </c>
      <c r="I30" s="24" t="inlineStr">
        <is>
          <t>https://commons.wikimedia.org/wiki/File:Logotipo_do_Banco_Master.svg</t>
        </is>
      </c>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COUNTIF(Edges!$A$2:$A$198,A31)+COUNTIF(Edges!$B$2:$B$198,A31)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COUNTIF(Edges!$A$2:$A$198,A32)+COUNTIF(Edges!$B$2:$B$198,A32)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COUNTIF(Edges!$A$2:$A$198,A33)+COUNTIF(Edges!$B$2:$B$198,A33)</f>
        <v/>
      </c>
      <c r="G33" s="24" t="n"/>
      <c r="H33" s="24" t="n"/>
      <c r="I33" s="24" t="n"/>
      <c r="J33" s="24" t="n"/>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COUNTIF(Edges!$A$2:$A$198,A34)+COUNTIF(Edges!$B$2:$B$198,A34)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COUNTIF(Edges!$A$2:$A$198,A35)+COUNTIF(Edges!$B$2:$B$198,A35)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COUNTIF(Edges!$A$2:$A$198,A36)+COUNTIF(Edges!$B$2:$B$198,A36)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COUNTIF(Edges!$A$2:$A$198,A37)+COUNTIF(Edges!$B$2:$B$198,A37)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COUNTIF(Edges!$A$2:$A$198,A38)+COUNTIF(Edges!$B$2:$B$198,A38)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COUNTIF(Edges!$A$2:$A$198,A39)+COUNTIF(Edges!$B$2:$B$198,A39)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COUNTIF(Edges!$A$2:$A$198,A40)+COUNTIF(Edges!$B$2:$B$198,A40)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COUNTIF(Edges!$A$2:$A$198,A41)+COUNTIF(Edges!$B$2:$B$198,A41)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COUNTIF(Edges!$A$2:$A$198,A42)+COUNTIF(Edges!$B$2:$B$198,A42)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COUNTIF(Edges!$A$2:$A$198,A43)+COUNTIF(Edges!$B$2:$B$198,A43)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COUNTIF(Edges!$A$2:$A$198,A44)+COUNTIF(Edges!$B$2:$B$198,A44)</f>
        <v/>
      </c>
    </row>
    <row r="45" ht="15" customHeight="1" s="25">
      <c r="A45" s="45" t="inlineStr">
        <is>
          <t>nunes</t>
        </is>
      </c>
      <c r="B45" s="45" t="inlineStr">
        <is>
          <t>Kássio Nunes Marques</t>
        </is>
      </c>
      <c r="C45" s="45" t="inlineStr">
        <is>
          <t>Pessoa</t>
        </is>
      </c>
      <c r="D45" s="45" t="inlineStr">
        <is>
          <t>Justiça e investigação</t>
        </is>
      </c>
      <c r="E45" s="45" t="inlineStr">
        <is>
          <t>Ministro do STF; preside o TSE; nega irregularidades</t>
        </is>
      </c>
      <c r="F45" s="45">
        <f>COUNTIF(Edges!$A$2:$A$198,A45)+COUNTIF(Edges!$B$2:$B$198,A45)</f>
        <v/>
      </c>
    </row>
    <row r="46" ht="15" customHeight="1" s="25">
      <c r="A46" s="45" t="inlineStr">
        <is>
          <t>kevin</t>
        </is>
      </c>
      <c r="B46" s="45" t="inlineStr">
        <is>
          <t>Kevin Marques</t>
        </is>
      </c>
      <c r="C46" s="45" t="inlineStr">
        <is>
          <t>Pessoa</t>
        </is>
      </c>
      <c r="D46" s="45" t="inlineStr">
        <is>
          <t>Justiça e investigação</t>
        </is>
      </c>
      <c r="E46" s="45" t="inlineStr">
        <is>
          <t>Filho de Nunes; ~R$ 300 mil via consultoria</t>
        </is>
      </c>
      <c r="F46" s="45">
        <f>COUNTIF(Edges!$A$2:$A$198,A46)+COUNTIF(Edges!$B$2:$B$198,A46)</f>
        <v/>
      </c>
    </row>
    <row r="47" ht="15" customHeight="1" s="25">
      <c r="A47" s="45" t="inlineStr">
        <is>
          <t>consult</t>
        </is>
      </c>
      <c r="B47" s="45" t="inlineStr">
        <is>
          <t>Consultoria do amigo de Nunes</t>
        </is>
      </c>
      <c r="C47" s="45" t="inlineStr">
        <is>
          <t>Empresa</t>
        </is>
      </c>
      <c r="D47" s="45" t="inlineStr">
        <is>
          <t>Justiça e investigação</t>
        </is>
      </c>
      <c r="E47" s="45" t="inlineStr">
        <is>
          <t>Recebeu R$ 6,6 mi do Master</t>
        </is>
      </c>
      <c r="F47" s="45">
        <f>COUNTIF(Edges!$A$2:$A$198,A47)+COUNTIF(Edges!$B$2:$B$198,A47)</f>
        <v/>
      </c>
    </row>
    <row r="48" ht="15" customHeight="1" s="25">
      <c r="A48" s="45" t="inlineStr">
        <is>
          <t>coaf</t>
        </is>
      </c>
      <c r="B48" s="45" t="inlineStr">
        <is>
          <t>Caso rachadinha / COAF</t>
        </is>
      </c>
      <c r="C48" s="45" t="inlineStr">
        <is>
          <t>Instituição ou caso</t>
        </is>
      </c>
      <c r="D48" s="45" t="inlineStr">
        <is>
          <t>Justiça e investigação</t>
        </is>
      </c>
      <c r="E48" s="45" t="inlineStr">
        <is>
          <t>Relatórios anulados pelo STF (nov/2021)</t>
        </is>
      </c>
      <c r="F48" s="45">
        <f>COUNTIF(Edges!$A$2:$A$198,A48)+COUNTIF(Edges!$B$2:$B$198,A48)</f>
        <v/>
      </c>
      <c r="G48" s="24" t="n"/>
      <c r="H48" s="24" t="n"/>
      <c r="I48" s="24" t="n"/>
      <c r="J48" s="24" t="n"/>
    </row>
    <row r="49" ht="15" customHeight="1" s="25">
      <c r="A49" s="45" t="inlineStr">
        <is>
          <t>ramagem</t>
        </is>
      </c>
      <c r="B49" s="45" t="inlineStr">
        <is>
          <t>Alexandre Ramagem</t>
        </is>
      </c>
      <c r="C49" s="45" t="inlineStr">
        <is>
          <t>Pessoa</t>
        </is>
      </c>
      <c r="D49" s="45" t="inlineStr">
        <is>
          <t>Política e governo</t>
        </is>
      </c>
      <c r="E49" s="45" t="inlineStr">
        <is>
          <t>Ex-chefe da Abin; condenado a 16 anos; foragido na Flórida</t>
        </is>
      </c>
      <c r="F49" s="45">
        <f>COUNTIF(Edges!$A$2:$A$198,A49)+COUNTIF(Edges!$B$2:$B$198,A49)</f>
        <v/>
      </c>
    </row>
    <row r="50" ht="15" customHeight="1" s="25">
      <c r="A50" s="45" t="inlineStr">
        <is>
          <t>heleno</t>
        </is>
      </c>
      <c r="B50" s="45" t="inlineStr">
        <is>
          <t>General Heleno</t>
        </is>
      </c>
      <c r="C50" s="45" t="inlineStr">
        <is>
          <t>Pessoa</t>
        </is>
      </c>
      <c r="D50" s="45" t="inlineStr">
        <is>
          <t>Política e governo</t>
        </is>
      </c>
      <c r="E50" s="45" t="inlineStr">
        <is>
          <t>Na reunião de 2020 sobre a rachadinha</t>
        </is>
      </c>
      <c r="F50" s="45">
        <f>COUNTIF(Edges!$A$2:$A$198,A50)+COUNTIF(Edges!$B$2:$B$198,A50)</f>
        <v/>
      </c>
    </row>
    <row r="51" ht="15" customHeight="1" s="25">
      <c r="A51" s="45" t="inlineStr">
        <is>
          <t>moro</t>
        </is>
      </c>
      <c r="B51" s="45" t="inlineStr">
        <is>
          <t>Sérgio Moro</t>
        </is>
      </c>
      <c r="C51" s="45" t="inlineStr">
        <is>
          <t>Pessoa</t>
        </is>
      </c>
      <c r="D51" s="45" t="inlineStr">
        <is>
          <t>Política e governo</t>
        </is>
      </c>
      <c r="E51" s="45" t="inlineStr">
        <is>
          <t>Deixou o Ministério da Justiça (abr/2020)</t>
        </is>
      </c>
      <c r="F51" s="45">
        <f>COUNTIF(Edges!$A$2:$A$198,A51)+COUNTIF(Edges!$B$2:$B$198,A51)</f>
        <v/>
      </c>
    </row>
    <row r="52" ht="15" customHeight="1" s="25">
      <c r="A52" s="45" t="inlineStr">
        <is>
          <t>abin</t>
        </is>
      </c>
      <c r="B52" s="45" t="inlineStr">
        <is>
          <t>Abin</t>
        </is>
      </c>
      <c r="C52" s="45" t="inlineStr">
        <is>
          <t>Instituição ou caso</t>
        </is>
      </c>
      <c r="D52" s="45" t="inlineStr">
        <is>
          <t>Política e governo</t>
        </is>
      </c>
      <c r="E52" s="45" t="inlineStr">
        <is>
          <t>Relatórios para “defender FB”</t>
        </is>
      </c>
      <c r="F52" s="45">
        <f>COUNTIF(Edges!$A$2:$A$198,A52)+COUNTIF(Edges!$B$2:$B$198,A52)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Justiça e investigação</t>
        </is>
      </c>
      <c r="E53" s="45" t="inlineStr">
        <is>
          <t>Chefe foi pessoalmente à casa de Flávio</t>
        </is>
      </c>
      <c r="F53" s="45">
        <f>COUNTIF(Edges!$A$2:$A$198,A53)+COUNTIF(Edges!$B$2:$B$198,A53)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Justiça e investigação</t>
        </is>
      </c>
      <c r="E54" s="45" t="inlineStr">
        <is>
          <t>Investiga Willer e o Careca; diretor é indicado pelo presidente</t>
        </is>
      </c>
      <c r="F54" s="45">
        <f>COUNTIF(Edges!$A$2:$A$198,A54)+COUNTIF(Edges!$B$2:$B$198,A54)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Justiça e investigação</t>
        </is>
      </c>
      <c r="E55" s="45" t="inlineStr">
        <is>
          <t>Decide se denuncia Vorcaro; chefe indicado pelo presidente</t>
        </is>
      </c>
      <c r="F55" s="45">
        <f>COUNTIF(Edges!$A$2:$A$198,A55)+COUNTIF(Edges!$B$2:$B$198,A55)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Política e governo</t>
        </is>
      </c>
      <c r="E56" s="45" t="inlineStr">
        <is>
          <t>Teria influenciado a escolha de Nunes Marques com Flávio (Folha, set/2020). A transcrição grafa “Círio Nogueira”; identificação inferida</t>
        </is>
      </c>
      <c r="F56" s="45">
        <f>COUNTIF(Edges!$A$2:$A$198,A56)+COUNTIF(Edges!$B$2:$B$198,A56)</f>
        <v/>
      </c>
    </row>
    <row r="57" ht="23.25" customHeight="1" s="25">
      <c r="A57" s="45" t="inlineStr">
        <is>
          <t>stf</t>
        </is>
      </c>
      <c r="B57" s="45" t="inlineStr">
        <is>
          <t>STF</t>
        </is>
      </c>
      <c r="C57" s="45" t="inlineStr">
        <is>
          <t>Instituição ou caso</t>
        </is>
      </c>
      <c r="D57" s="45" t="inlineStr">
        <is>
          <t>Justiça e investigação</t>
        </is>
      </c>
      <c r="E57" s="45" t="inlineStr">
        <is>
          <t>Nunes é ministro; anulou provas da rachadinha; abriu 3 inquéritos de Lulinha; investiga Flávio no caso do filme</t>
        </is>
      </c>
      <c r="F57" s="45">
        <f>COUNTIF(Edges!$A$2:$A$198,A57)+COUNTIF(Edges!$B$2:$B$198,A57)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Justiça e investigação</t>
        </is>
      </c>
      <c r="E58" s="45" t="inlineStr">
        <is>
          <t>Presidido por Nunes; suspendeu propaganda sobre o dinheiro do Master</t>
        </is>
      </c>
      <c r="F58" s="45">
        <f>COUNTIF(Edges!$A$2:$A$198,A58)+COUNTIF(Edges!$B$2:$B$198,A58)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Justiça e investigação</t>
        </is>
      </c>
      <c r="E59" s="45" t="inlineStr">
        <is>
          <t>Ministro do STF indicado por Jair; relator do caso Master desde fev/2026</t>
        </is>
      </c>
      <c r="F59" s="45">
        <f>COUNTIF(Edges!$A$2:$A$198,A59)+COUNTIF(Edges!$B$2:$B$198,A59)</f>
        <v/>
      </c>
      <c r="G59" s="24" t="n"/>
      <c r="H59" s="24" t="n"/>
      <c r="I59" s="24" t="n"/>
      <c r="J59" s="24" t="n"/>
    </row>
    <row r="60">
      <c r="A60" s="45" t="inlineStr">
        <is>
          <t>iter</t>
        </is>
      </c>
      <c r="B60" s="45" t="inlineStr">
        <is>
          <t>Instituto ITER</t>
        </is>
      </c>
      <c r="C60" s="45" t="inlineStr">
        <is>
          <t>Instituição ou caso</t>
        </is>
      </c>
      <c r="D60" s="45" t="inlineStr">
        <is>
          <t>Justiça e investigação</t>
        </is>
      </c>
      <c r="E60" s="45" t="inlineStr">
        <is>
          <t>Fundado por Mendonça; contratos públicos sem licitação; aporte de empresa de sócio de Vorcaro</t>
        </is>
      </c>
      <c r="F60" s="45">
        <f>COUNTIF(Edges!$A$2:$A$198,A60)+COUNTIF(Edges!$B$2:$B$198,A60)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COUNTIF(Edges!$A$2:$A$198,A61)+COUNTIF(Edges!$B$2:$B$198,A61)</f>
        <v/>
      </c>
      <c r="G61" s="24" t="n"/>
      <c r="H61" s="24" t="n"/>
      <c r="I61" s="24" t="n"/>
      <c r="J61" s="24" t="n"/>
    </row>
    <row r="62">
      <c r="A62" s="45" t="inlineStr">
        <is>
          <t>cezinha</t>
        </is>
      </c>
      <c r="B62" s="45" t="inlineStr">
        <is>
          <t>Cezinha de Madureira</t>
        </is>
      </c>
      <c r="C62" s="45" t="inlineStr">
        <is>
          <t>Pessoa</t>
        </is>
      </c>
      <c r="D62" s="45" t="inlineStr">
        <is>
          <t>Política e governo</t>
        </is>
      </c>
      <c r="E62" s="45" t="inlineStr">
        <is>
          <t>Deputado federal; ajudou a articular a reunião Mendonça–Vorcaro de mar/2025; alvo de operação autorizada por Dino</t>
        </is>
      </c>
      <c r="F62" s="45">
        <f>COUNTIF(Edges!$A$2:$A$198,A62)+COUNTIF(Edges!$B$2:$B$198,A62)</f>
        <v/>
      </c>
      <c r="G62" s="24" t="n"/>
      <c r="H62" s="24" t="n"/>
      <c r="I62" s="24" t="n"/>
      <c r="J62" s="24" t="n"/>
    </row>
    <row r="63">
      <c r="A63" s="45" t="inlineStr">
        <is>
          <t>bianco</t>
        </is>
      </c>
      <c r="B63" s="45" t="inlineStr">
        <is>
          <t>Bruno Bianco Leal</t>
        </is>
      </c>
      <c r="C63" s="45" t="inlineStr">
        <is>
          <t>Pessoa</t>
        </is>
      </c>
      <c r="D63" s="45" t="inlineStr">
        <is>
          <t>Política e governo</t>
        </is>
      </c>
      <c r="E63" s="45" t="inlineStr">
        <is>
          <t>Ex-AGU do governo Jair; convidado para a reunião com Vorcaro</t>
        </is>
      </c>
      <c r="F63" s="45">
        <f>COUNTIF(Edges!$A$2:$A$198,A63)+COUNTIF(Edges!$B$2:$B$198,A63)</f>
        <v/>
      </c>
      <c r="G63" s="24" t="n"/>
      <c r="H63" s="24" t="n"/>
      <c r="I63" s="24" t="n"/>
      <c r="J63" s="24" t="n"/>
    </row>
    <row r="64">
      <c r="A64" s="45" t="inlineStr">
        <is>
          <t>tarcisio</t>
        </is>
      </c>
      <c r="B64" s="45" t="inlineStr">
        <is>
          <t>Tarcísio de Freitas</t>
        </is>
      </c>
      <c r="C64" s="45" t="inlineStr">
        <is>
          <t>Pessoa</t>
        </is>
      </c>
      <c r="D64" s="45" t="inlineStr">
        <is>
          <t>Política e governo</t>
        </is>
      </c>
      <c r="E64" s="45" t="inlineStr">
        <is>
          <t>Governador de SP; recebeu R$ 2 mi de Zettel em 2022; governo dele contratou o ITER</t>
        </is>
      </c>
      <c r="F64" s="45">
        <f>COUNTIF(Edges!$A$2:$A$198,A64)+COUNTIF(Edges!$B$2:$B$198,A64)</f>
        <v/>
      </c>
      <c r="G64" s="24" t="n"/>
      <c r="H64" s="24" t="n"/>
      <c r="I64" s="24" t="n"/>
      <c r="J64" s="24" t="n"/>
    </row>
    <row r="65">
      <c r="A65" s="45" t="inlineStr">
        <is>
          <t>rnunes</t>
        </is>
      </c>
      <c r="B65" s="45" t="inlineStr">
        <is>
          <t>Ricardo Nunes</t>
        </is>
      </c>
      <c r="C65" s="45" t="inlineStr">
        <is>
          <t>Pessoa</t>
        </is>
      </c>
      <c r="D65" s="45" t="inlineStr">
        <is>
          <t>Política e governo</t>
        </is>
      </c>
      <c r="E65" s="45" t="inlineStr">
        <is>
          <t>Prefeito de SP; prefeitura contratou o ITER</t>
        </is>
      </c>
      <c r="F65" s="45">
        <f>COUNTIF(Edges!$A$2:$A$198,A65)+COUNTIF(Edges!$B$2:$B$198,A65)</f>
        <v/>
      </c>
      <c r="G65" s="24" t="n"/>
      <c r="H65" s="24" t="n"/>
      <c r="I65" s="24" t="n"/>
      <c r="J65" s="24" t="n"/>
    </row>
    <row r="66">
      <c r="A66" s="45" t="inlineStr">
        <is>
          <t>castro</t>
        </is>
      </c>
      <c r="B66" s="45" t="inlineStr">
        <is>
          <t>Cláudio Castro</t>
        </is>
      </c>
      <c r="C66" s="45" t="inlineStr">
        <is>
          <t>Pessoa</t>
        </is>
      </c>
      <c r="D66" s="45" t="inlineStr">
        <is>
          <t>Política e governo</t>
        </is>
      </c>
      <c r="E66" s="45" t="inlineStr">
        <is>
          <t>Governo dele no RJ contratou o ITER</t>
        </is>
      </c>
      <c r="F66" s="45">
        <f>COUNTIF(Edges!$A$2:$A$198,A66)+COUNTIF(Edges!$B$2:$B$198,A66)</f>
        <v/>
      </c>
      <c r="G66" s="24" t="n"/>
      <c r="H66" s="24" t="n"/>
      <c r="I66" s="24" t="n"/>
      <c r="J66" s="24" t="n"/>
    </row>
    <row r="67">
      <c r="A67" s="45" t="inlineStr">
        <is>
          <t>moraes</t>
        </is>
      </c>
      <c r="B67" s="45" t="inlineStr">
        <is>
          <t>Alexandre de Moraes</t>
        </is>
      </c>
      <c r="C67" s="45" t="inlineStr">
        <is>
          <t>Pessoa</t>
        </is>
      </c>
      <c r="D67" s="45" t="inlineStr">
        <is>
          <t>Justiça e investigação</t>
        </is>
      </c>
      <c r="E67" s="45" t="inlineStr">
        <is>
          <t>Ministro do STF</t>
        </is>
      </c>
      <c r="F67" s="45">
        <f>COUNTIF(Edges!$A$2:$A$198,A67)+COUNTIF(Edges!$B$2:$B$198,A67)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COUNTIF(Edges!$A$2:$A$198,A68)+COUNTIF(Edges!$B$2:$B$198,A68)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COUNTIF(Edges!$A$2:$A$198,A69)+COUNTIF(Edges!$B$2:$B$198,A69)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COUNTIF(Edges!$A$2:$A$198,A70)+COUNTIF(Edges!$B$2:$B$198,A70)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COUNTIF(Edges!$A$2:$A$198,A71)+COUNTIF(Edges!$B$2:$B$198,A71)</f>
        <v/>
      </c>
      <c r="G71" s="24" t="n"/>
      <c r="H71" s="24" t="n"/>
      <c r="I71" s="24" t="n"/>
      <c r="J71" s="24" t="n"/>
    </row>
    <row r="72">
      <c r="A72" s="45" t="inlineStr">
        <is>
          <t>govlula</t>
        </is>
      </c>
      <c r="B72" s="45" t="inlineStr">
        <is>
          <t>Governo Lula (Haddad, Gleisi, Mercadante)</t>
        </is>
      </c>
      <c r="C72" s="45" t="inlineStr">
        <is>
          <t>Instituição ou caso</t>
        </is>
      </c>
      <c r="D72" s="45" t="inlineStr">
        <is>
          <t>Política e governo</t>
        </is>
      </c>
      <c r="E72" s="45" t="inlineStr">
        <is>
          <t>Mensagens: Vorcaro via Haddad como opositor e tentou “bloquear” Gleisi e Mercadante</t>
        </is>
      </c>
      <c r="F72" s="45">
        <f>COUNTIF(Edges!$A$2:$A$198,A72)+COUNTIF(Edges!$B$2:$B$198,A72)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COUNTIF(Edges!$A$2:$A$198,A73)+COUNTIF(Edges!$B$2:$B$198,A73)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COUNTIF(Edges!$A$2:$A$198,A74)+COUNTIF(Edges!$B$2:$B$198,A74)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COUNTIF(Edges!$A$2:$A$198,A75)+COUNTIF(Edges!$B$2:$B$198,A75)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COUNTIF(Edges!$A$2:$A$198,A76)+COUNTIF(Edges!$B$2:$B$198,A76)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COUNTIF(Edges!$A$2:$A$198,A77)+COUNTIF(Edges!$B$2:$B$198,A77)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COUNTIF(Edges!$A$2:$A$198,A78)+COUNTIF(Edges!$B$2:$B$198,A78)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COUNTIF(Edges!$A$2:$A$198,A79)+COUNTIF(Edges!$B$2:$B$198,A79)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Robson Calixto, PM da reserva condenado no caso Marielle; PF diz que intermediou emenda de Flávio</t>
        </is>
      </c>
      <c r="F80" s="45">
        <f>COUNTIF(Edges!$A$2:$A$198,A80)+COUNTIF(Edges!$B$2:$B$198,A80)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COUNTIF(Edges!$A$2:$A$198,A81)+COUNTIF(Edges!$B$2:$B$198,A81)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COUNTIF(Edges!$A$2:$A$198,A82)+COUNTIF(Edges!$B$2:$B$198,A82)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COUNTIF(Edges!$A$2:$A$198,A83)+COUNTIF(Edges!$B$2:$B$198,A83)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COUNTIF(Edges!$A$2:$A$198,A84)+COUNTIF(Edges!$B$2:$B$198,A84)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COUNTIF(Edges!$A$2:$A$198,A85)+COUNTIF(Edges!$B$2:$B$198,A85)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COUNTIF(Edges!$A$2:$A$198,A86)+COUNTIF(Edges!$B$2:$B$198,A86)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 Loterj; contrato rescindido pelo estado, que cobra ~R$ 4 mi</t>
        </is>
      </c>
      <c r="F87" s="45">
        <f>COUNTIF(Edges!$A$2:$A$198,A87)+COUNTIF(Edges!$B$2:$B$198,A87)</f>
        <v/>
      </c>
      <c r="G87" s="24" t="n"/>
      <c r="H87" s="24" t="n"/>
      <c r="I87" s="24" t="n"/>
      <c r="J87" s="24" t="n"/>
    </row>
    <row r="88">
      <c r="A88" s="45" t="inlineStr">
        <is>
          <t>loterj</t>
        </is>
      </c>
      <c r="B88" s="45" t="inlineStr">
        <is>
          <t>Loterj</t>
        </is>
      </c>
      <c r="C88" s="45" t="inlineStr">
        <is>
          <t>Instituição ou caso</t>
        </is>
      </c>
      <c r="D88" s="45" t="inlineStr">
        <is>
          <t>Política e governo</t>
        </is>
      </c>
      <c r="E88" s="45" t="inlineStr">
        <is>
          <t>Loteria do Estado do RJ; licenciou a Best Bet e contratou a Rio Pag em 2023</t>
        </is>
      </c>
      <c r="F88" s="45">
        <f>COUNTIF(Edges!$A$2:$A$198,A88)+COUNTIF(Edges!$B$2:$B$198,A88)</f>
        <v/>
      </c>
      <c r="G88" s="24" t="n"/>
      <c r="H88" s="24" t="n"/>
      <c r="I88" s="24" t="n"/>
      <c r="J88" s="24" t="n"/>
    </row>
    <row r="89">
      <c r="A89" s="45" t="inlineStr">
        <is>
          <t>cancado</t>
        </is>
      </c>
      <c r="B89" s="45" t="inlineStr">
        <is>
          <t>Hazenclever Cançado</t>
        </is>
      </c>
      <c r="C89" s="45" t="inlineStr">
        <is>
          <t>Pessoa</t>
        </is>
      </c>
      <c r="D89" s="45" t="inlineStr">
        <is>
          <t>Política e governo</t>
        </is>
      </c>
      <c r="E89" s="45" t="inlineStr">
        <is>
          <t>Ex-presidente da Loterj; assinou a licença da Best Bet</t>
        </is>
      </c>
      <c r="F89" s="45">
        <f>COUNTIF(Edges!$A$2:$A$198,A89)+COUNTIF(Edges!$B$2:$B$198,A89)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COUNTIF(Edges!$A$2:$A$198,A90)+COUNTIF(Edges!$B$2:$B$198,A90)</f>
        <v/>
      </c>
      <c r="G90" s="24" t="n"/>
      <c r="H90" s="24" t="n"/>
      <c r="I90" s="24" t="n"/>
      <c r="J90" s="24" t="n"/>
    </row>
    <row r="91">
      <c r="A91" s="45" t="inlineStr">
        <is>
          <t>weverton</t>
        </is>
      </c>
      <c r="B91" s="45" t="inlineStr">
        <is>
          <t>Weverton Rocha</t>
        </is>
      </c>
      <c r="C91" s="45" t="inlineStr">
        <is>
          <t>Pessoa</t>
        </is>
      </c>
      <c r="D91" s="45" t="inlineStr">
        <is>
          <t>Política e governo</t>
        </is>
      </c>
      <c r="E91" s="45" t="inlineStr">
        <is>
          <t>Senador (PDT-MA), vice-líder do governo Lula; investigado na Operação Sem Desconto; nega</t>
        </is>
      </c>
      <c r="F91" s="45">
        <f>COUNTIF(Edges!$A$2:$A$198,A91)+COUNTIF(Edges!$B$2:$B$198,A91)</f>
        <v/>
      </c>
      <c r="G91" s="24" t="n"/>
      <c r="H91" s="24" t="n"/>
      <c r="I91" s="24" t="n"/>
      <c r="J91"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INDEX(Nodes!$B$2:$B$91,MATCH(A2,Nodes!$A$2:$A$91,0))</f>
        <v/>
      </c>
      <c r="F2" s="45">
        <f>INDEX(Nodes!$B$2:$B$91,MATCH(B2,Nodes!$A$2:$A$91,0))</f>
        <v/>
      </c>
    </row>
    <row r="3" ht="15" customHeight="1" s="25">
      <c r="A3" s="45" t="inlineStr">
        <is>
          <t>careca</t>
        </is>
      </c>
      <c r="B3" s="45" t="inlineStr">
        <is>
          <t>contador</t>
        </is>
      </c>
      <c r="C3" s="45" t="inlineStr">
        <is>
          <t>Contador dele</t>
        </is>
      </c>
      <c r="D3" s="45" t="inlineStr">
        <is>
          <t>Documentado</t>
        </is>
      </c>
      <c r="E3" s="45">
        <f>INDEX(Nodes!$B$2:$B$91,MATCH(A3,Nodes!$A$2:$A$91,0))</f>
        <v/>
      </c>
      <c r="F3" s="45">
        <f>INDEX(Nodes!$B$2:$B$91,MATCH(B3,Nodes!$A$2:$A$91,0))</f>
        <v/>
      </c>
    </row>
    <row r="4" ht="15" customHeight="1" s="25">
      <c r="A4" s="45" t="inlineStr">
        <is>
          <t>contador</t>
        </is>
      </c>
      <c r="B4" s="45" t="inlineStr">
        <is>
          <t>leticia</t>
        </is>
      </c>
      <c r="C4" s="45" t="inlineStr">
        <is>
          <t>Irmãos</t>
        </is>
      </c>
      <c r="D4" s="45" t="inlineStr">
        <is>
          <t>Documentado</t>
        </is>
      </c>
      <c r="E4" s="45">
        <f>INDEX(Nodes!$B$2:$B$91,MATCH(A4,Nodes!$A$2:$A$91,0))</f>
        <v/>
      </c>
      <c r="F4" s="45">
        <f>INDEX(Nodes!$B$2:$B$91,MATCH(B4,Nodes!$A$2:$A$91,0))</f>
        <v/>
      </c>
    </row>
    <row r="5" ht="15" customHeight="1" s="25">
      <c r="A5" s="45" t="inlineStr">
        <is>
          <t>leticia</t>
        </is>
      </c>
      <c r="B5" s="45" t="inlineStr">
        <is>
          <t>escf</t>
        </is>
      </c>
      <c r="C5" s="45" t="inlineStr">
        <is>
          <t>Administra desde 2021</t>
        </is>
      </c>
      <c r="D5" s="45" t="inlineStr">
        <is>
          <t>Documentado</t>
        </is>
      </c>
      <c r="E5" s="45">
        <f>INDEX(Nodes!$B$2:$B$91,MATCH(A5,Nodes!$A$2:$A$91,0))</f>
        <v/>
      </c>
      <c r="F5" s="45">
        <f>INDEX(Nodes!$B$2:$B$91,MATCH(B5,Nodes!$A$2:$A$91,0))</f>
        <v/>
      </c>
    </row>
    <row r="6" ht="15" customHeight="1" s="25">
      <c r="A6" s="45" t="inlineStr">
        <is>
          <t>contador</t>
        </is>
      </c>
      <c r="B6" s="45" t="inlineStr">
        <is>
          <t>escf</t>
        </is>
      </c>
      <c r="C6" s="45" t="inlineStr">
        <is>
          <t>Faz a contabilidade</t>
        </is>
      </c>
      <c r="D6" s="45" t="inlineStr">
        <is>
          <t>Documentado</t>
        </is>
      </c>
      <c r="E6" s="45">
        <f>INDEX(Nodes!$B$2:$B$91,MATCH(A6,Nodes!$A$2:$A$91,0))</f>
        <v/>
      </c>
      <c r="F6" s="45">
        <f>INDEX(Nodes!$B$2:$B$91,MATCH(B6,Nodes!$A$2:$A$91,0))</f>
        <v/>
      </c>
    </row>
    <row r="7" ht="15" customHeight="1" s="25">
      <c r="A7" s="45" t="inlineStr">
        <is>
          <t>willer</t>
        </is>
      </c>
      <c r="B7" s="45" t="inlineStr">
        <is>
          <t>leticia</t>
        </is>
      </c>
      <c r="C7" s="45" t="inlineStr">
        <is>
          <t>Teria indicado a irmã ao escritório de Flávio</t>
        </is>
      </c>
      <c r="D7" s="45" t="inlineStr">
        <is>
          <t>Documentado</t>
        </is>
      </c>
      <c r="E7" s="45">
        <f>INDEX(Nodes!$B$2:$B$91,MATCH(A7,Nodes!$A$2:$A$91,0))</f>
        <v/>
      </c>
      <c r="F7" s="45">
        <f>INDEX(Nodes!$B$2:$B$91,MATCH(B7,Nodes!$A$2:$A$91,0))</f>
        <v/>
      </c>
    </row>
    <row r="8" ht="15" customHeight="1" s="25">
      <c r="A8" s="45" t="inlineStr">
        <is>
          <t>willer</t>
        </is>
      </c>
      <c r="B8" s="45" t="inlineStr">
        <is>
          <t>contador</t>
        </is>
      </c>
      <c r="C8" s="45" t="inlineStr">
        <is>
          <t>É o advogado de defesa</t>
        </is>
      </c>
      <c r="D8" s="45" t="inlineStr">
        <is>
          <t>Documentado</t>
        </is>
      </c>
      <c r="E8" s="45">
        <f>INDEX(Nodes!$B$2:$B$91,MATCH(A8,Nodes!$A$2:$A$91,0))</f>
        <v/>
      </c>
      <c r="F8" s="45">
        <f>INDEX(Nodes!$B$2:$B$91,MATCH(B8,Nodes!$A$2:$A$91,0))</f>
        <v/>
      </c>
    </row>
    <row r="9" ht="15" customHeight="1" s="25">
      <c r="A9" s="45" t="inlineStr">
        <is>
          <t>willer</t>
        </is>
      </c>
      <c r="B9" s="45" t="inlineStr">
        <is>
          <t>careca</t>
        </is>
      </c>
      <c r="C9" s="45" t="inlineStr">
        <is>
          <t>Investigado no mesmo esquema do INSS</t>
        </is>
      </c>
      <c r="D9" s="45" t="inlineStr">
        <is>
          <t>Documentado</t>
        </is>
      </c>
      <c r="E9" s="45">
        <f>INDEX(Nodes!$B$2:$B$91,MATCH(A9,Nodes!$A$2:$A$91,0))</f>
        <v/>
      </c>
      <c r="F9" s="45">
        <f>INDEX(Nodes!$B$2:$B$91,MATCH(B9,Nodes!$A$2:$A$91,0))</f>
        <v/>
      </c>
    </row>
    <row r="10" ht="15" customHeight="1" s="25">
      <c r="A10" s="45" t="inlineStr">
        <is>
          <t>pf</t>
        </is>
      </c>
      <c r="B10" s="45" t="inlineStr">
        <is>
          <t>careca</t>
        </is>
      </c>
      <c r="C10" s="45" t="inlineStr">
        <is>
          <t>Investiga</t>
        </is>
      </c>
      <c r="D10" s="45" t="inlineStr">
        <is>
          <t>Documentado</t>
        </is>
      </c>
      <c r="E10" s="45">
        <f>INDEX(Nodes!$B$2:$B$91,MATCH(A10,Nodes!$A$2:$A$91,0))</f>
        <v/>
      </c>
      <c r="F10" s="45">
        <f>INDEX(Nodes!$B$2:$B$91,MATCH(B10,Nodes!$A$2:$A$91,0))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INDEX(Nodes!$B$2:$B$91,MATCH(A11,Nodes!$A$2:$A$91,0))</f>
        <v/>
      </c>
      <c r="F11" s="45">
        <f>INDEX(Nodes!$B$2:$B$91,MATCH(B11,Nodes!$A$2:$A$91,0))</f>
        <v/>
      </c>
    </row>
    <row r="12" ht="15" customHeight="1" s="25">
      <c r="A12" s="45" t="inlineStr">
        <is>
          <t>lulinha</t>
        </is>
      </c>
      <c r="B12" s="45" t="inlineStr">
        <is>
          <t>roberta</t>
        </is>
      </c>
      <c r="C12" s="45" t="inlineStr">
        <is>
          <t>Amiga; PF diz que ela podia agir em nome dele</t>
        </is>
      </c>
      <c r="D12" s="45" t="inlineStr">
        <is>
          <t>Alegado ou contestado</t>
        </is>
      </c>
      <c r="E12" s="45">
        <f>INDEX(Nodes!$B$2:$B$91,MATCH(A12,Nodes!$A$2:$A$91,0))</f>
        <v/>
      </c>
      <c r="F12" s="45">
        <f>INDEX(Nodes!$B$2:$B$91,MATCH(B12,Nodes!$A$2:$A$91,0))</f>
        <v/>
      </c>
    </row>
    <row r="13" ht="15" customHeight="1" s="25">
      <c r="A13" s="45" t="inlineStr">
        <is>
          <t>roberta</t>
        </is>
      </c>
      <c r="B13" s="45" t="inlineStr">
        <is>
          <t>careca</t>
        </is>
      </c>
      <c r="C13" s="45" t="inlineStr">
        <is>
          <t>Recebeu ~R$ 1 mi de empresa de fachada</t>
        </is>
      </c>
      <c r="D13" s="45" t="inlineStr">
        <is>
          <t>Documentado</t>
        </is>
      </c>
      <c r="E13" s="45">
        <f>INDEX(Nodes!$B$2:$B$91,MATCH(A13,Nodes!$A$2:$A$91,0))</f>
        <v/>
      </c>
      <c r="F13" s="45">
        <f>INDEX(Nodes!$B$2:$B$91,MATCH(B13,Nodes!$A$2:$A$91,0))</f>
        <v/>
      </c>
    </row>
    <row r="14" ht="15" customHeight="1" s="25">
      <c r="A14" s="45" t="inlineStr">
        <is>
          <t>careca</t>
        </is>
      </c>
      <c r="B14" s="45" t="inlineStr">
        <is>
          <t>sala</t>
        </is>
      </c>
      <c r="C14" s="45" t="inlineStr">
        <is>
          <t>16 empresas dele no endereço</t>
        </is>
      </c>
      <c r="D14" s="45" t="inlineStr">
        <is>
          <t>Documentado</t>
        </is>
      </c>
      <c r="E14" s="45">
        <f>INDEX(Nodes!$B$2:$B$91,MATCH(A14,Nodes!$A$2:$A$91,0))</f>
        <v/>
      </c>
      <c r="F14" s="45">
        <f>INDEX(Nodes!$B$2:$B$91,MATCH(B14,Nodes!$A$2:$A$91,0))</f>
        <v/>
      </c>
    </row>
    <row r="15" ht="15" customHeight="1" s="25">
      <c r="A15" s="45" t="inlineStr">
        <is>
          <t>bravo</t>
        </is>
      </c>
      <c r="B15" s="45" t="inlineStr">
        <is>
          <t>sala</t>
        </is>
      </c>
      <c r="C15" s="45" t="inlineStr">
        <is>
          <t>Registrada no mesmo endereço</t>
        </is>
      </c>
      <c r="D15" s="45" t="inlineStr">
        <is>
          <t>Documentado</t>
        </is>
      </c>
      <c r="E15" s="45">
        <f>INDEX(Nodes!$B$2:$B$91,MATCH(A15,Nodes!$A$2:$A$91,0))</f>
        <v/>
      </c>
      <c r="F15" s="45">
        <f>INDEX(Nodes!$B$2:$B$91,MATCH(B15,Nodes!$A$2:$A$91,0))</f>
        <v/>
      </c>
    </row>
    <row r="16" ht="15" customHeight="1" s="25">
      <c r="A16" s="45" t="inlineStr">
        <is>
          <t>bravo</t>
        </is>
      </c>
      <c r="B16" s="45" t="inlineStr">
        <is>
          <t>flavio</t>
        </is>
      </c>
      <c r="C16" s="45" t="inlineStr">
        <is>
          <t>Fábrica dele e do irmão</t>
        </is>
      </c>
      <c r="D16" s="45" t="inlineStr">
        <is>
          <t>Documentado</t>
        </is>
      </c>
      <c r="E16" s="45">
        <f>INDEX(Nodes!$B$2:$B$91,MATCH(A16,Nodes!$A$2:$A$91,0))</f>
        <v/>
      </c>
      <c r="F16" s="45">
        <f>INDEX(Nodes!$B$2:$B$91,MATCH(B16,Nodes!$A$2:$A$91,0))</f>
        <v/>
      </c>
    </row>
    <row r="17" ht="15" customHeight="1" s="25">
      <c r="A17" s="45" t="inlineStr">
        <is>
          <t>bravo</t>
        </is>
      </c>
      <c r="B17" s="45" t="inlineStr">
        <is>
          <t>carlos</t>
        </is>
      </c>
      <c r="C17" s="45" t="inlineStr">
        <is>
          <t>Sócios</t>
        </is>
      </c>
      <c r="D17" s="45" t="inlineStr">
        <is>
          <t>Documentado</t>
        </is>
      </c>
      <c r="E17" s="45">
        <f>INDEX(Nodes!$B$2:$B$91,MATCH(A17,Nodes!$A$2:$A$91,0))</f>
        <v/>
      </c>
      <c r="F17" s="45">
        <f>INDEX(Nodes!$B$2:$B$91,MATCH(B17,Nodes!$A$2:$A$91,0))</f>
        <v/>
      </c>
    </row>
    <row r="18" ht="15" customHeight="1" s="25">
      <c r="A18" s="45" t="inlineStr">
        <is>
          <t>flavio</t>
        </is>
      </c>
      <c r="B18" s="45" t="inlineStr">
        <is>
          <t>carlos</t>
        </is>
      </c>
      <c r="C18" s="45" t="inlineStr">
        <is>
          <t>Irmãos</t>
        </is>
      </c>
      <c r="D18" s="45" t="inlineStr">
        <is>
          <t>Documentado</t>
        </is>
      </c>
      <c r="E18" s="45">
        <f>INDEX(Nodes!$B$2:$B$91,MATCH(A18,Nodes!$A$2:$A$91,0))</f>
        <v/>
      </c>
      <c r="F18" s="45">
        <f>INDEX(Nodes!$B$2:$B$91,MATCH(B18,Nodes!$A$2:$A$91,0))</f>
        <v/>
      </c>
    </row>
    <row r="19" ht="15" customHeight="1" s="25">
      <c r="A19" s="45" t="inlineStr">
        <is>
          <t>willer</t>
        </is>
      </c>
      <c r="B19" s="45" t="inlineStr">
        <is>
          <t>escw</t>
        </is>
      </c>
      <c r="C19" s="45" t="inlineStr">
        <is>
          <t>PF fez buscas e achou dinheiro em livros-cofre</t>
        </is>
      </c>
      <c r="D19" s="45" t="inlineStr">
        <is>
          <t>Documentado</t>
        </is>
      </c>
      <c r="E19" s="45">
        <f>INDEX(Nodes!$B$2:$B$91,MATCH(A19,Nodes!$A$2:$A$91,0))</f>
        <v/>
      </c>
      <c r="F19" s="45">
        <f>INDEX(Nodes!$B$2:$B$91,MATCH(B19,Nodes!$A$2:$A$91,0))</f>
        <v/>
      </c>
    </row>
    <row r="20" ht="15" customHeight="1" s="25">
      <c r="A20" s="45" t="inlineStr">
        <is>
          <t>willer</t>
        </is>
      </c>
      <c r="B20" s="45" t="inlineStr">
        <is>
          <t>bets</t>
        </is>
      </c>
      <c r="C20" s="45" t="inlineStr">
        <is>
          <t>Movimentou ~R$ 5 bi em apostas</t>
        </is>
      </c>
      <c r="D20" s="45" t="inlineStr">
        <is>
          <t>Documentado</t>
        </is>
      </c>
      <c r="E20" s="45">
        <f>INDEX(Nodes!$B$2:$B$91,MATCH(A20,Nodes!$A$2:$A$91,0))</f>
        <v/>
      </c>
      <c r="F20" s="45">
        <f>INDEX(Nodes!$B$2:$B$91,MATCH(B20,Nodes!$A$2:$A$91,0))</f>
        <v/>
      </c>
    </row>
    <row r="21" ht="15" customHeight="1" s="25">
      <c r="A21" s="45" t="inlineStr">
        <is>
          <t>willer</t>
        </is>
      </c>
      <c r="B21" s="45" t="inlineStr">
        <is>
          <t>lidia</t>
        </is>
      </c>
      <c r="C21" s="45" t="inlineStr">
        <is>
          <t>Ela comanda 14 empresas ligadas a ele</t>
        </is>
      </c>
      <c r="D21" s="45" t="inlineStr">
        <is>
          <t>Documentado</t>
        </is>
      </c>
      <c r="E21" s="45">
        <f>INDEX(Nodes!$B$2:$B$91,MATCH(A21,Nodes!$A$2:$A$91,0))</f>
        <v/>
      </c>
      <c r="F21" s="45">
        <f>INDEX(Nodes!$B$2:$B$91,MATCH(B21,Nodes!$A$2:$A$91,0))</f>
        <v/>
      </c>
    </row>
    <row r="22" ht="15" customHeight="1" s="25">
      <c r="A22" s="45" t="inlineStr">
        <is>
          <t>lidia</t>
        </is>
      </c>
      <c r="B22" s="45" t="inlineStr">
        <is>
          <t>wt</t>
        </is>
      </c>
      <c r="C22" s="45" t="inlineStr">
        <is>
          <t>Aparece à frente da WT</t>
        </is>
      </c>
      <c r="D22" s="45" t="inlineStr">
        <is>
          <t>Documentado</t>
        </is>
      </c>
      <c r="E22" s="45">
        <f>INDEX(Nodes!$B$2:$B$91,MATCH(A22,Nodes!$A$2:$A$91,0))</f>
        <v/>
      </c>
      <c r="F22" s="45">
        <f>INDEX(Nodes!$B$2:$B$91,MATCH(B22,Nodes!$A$2:$A$91,0))</f>
        <v/>
      </c>
    </row>
    <row r="23" ht="15" customHeight="1" s="25">
      <c r="A23" s="45" t="inlineStr">
        <is>
          <t>willer</t>
        </is>
      </c>
      <c r="B23" s="45" t="inlineStr">
        <is>
          <t>alcazar</t>
        </is>
      </c>
      <c r="C23" s="45" t="inlineStr">
        <is>
          <t>Empresa ligada a ele</t>
        </is>
      </c>
      <c r="D23" s="45" t="inlineStr">
        <is>
          <t>Documentado</t>
        </is>
      </c>
      <c r="E23" s="45">
        <f>INDEX(Nodes!$B$2:$B$91,MATCH(A23,Nodes!$A$2:$A$91,0))</f>
        <v/>
      </c>
      <c r="F23" s="45">
        <f>INDEX(Nodes!$B$2:$B$91,MATCH(B23,Nodes!$A$2:$A$91,0))</f>
        <v/>
      </c>
    </row>
    <row r="24" ht="15" customHeight="1" s="25">
      <c r="A24" s="45" t="inlineStr">
        <is>
          <t>alcazar</t>
        </is>
      </c>
      <c r="B24" s="45" t="inlineStr">
        <is>
          <t>santander</t>
        </is>
      </c>
      <c r="C24" s="45" t="inlineStr">
        <is>
          <t>Conta bancária</t>
        </is>
      </c>
      <c r="D24" s="45" t="inlineStr">
        <is>
          <t>Documentado</t>
        </is>
      </c>
      <c r="E24" s="45">
        <f>INDEX(Nodes!$B$2:$B$91,MATCH(A24,Nodes!$A$2:$A$91,0))</f>
        <v/>
      </c>
      <c r="F24" s="45">
        <f>INDEX(Nodes!$B$2:$B$91,MATCH(B24,Nodes!$A$2:$A$91,0))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INDEX(Nodes!$B$2:$B$91,MATCH(A25,Nodes!$A$2:$A$91,0))</f>
        <v/>
      </c>
      <c r="F25" s="45">
        <f>INDEX(Nodes!$B$2:$B$91,MATCH(B25,Nodes!$A$2:$A$91,0))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INDEX(Nodes!$B$2:$B$91,MATCH(A26,Nodes!$A$2:$A$91,0))</f>
        <v/>
      </c>
      <c r="F26" s="45">
        <f>INDEX(Nodes!$B$2:$B$91,MATCH(B26,Nodes!$A$2:$A$91,0))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INDEX(Nodes!$B$2:$B$91,MATCH(A27,Nodes!$A$2:$A$91,0))</f>
        <v/>
      </c>
      <c r="F27" s="45">
        <f>INDEX(Nodes!$B$2:$B$91,MATCH(B27,Nodes!$A$2:$A$91,0))</f>
        <v/>
      </c>
    </row>
    <row r="28" ht="15" customHeight="1" s="25">
      <c r="A28" s="45" t="inlineStr">
        <is>
          <t>cpi</t>
        </is>
      </c>
      <c r="B28" s="45" t="inlineStr">
        <is>
          <t>willer</t>
        </is>
      </c>
      <c r="C28" s="45" t="inlineStr">
        <is>
          <t>Citado na Covaxin; quebra de sigilo cancelada</t>
        </is>
      </c>
      <c r="D28" s="45" t="inlineStr">
        <is>
          <t>Documentado</t>
        </is>
      </c>
      <c r="E28" s="45">
        <f>INDEX(Nodes!$B$2:$B$91,MATCH(A28,Nodes!$A$2:$A$91,0))</f>
        <v/>
      </c>
      <c r="F28" s="45">
        <f>INDEX(Nodes!$B$2:$B$91,MATCH(B28,Nodes!$A$2:$A$91,0))</f>
        <v/>
      </c>
    </row>
    <row r="29" ht="15" customHeight="1" s="25">
      <c r="A29" s="45" t="inlineStr">
        <is>
          <t>renan</t>
        </is>
      </c>
      <c r="B29" s="45" t="inlineStr">
        <is>
          <t>cpi</t>
        </is>
      </c>
      <c r="C29" s="45" t="inlineStr">
        <is>
          <t>Relator</t>
        </is>
      </c>
      <c r="D29" s="45" t="inlineStr">
        <is>
          <t>Documentado</t>
        </is>
      </c>
      <c r="E29" s="45">
        <f>INDEX(Nodes!$B$2:$B$91,MATCH(A29,Nodes!$A$2:$A$91,0))</f>
        <v/>
      </c>
      <c r="F29" s="45">
        <f>INDEX(Nodes!$B$2:$B$91,MATCH(B29,Nodes!$A$2:$A$91,0))</f>
        <v/>
      </c>
    </row>
    <row r="30" ht="15" customHeight="1" s="25">
      <c r="A30" s="45" t="inlineStr">
        <is>
          <t>cpi</t>
        </is>
      </c>
      <c r="B30" s="45" t="inlineStr">
        <is>
          <t>flavio</t>
        </is>
      </c>
      <c r="C30" s="45" t="inlineStr">
        <is>
          <t>Reagiu contra a quebra do sigilo</t>
        </is>
      </c>
      <c r="D30" s="45" t="inlineStr">
        <is>
          <t>Documentado</t>
        </is>
      </c>
      <c r="E30" s="45">
        <f>INDEX(Nodes!$B$2:$B$91,MATCH(A30,Nodes!$A$2:$A$91,0))</f>
        <v/>
      </c>
      <c r="F30" s="45">
        <f>INDEX(Nodes!$B$2:$B$91,MATCH(B30,Nodes!$A$2:$A$91,0))</f>
        <v/>
      </c>
    </row>
    <row r="31" ht="15" customHeight="1" s="25">
      <c r="A31" s="45" t="inlineStr">
        <is>
          <t>willer</t>
        </is>
      </c>
      <c r="B31" s="45" t="inlineStr">
        <is>
          <t>wassef</t>
        </is>
      </c>
      <c r="C31" s="45" t="inlineStr">
        <is>
          <t>Trio “WWF” com Flávio</t>
        </is>
      </c>
      <c r="D31" s="45" t="inlineStr">
        <is>
          <t>Documentado</t>
        </is>
      </c>
      <c r="E31" s="45">
        <f>INDEX(Nodes!$B$2:$B$91,MATCH(A31,Nodes!$A$2:$A$91,0))</f>
        <v/>
      </c>
      <c r="F31" s="45">
        <f>INDEX(Nodes!$B$2:$B$91,MATCH(B31,Nodes!$A$2:$A$91,0))</f>
        <v/>
      </c>
    </row>
    <row r="32" ht="15" customHeight="1" s="25">
      <c r="A32" s="45" t="inlineStr">
        <is>
          <t>wassef</t>
        </is>
      </c>
      <c r="B32" s="45" t="inlineStr">
        <is>
          <t>flavio</t>
        </is>
      </c>
      <c r="C32" s="45" t="inlineStr">
        <is>
          <t>Advogado da família; trio “WWF”</t>
        </is>
      </c>
      <c r="D32" s="45" t="inlineStr">
        <is>
          <t>Documentado</t>
        </is>
      </c>
      <c r="E32" s="45">
        <f>INDEX(Nodes!$B$2:$B$91,MATCH(A32,Nodes!$A$2:$A$91,0))</f>
        <v/>
      </c>
      <c r="F32" s="45">
        <f>INDEX(Nodes!$B$2:$B$91,MATCH(B32,Nodes!$A$2:$A$91,0))</f>
        <v/>
      </c>
    </row>
    <row r="33" ht="15" customHeight="1" s="25">
      <c r="A33" s="45" t="inlineStr">
        <is>
          <t>willer</t>
        </is>
      </c>
      <c r="B33" s="45" t="inlineStr">
        <is>
          <t>nunes</t>
        </is>
      </c>
      <c r="C33" s="45" t="inlineStr">
        <is>
          <t>Teria respaldado a indicação ao STF (2020)</t>
        </is>
      </c>
      <c r="D33" s="45" t="inlineStr">
        <is>
          <t>Alegado ou contestado</t>
        </is>
      </c>
      <c r="E33" s="45">
        <f>INDEX(Nodes!$B$2:$B$91,MATCH(A33,Nodes!$A$2:$A$91,0))</f>
        <v/>
      </c>
      <c r="F33" s="45">
        <f>INDEX(Nodes!$B$2:$B$91,MATCH(B33,Nodes!$A$2:$A$91,0))</f>
        <v/>
      </c>
    </row>
    <row r="34" ht="15" customHeight="1" s="25">
      <c r="A34" s="45" t="inlineStr">
        <is>
          <t>wassef</t>
        </is>
      </c>
      <c r="B34" s="45" t="inlineStr">
        <is>
          <t>nunes</t>
        </is>
      </c>
      <c r="C34" s="45" t="inlineStr">
        <is>
          <t>Teria respaldado a indicação ao STF (2020)</t>
        </is>
      </c>
      <c r="D34" s="45" t="inlineStr">
        <is>
          <t>Alegado ou contestado</t>
        </is>
      </c>
      <c r="E34" s="45">
        <f>INDEX(Nodes!$B$2:$B$91,MATCH(A34,Nodes!$A$2:$A$91,0))</f>
        <v/>
      </c>
      <c r="F34" s="45">
        <f>INDEX(Nodes!$B$2:$B$91,MATCH(B34,Nodes!$A$2:$A$91,0))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INDEX(Nodes!$B$2:$B$91,MATCH(A35,Nodes!$A$2:$A$91,0))</f>
        <v/>
      </c>
      <c r="F35" s="45">
        <f>INDEX(Nodes!$B$2:$B$91,MATCH(B35,Nodes!$A$2:$A$91,0))</f>
        <v/>
      </c>
    </row>
    <row r="36" ht="15" customHeight="1" s="25">
      <c r="A36" s="45" t="inlineStr">
        <is>
          <t>jair</t>
        </is>
      </c>
      <c r="B36" s="45" t="inlineStr">
        <is>
          <t>nunes</t>
        </is>
      </c>
      <c r="C36" s="45" t="inlineStr">
        <is>
          <t>Indicou ao STF em 2020</t>
        </is>
      </c>
      <c r="D36" s="45" t="inlineStr">
        <is>
          <t>Documentado</t>
        </is>
      </c>
      <c r="E36" s="45">
        <f>INDEX(Nodes!$B$2:$B$91,MATCH(A36,Nodes!$A$2:$A$91,0))</f>
        <v/>
      </c>
      <c r="F36" s="45">
        <f>INDEX(Nodes!$B$2:$B$91,MATCH(B36,Nodes!$A$2:$A$91,0))</f>
        <v/>
      </c>
    </row>
    <row r="37" ht="15" customHeight="1" s="25">
      <c r="A37" s="45" t="inlineStr">
        <is>
          <t>willer</t>
        </is>
      </c>
      <c r="B37" s="45" t="inlineStr">
        <is>
          <t>angra</t>
        </is>
      </c>
      <c r="C37" s="45" t="inlineStr">
        <is>
          <t>Mansão ficou com a empresa dele (WT)</t>
        </is>
      </c>
      <c r="D37" s="45" t="inlineStr">
        <is>
          <t>Documentado</t>
        </is>
      </c>
      <c r="E37" s="45">
        <f>INDEX(Nodes!$B$2:$B$91,MATCH(A37,Nodes!$A$2:$A$91,0))</f>
        <v/>
      </c>
      <c r="F37" s="45">
        <f>INDEX(Nodes!$B$2:$B$91,MATCH(B37,Nodes!$A$2:$A$91,0))</f>
        <v/>
      </c>
    </row>
    <row r="38" ht="15" customHeight="1" s="25">
      <c r="A38" s="45" t="inlineStr">
        <is>
          <t>alcazar</t>
        </is>
      </c>
      <c r="B38" s="45" t="inlineStr">
        <is>
          <t>jato</t>
        </is>
      </c>
      <c r="C38" s="45" t="inlineStr">
        <is>
          <t>Cotista</t>
        </is>
      </c>
      <c r="D38" s="45" t="inlineStr">
        <is>
          <t>Documentado</t>
        </is>
      </c>
      <c r="E38" s="45">
        <f>INDEX(Nodes!$B$2:$B$91,MATCH(A38,Nodes!$A$2:$A$91,0))</f>
        <v/>
      </c>
      <c r="F38" s="45">
        <f>INDEX(Nodes!$B$2:$B$91,MATCH(B38,Nodes!$A$2:$A$91,0))</f>
        <v/>
      </c>
    </row>
    <row r="39" ht="15" customHeight="1" s="25">
      <c r="A39" s="45" t="inlineStr">
        <is>
          <t>primeu</t>
        </is>
      </c>
      <c r="B39" s="45" t="inlineStr">
        <is>
          <t>jato</t>
        </is>
      </c>
      <c r="C39" s="45" t="inlineStr">
        <is>
          <t>Cotista</t>
        </is>
      </c>
      <c r="D39" s="45" t="inlineStr">
        <is>
          <t>Documentado</t>
        </is>
      </c>
      <c r="E39" s="45">
        <f>INDEX(Nodes!$B$2:$B$91,MATCH(A39,Nodes!$A$2:$A$91,0))</f>
        <v/>
      </c>
      <c r="F39" s="45">
        <f>INDEX(Nodes!$B$2:$B$91,MATCH(B39,Nodes!$A$2:$A$91,0))</f>
        <v/>
      </c>
    </row>
    <row r="40" ht="15" customHeight="1" s="25">
      <c r="A40" s="45" t="inlineStr">
        <is>
          <t>flavio</t>
        </is>
      </c>
      <c r="B40" s="45" t="inlineStr">
        <is>
          <t>jato</t>
        </is>
      </c>
      <c r="C40" s="45" t="inlineStr">
        <is>
          <t>Voou em jan/2025</t>
        </is>
      </c>
      <c r="D40" s="45" t="inlineStr">
        <is>
          <t>Documentado</t>
        </is>
      </c>
      <c r="E40" s="45">
        <f>INDEX(Nodes!$B$2:$B$91,MATCH(A40,Nodes!$A$2:$A$91,0))</f>
        <v/>
      </c>
      <c r="F40" s="45">
        <f>INDEX(Nodes!$B$2:$B$91,MATCH(B40,Nodes!$A$2:$A$91,0))</f>
        <v/>
      </c>
    </row>
    <row r="41" ht="15" customHeight="1" s="25">
      <c r="A41" s="45" t="inlineStr">
        <is>
          <t>vorcaro</t>
        </is>
      </c>
      <c r="B41" s="45" t="inlineStr">
        <is>
          <t>jato</t>
        </is>
      </c>
      <c r="C41" s="45" t="inlineStr">
        <is>
          <t>Sócio da Prime U, cotista do jato (ligação indireta)</t>
        </is>
      </c>
      <c r="D41" s="45" t="inlineStr">
        <is>
          <t>Documentado</t>
        </is>
      </c>
      <c r="E41" s="45">
        <f>INDEX(Nodes!$B$2:$B$91,MATCH(A41,Nodes!$A$2:$A$91,0))</f>
        <v/>
      </c>
      <c r="F41" s="45">
        <f>INDEX(Nodes!$B$2:$B$91,MATCH(B41,Nodes!$A$2:$A$91,0))</f>
        <v/>
      </c>
    </row>
    <row r="42" ht="15" customHeight="1" s="25">
      <c r="A42" s="45" t="inlineStr">
        <is>
          <t>willer</t>
        </is>
      </c>
      <c r="B42" s="45" t="inlineStr">
        <is>
          <t>jato</t>
        </is>
      </c>
      <c r="C42" s="45" t="inlineStr">
        <is>
          <t>Voou junto</t>
        </is>
      </c>
      <c r="D42" s="45" t="inlineStr">
        <is>
          <t>Documentado</t>
        </is>
      </c>
      <c r="E42" s="45">
        <f>INDEX(Nodes!$B$2:$B$91,MATCH(A42,Nodes!$A$2:$A$91,0))</f>
        <v/>
      </c>
      <c r="F42" s="45">
        <f>INDEX(Nodes!$B$2:$B$91,MATCH(B42,Nodes!$A$2:$A$91,0))</f>
        <v/>
      </c>
    </row>
    <row r="43" ht="15" customHeight="1" s="25">
      <c r="A43" s="45" t="inlineStr">
        <is>
          <t>fam</t>
        </is>
      </c>
      <c r="B43" s="45" t="inlineStr">
        <is>
          <t>jato</t>
        </is>
      </c>
      <c r="C43" s="45" t="inlineStr">
        <is>
          <t>Voou em jan/2025</t>
        </is>
      </c>
      <c r="D43" s="45" t="inlineStr">
        <is>
          <t>Documentado</t>
        </is>
      </c>
      <c r="E43" s="45">
        <f>INDEX(Nodes!$B$2:$B$91,MATCH(A43,Nodes!$A$2:$A$91,0))</f>
        <v/>
      </c>
      <c r="F43" s="45">
        <f>INDEX(Nodes!$B$2:$B$91,MATCH(B43,Nodes!$A$2:$A$91,0))</f>
        <v/>
      </c>
    </row>
    <row r="44" ht="15" customHeight="1" s="25">
      <c r="A44" s="45" t="inlineStr">
        <is>
          <t>flavio</t>
        </is>
      </c>
      <c r="B44" s="45" t="inlineStr">
        <is>
          <t>fam</t>
        </is>
      </c>
      <c r="C44" s="45" t="inlineStr">
        <is>
          <t>Família</t>
        </is>
      </c>
      <c r="D44" s="45" t="inlineStr">
        <is>
          <t>Documentado</t>
        </is>
      </c>
      <c r="E44" s="45">
        <f>INDEX(Nodes!$B$2:$B$91,MATCH(A44,Nodes!$A$2:$A$91,0))</f>
        <v/>
      </c>
      <c r="F44" s="45">
        <f>INDEX(Nodes!$B$2:$B$91,MATCH(B44,Nodes!$A$2:$A$91,0))</f>
        <v/>
      </c>
    </row>
    <row r="45" ht="15" customHeight="1" s="25">
      <c r="A45" s="45" t="inlineStr">
        <is>
          <t>vorcaro</t>
        </is>
      </c>
      <c r="B45" s="45" t="inlineStr">
        <is>
          <t>primeu</t>
        </is>
      </c>
      <c r="C45" s="45" t="inlineStr">
        <is>
          <t>Sócio</t>
        </is>
      </c>
      <c r="D45" s="45" t="inlineStr">
        <is>
          <t>Documentado</t>
        </is>
      </c>
      <c r="E45" s="45">
        <f>INDEX(Nodes!$B$2:$B$91,MATCH(A45,Nodes!$A$2:$A$91,0))</f>
        <v/>
      </c>
      <c r="F45" s="45">
        <f>INDEX(Nodes!$B$2:$B$91,MATCH(B45,Nodes!$A$2:$A$91,0))</f>
        <v/>
      </c>
    </row>
    <row r="46" ht="15" customHeight="1" s="25">
      <c r="A46" s="45" t="inlineStr">
        <is>
          <t>primeu</t>
        </is>
      </c>
      <c r="B46" s="45" t="inlineStr">
        <is>
          <t>mulheres</t>
        </is>
      </c>
      <c r="C46" s="45" t="inlineStr">
        <is>
          <t>Passagens e hotéis delas faturados à Prime U</t>
        </is>
      </c>
      <c r="D46" s="45" t="inlineStr">
        <is>
          <t>Documentado</t>
        </is>
      </c>
      <c r="E46" s="45">
        <f>INDEX(Nodes!$B$2:$B$91,MATCH(A46,Nodes!$A$2:$A$91,0))</f>
        <v/>
      </c>
      <c r="F46" s="45">
        <f>INDEX(Nodes!$B$2:$B$91,MATCH(B46,Nodes!$A$2:$A$91,0))</f>
        <v/>
      </c>
    </row>
    <row r="47" ht="15" customHeight="1" s="25">
      <c r="A47" s="45" t="inlineStr">
        <is>
          <t>primeu</t>
        </is>
      </c>
      <c r="B47" s="45" t="inlineStr">
        <is>
          <t>angra</t>
        </is>
      </c>
      <c r="C47" s="45" t="inlineStr">
        <is>
          <t>Administrava a mansão</t>
        </is>
      </c>
      <c r="D47" s="45" t="inlineStr">
        <is>
          <t>Documentado</t>
        </is>
      </c>
      <c r="E47" s="45">
        <f>INDEX(Nodes!$B$2:$B$91,MATCH(A47,Nodes!$A$2:$A$91,0))</f>
        <v/>
      </c>
      <c r="F47" s="45">
        <f>INDEX(Nodes!$B$2:$B$91,MATCH(B47,Nodes!$A$2:$A$91,0))</f>
        <v/>
      </c>
    </row>
    <row r="48" ht="15" customHeight="1" s="25">
      <c r="A48" s="45" t="inlineStr">
        <is>
          <t>vorcaro</t>
        </is>
      </c>
      <c r="B48" s="45" t="inlineStr">
        <is>
          <t>luri</t>
        </is>
      </c>
      <c r="C48" s="45" t="inlineStr">
        <is>
          <t>Negociou comprar metade</t>
        </is>
      </c>
      <c r="D48" s="45" t="inlineStr">
        <is>
          <t>Documentado</t>
        </is>
      </c>
      <c r="E48" s="45">
        <f>INDEX(Nodes!$B$2:$B$91,MATCH(A48,Nodes!$A$2:$A$91,0))</f>
        <v/>
      </c>
      <c r="F48" s="45">
        <f>INDEX(Nodes!$B$2:$B$91,MATCH(B48,Nodes!$A$2:$A$91,0))</f>
        <v/>
      </c>
    </row>
    <row r="49" ht="15" customHeight="1" s="25">
      <c r="A49" s="45" t="inlineStr">
        <is>
          <t>vorcaro</t>
        </is>
      </c>
      <c r="B49" s="45" t="inlineStr">
        <is>
          <t>triplex</t>
        </is>
      </c>
      <c r="C49" s="45" t="inlineStr">
        <is>
          <t>Festas no triplex</t>
        </is>
      </c>
      <c r="D49" s="45" t="inlineStr">
        <is>
          <t>Documentado</t>
        </is>
      </c>
      <c r="E49" s="45">
        <f>INDEX(Nodes!$B$2:$B$91,MATCH(A49,Nodes!$A$2:$A$91,0))</f>
        <v/>
      </c>
      <c r="F49" s="45">
        <f>INDEX(Nodes!$B$2:$B$91,MATCH(B49,Nodes!$A$2:$A$91,0))</f>
        <v/>
      </c>
    </row>
    <row r="50" ht="15" customHeight="1" s="25">
      <c r="A50" s="45" t="inlineStr">
        <is>
          <t>vorcaro</t>
        </is>
      </c>
      <c r="B50" s="45" t="inlineStr">
        <is>
          <t>master</t>
        </is>
      </c>
      <c r="C50" s="45" t="inlineStr">
        <is>
          <t>Dono</t>
        </is>
      </c>
      <c r="D50" s="45" t="inlineStr">
        <is>
          <t>Documentado</t>
        </is>
      </c>
      <c r="E50" s="45">
        <f>INDEX(Nodes!$B$2:$B$91,MATCH(A50,Nodes!$A$2:$A$91,0))</f>
        <v/>
      </c>
      <c r="F50" s="45">
        <f>INDEX(Nodes!$B$2:$B$91,MATCH(B50,Nodes!$A$2:$A$91,0))</f>
        <v/>
      </c>
    </row>
    <row r="51" ht="15" customHeight="1" s="25">
      <c r="A51" s="45" t="inlineStr">
        <is>
          <t>vorcaro</t>
        </is>
      </c>
      <c r="B51" s="45" t="inlineStr">
        <is>
          <t>zetel</t>
        </is>
      </c>
      <c r="C51" s="45" t="inlineStr">
        <is>
          <t>Cunhado</t>
        </is>
      </c>
      <c r="D51" s="45" t="inlineStr">
        <is>
          <t>Documentado</t>
        </is>
      </c>
      <c r="E51" s="45">
        <f>INDEX(Nodes!$B$2:$B$91,MATCH(A51,Nodes!$A$2:$A$91,0))</f>
        <v/>
      </c>
      <c r="F51" s="45">
        <f>INDEX(Nodes!$B$2:$B$91,MATCH(B51,Nodes!$A$2:$A$91,0))</f>
        <v/>
      </c>
    </row>
    <row r="52" ht="15" customHeight="1" s="25">
      <c r="A52" s="45" t="inlineStr">
        <is>
          <t>zetel</t>
        </is>
      </c>
      <c r="B52" s="45" t="inlineStr">
        <is>
          <t>aptosp</t>
        </is>
      </c>
      <c r="C52" s="45" t="inlineStr">
        <is>
          <t>Vendeu à WT por R$ 2 mi a menos</t>
        </is>
      </c>
      <c r="D52" s="45" t="inlineStr">
        <is>
          <t>Documentado</t>
        </is>
      </c>
      <c r="E52" s="45">
        <f>INDEX(Nodes!$B$2:$B$91,MATCH(A52,Nodes!$A$2:$A$91,0))</f>
        <v/>
      </c>
      <c r="F52" s="45">
        <f>INDEX(Nodes!$B$2:$B$91,MATCH(B52,Nodes!$A$2:$A$91,0))</f>
        <v/>
      </c>
    </row>
    <row r="53" ht="15" customHeight="1" s="25">
      <c r="A53" s="45" t="inlineStr">
        <is>
          <t>wt</t>
        </is>
      </c>
      <c r="B53" s="45" t="inlineStr">
        <is>
          <t>aptosp</t>
        </is>
      </c>
      <c r="C53" s="45" t="inlineStr">
        <is>
          <t>Compradora</t>
        </is>
      </c>
      <c r="D53" s="45" t="inlineStr">
        <is>
          <t>Documentado</t>
        </is>
      </c>
      <c r="E53" s="45">
        <f>INDEX(Nodes!$B$2:$B$91,MATCH(A53,Nodes!$A$2:$A$91,0))</f>
        <v/>
      </c>
      <c r="F53" s="45">
        <f>INDEX(Nodes!$B$2:$B$91,MATCH(B53,Nodes!$A$2:$A$91,0))</f>
        <v/>
      </c>
    </row>
    <row r="54" ht="15" customHeight="1" s="25">
      <c r="A54" s="45" t="inlineStr">
        <is>
          <t>wt</t>
        </is>
      </c>
      <c r="B54" s="45" t="inlineStr">
        <is>
          <t>angra</t>
        </is>
      </c>
      <c r="C54" s="45" t="inlineStr">
        <is>
          <t>Dona</t>
        </is>
      </c>
      <c r="D54" s="45" t="inlineStr">
        <is>
          <t>Documentado</t>
        </is>
      </c>
      <c r="E54" s="45">
        <f>INDEX(Nodes!$B$2:$B$91,MATCH(A54,Nodes!$A$2:$A$91,0))</f>
        <v/>
      </c>
      <c r="F54" s="45">
        <f>INDEX(Nodes!$B$2:$B$91,MATCH(B54,Nodes!$A$2:$A$91,0))</f>
        <v/>
      </c>
    </row>
    <row r="55" ht="15" customHeight="1" s="25">
      <c r="A55" s="45" t="inlineStr">
        <is>
          <t>angra</t>
        </is>
      </c>
      <c r="B55" s="45" t="inlineStr">
        <is>
          <t>richarlison</t>
        </is>
      </c>
      <c r="C55" s="45" t="inlineStr">
        <is>
          <t>Investiu ~R$ 10 mi e perdeu a casa na Justiça</t>
        </is>
      </c>
      <c r="D55" s="45" t="inlineStr">
        <is>
          <t>Documentado</t>
        </is>
      </c>
      <c r="E55" s="45">
        <f>INDEX(Nodes!$B$2:$B$91,MATCH(A55,Nodes!$A$2:$A$91,0))</f>
        <v/>
      </c>
      <c r="F55" s="45">
        <f>INDEX(Nodes!$B$2:$B$91,MATCH(B55,Nodes!$A$2:$A$91,0))</f>
        <v/>
      </c>
    </row>
    <row r="56" ht="15" customHeight="1" s="25">
      <c r="A56" s="45" t="inlineStr">
        <is>
          <t>angra</t>
        </is>
      </c>
      <c r="B56" s="45" t="inlineStr">
        <is>
          <t>dono</t>
        </is>
      </c>
      <c r="C56" s="45" t="inlineStr">
        <is>
          <t>Antigo dono; ouviu Flávio chamar Willer de sócio</t>
        </is>
      </c>
      <c r="D56" s="45" t="inlineStr">
        <is>
          <t>Documentado</t>
        </is>
      </c>
      <c r="E56" s="45">
        <f>INDEX(Nodes!$B$2:$B$91,MATCH(A56,Nodes!$A$2:$A$91,0))</f>
        <v/>
      </c>
      <c r="F56" s="45">
        <f>INDEX(Nodes!$B$2:$B$91,MATCH(B56,Nodes!$A$2:$A$91,0))</f>
        <v/>
      </c>
    </row>
    <row r="57" ht="15" customHeight="1" s="25">
      <c r="A57" s="45" t="inlineStr">
        <is>
          <t>flavio</t>
        </is>
      </c>
      <c r="B57" s="45" t="inlineStr">
        <is>
          <t>angra</t>
        </is>
      </c>
      <c r="C57" s="45" t="inlineStr">
        <is>
          <t>Aniversário da filha na mansão</t>
        </is>
      </c>
      <c r="D57" s="45" t="inlineStr">
        <is>
          <t>Documentado</t>
        </is>
      </c>
      <c r="E57" s="45">
        <f>INDEX(Nodes!$B$2:$B$91,MATCH(A57,Nodes!$A$2:$A$91,0))</f>
        <v/>
      </c>
      <c r="F57" s="45">
        <f>INDEX(Nodes!$B$2:$B$91,MATCH(B57,Nodes!$A$2:$A$91,0))</f>
        <v/>
      </c>
    </row>
    <row r="58" ht="15" customHeight="1" s="25">
      <c r="A58" s="45" t="inlineStr">
        <is>
          <t>flavio</t>
        </is>
      </c>
      <c r="B58" s="45" t="inlineStr">
        <is>
          <t>aptosp</t>
        </is>
      </c>
      <c r="C58" s="45" t="inlineStr">
        <is>
          <t>Usou na campanha</t>
        </is>
      </c>
      <c r="D58" s="45" t="inlineStr">
        <is>
          <t>Documentado</t>
        </is>
      </c>
      <c r="E58" s="45">
        <f>INDEX(Nodes!$B$2:$B$91,MATCH(A58,Nodes!$A$2:$A$91,0))</f>
        <v/>
      </c>
      <c r="F58" s="45">
        <f>INDEX(Nodes!$B$2:$B$91,MATCH(B58,Nodes!$A$2:$A$91,0))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INDEX(Nodes!$B$2:$B$91,MATCH(A59,Nodes!$A$2:$A$91,0))</f>
        <v/>
      </c>
      <c r="F59" s="45">
        <f>INDEX(Nodes!$B$2:$B$91,MATCH(B59,Nodes!$A$2:$A$91,0))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INDEX(Nodes!$B$2:$B$91,MATCH(A60,Nodes!$A$2:$A$91,0))</f>
        <v/>
      </c>
      <c r="F60" s="45">
        <f>INDEX(Nodes!$B$2:$B$91,MATCH(B60,Nodes!$A$2:$A$91,0))</f>
        <v/>
      </c>
    </row>
    <row r="61" ht="15" customHeight="1" s="25">
      <c r="A61" s="45" t="inlineStr">
        <is>
          <t>ong</t>
        </is>
      </c>
      <c r="B61" s="45" t="inlineStr">
        <is>
          <t>flavio</t>
        </is>
      </c>
      <c r="C61" s="45" t="inlineStr">
        <is>
          <t>Dinheiro do filme sobre o pai</t>
        </is>
      </c>
      <c r="D61" s="45" t="inlineStr">
        <is>
          <t>Alegado ou contestado</t>
        </is>
      </c>
      <c r="E61" s="45">
        <f>INDEX(Nodes!$B$2:$B$91,MATCH(A61,Nodes!$A$2:$A$91,0))</f>
        <v/>
      </c>
      <c r="F61" s="45">
        <f>INDEX(Nodes!$B$2:$B$91,MATCH(B61,Nodes!$A$2:$A$91,0))</f>
        <v/>
      </c>
    </row>
    <row r="62" ht="15" customHeight="1" s="25">
      <c r="A62" s="45" t="inlineStr">
        <is>
          <t>ong</t>
        </is>
      </c>
      <c r="B62" s="45" t="inlineStr">
        <is>
          <t>vorcaro</t>
        </is>
      </c>
      <c r="C62" s="45" t="inlineStr">
        <is>
          <t>Negociação de ~US$ 24 mi</t>
        </is>
      </c>
      <c r="D62" s="45" t="inlineStr">
        <is>
          <t>Alegado ou contestado</t>
        </is>
      </c>
      <c r="E62" s="45">
        <f>INDEX(Nodes!$B$2:$B$91,MATCH(A62,Nodes!$A$2:$A$91,0))</f>
        <v/>
      </c>
      <c r="F62" s="45">
        <f>INDEX(Nodes!$B$2:$B$91,MATCH(B62,Nodes!$A$2:$A$91,0))</f>
        <v/>
      </c>
    </row>
    <row r="63" ht="15" customHeight="1" s="25">
      <c r="A63" s="45" t="inlineStr">
        <is>
          <t>ong</t>
        </is>
      </c>
      <c r="B63" s="45" t="inlineStr">
        <is>
          <t>eletricista</t>
        </is>
      </c>
      <c r="C63" s="45" t="inlineStr">
        <is>
          <t>Tesoureiro de fachada</t>
        </is>
      </c>
      <c r="D63" s="45" t="inlineStr">
        <is>
          <t>Documentado</t>
        </is>
      </c>
      <c r="E63" s="45">
        <f>INDEX(Nodes!$B$2:$B$91,MATCH(A63,Nodes!$A$2:$A$91,0))</f>
        <v/>
      </c>
      <c r="F63" s="45">
        <f>INDEX(Nodes!$B$2:$B$91,MATCH(B63,Nodes!$A$2:$A$91,0))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INDEX(Nodes!$B$2:$B$91,MATCH(A64,Nodes!$A$2:$A$91,0))</f>
        <v/>
      </c>
      <c r="F64" s="45">
        <f>INDEX(Nodes!$B$2:$B$91,MATCH(B64,Nodes!$A$2:$A$91,0))</f>
        <v/>
      </c>
    </row>
    <row r="65" ht="15" customHeight="1" s="25">
      <c r="A65" s="45" t="inlineStr">
        <is>
          <t>triplex</t>
        </is>
      </c>
      <c r="B65" s="45" t="inlineStr">
        <is>
          <t>mulheres</t>
        </is>
      </c>
      <c r="C65" s="45" t="inlineStr">
        <is>
          <t>Mulheres nas festas</t>
        </is>
      </c>
      <c r="D65" s="45" t="inlineStr">
        <is>
          <t>Alegado ou contestado</t>
        </is>
      </c>
      <c r="E65" s="45">
        <f>INDEX(Nodes!$B$2:$B$91,MATCH(A65,Nodes!$A$2:$A$91,0))</f>
        <v/>
      </c>
      <c r="F65" s="45">
        <f>INDEX(Nodes!$B$2:$B$91,MATCH(B65,Nodes!$A$2:$A$91,0))</f>
        <v/>
      </c>
    </row>
    <row r="66" ht="15" customHeight="1" s="25">
      <c r="A66" s="45" t="inlineStr">
        <is>
          <t>luri</t>
        </is>
      </c>
      <c r="B66" s="45" t="inlineStr">
        <is>
          <t>mulheres</t>
        </is>
      </c>
      <c r="C66" s="45" t="inlineStr">
        <is>
          <t>Recrutava</t>
        </is>
      </c>
      <c r="D66" s="45" t="inlineStr">
        <is>
          <t>Alegado ou contestado</t>
        </is>
      </c>
      <c r="E66" s="45">
        <f>INDEX(Nodes!$B$2:$B$91,MATCH(A66,Nodes!$A$2:$A$91,0))</f>
        <v/>
      </c>
      <c r="F66" s="45">
        <f>INDEX(Nodes!$B$2:$B$91,MATCH(B66,Nodes!$A$2:$A$91,0))</f>
        <v/>
      </c>
    </row>
    <row r="67" ht="15" customHeight="1" s="25">
      <c r="A67" s="45" t="inlineStr">
        <is>
          <t>promoter</t>
        </is>
      </c>
      <c r="B67" s="45" t="inlineStr">
        <is>
          <t>mulheres</t>
        </is>
      </c>
      <c r="C67" s="45" t="inlineStr">
        <is>
          <t>Levava as mulheres</t>
        </is>
      </c>
      <c r="D67" s="45" t="inlineStr">
        <is>
          <t>Alegado ou contestado</t>
        </is>
      </c>
      <c r="E67" s="45">
        <f>INDEX(Nodes!$B$2:$B$91,MATCH(A67,Nodes!$A$2:$A$91,0))</f>
        <v/>
      </c>
      <c r="F67" s="45">
        <f>INDEX(Nodes!$B$2:$B$91,MATCH(B67,Nodes!$A$2:$A$91,0))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INDEX(Nodes!$B$2:$B$91,MATCH(A68,Nodes!$A$2:$A$91,0))</f>
        <v/>
      </c>
      <c r="F68" s="45">
        <f>INDEX(Nodes!$B$2:$B$91,MATCH(B68,Nodes!$A$2:$A$91,0))</f>
        <v/>
      </c>
    </row>
    <row r="69" ht="15" customHeight="1" s="25">
      <c r="A69" s="45" t="inlineStr">
        <is>
          <t>mordomo</t>
        </is>
      </c>
      <c r="B69" s="45" t="inlineStr">
        <is>
          <t>triplex</t>
        </is>
      </c>
      <c r="C69" s="45" t="inlineStr">
        <is>
          <t>Trabalhava no triplex</t>
        </is>
      </c>
      <c r="D69" s="45" t="inlineStr">
        <is>
          <t>Documentado</t>
        </is>
      </c>
      <c r="E69" s="45">
        <f>INDEX(Nodes!$B$2:$B$91,MATCH(A69,Nodes!$A$2:$A$91,0))</f>
        <v/>
      </c>
      <c r="F69" s="45">
        <f>INDEX(Nodes!$B$2:$B$91,MATCH(B69,Nodes!$A$2:$A$91,0))</f>
        <v/>
      </c>
    </row>
    <row r="70" ht="15" customHeight="1" s="25">
      <c r="A70" s="45" t="inlineStr">
        <is>
          <t>mordomo</t>
        </is>
      </c>
      <c r="B70" s="45" t="inlineStr">
        <is>
          <t>vorcaro</t>
        </is>
      </c>
      <c r="C70" s="45" t="inlineStr">
        <is>
          <t>Mandou mensagens sobre a festa de fev/2025</t>
        </is>
      </c>
      <c r="D70" s="45" t="inlineStr">
        <is>
          <t>Alegado ou contestado</t>
        </is>
      </c>
      <c r="E70" s="45">
        <f>INDEX(Nodes!$B$2:$B$91,MATCH(A70,Nodes!$A$2:$A$91,0))</f>
        <v/>
      </c>
      <c r="F70" s="45">
        <f>INDEX(Nodes!$B$2:$B$91,MATCH(B70,Nodes!$A$2:$A$91,0))</f>
        <v/>
      </c>
    </row>
    <row r="71" ht="15" customHeight="1" s="25">
      <c r="A71" s="45" t="inlineStr">
        <is>
          <t>mordomo</t>
        </is>
      </c>
      <c r="B71" s="45" t="inlineStr">
        <is>
          <t>nunes</t>
        </is>
      </c>
      <c r="C71" s="45" t="inlineStr">
        <is>
          <t>Relatou “ministro com cinco meninas”</t>
        </is>
      </c>
      <c r="D71" s="45" t="inlineStr">
        <is>
          <t>Alegado ou contestado</t>
        </is>
      </c>
      <c r="E71" s="45">
        <f>INDEX(Nodes!$B$2:$B$91,MATCH(A71,Nodes!$A$2:$A$91,0))</f>
        <v/>
      </c>
      <c r="F71" s="45">
        <f>INDEX(Nodes!$B$2:$B$91,MATCH(B71,Nodes!$A$2:$A$91,0))</f>
        <v/>
      </c>
    </row>
    <row r="72" ht="15" customHeight="1" s="25">
      <c r="A72" s="45" t="inlineStr">
        <is>
          <t>dirjur</t>
        </is>
      </c>
      <c r="B72" s="45" t="inlineStr">
        <is>
          <t>master</t>
        </is>
      </c>
      <c r="C72" s="45" t="inlineStr">
        <is>
          <t>Diretor do banco</t>
        </is>
      </c>
      <c r="D72" s="45" t="inlineStr">
        <is>
          <t>Documentado</t>
        </is>
      </c>
      <c r="E72" s="45">
        <f>INDEX(Nodes!$B$2:$B$91,MATCH(A72,Nodes!$A$2:$A$91,0))</f>
        <v/>
      </c>
      <c r="F72" s="45">
        <f>INDEX(Nodes!$B$2:$B$91,MATCH(B72,Nodes!$A$2:$A$91,0))</f>
        <v/>
      </c>
    </row>
    <row r="73" ht="15" customHeight="1" s="25">
      <c r="A73" s="45" t="inlineStr">
        <is>
          <t>dirjur</t>
        </is>
      </c>
      <c r="B73" s="45" t="inlineStr">
        <is>
          <t>vorcaro</t>
        </is>
      </c>
      <c r="C73" s="45" t="inlineStr">
        <is>
          <t>“Dominado aqui” no dia do voto de desempate</t>
        </is>
      </c>
      <c r="D73" s="45" t="inlineStr">
        <is>
          <t>Alegado ou contestado</t>
        </is>
      </c>
      <c r="E73" s="45">
        <f>INDEX(Nodes!$B$2:$B$91,MATCH(A73,Nodes!$A$2:$A$91,0))</f>
        <v/>
      </c>
      <c r="F73" s="45">
        <f>INDEX(Nodes!$B$2:$B$91,MATCH(B73,Nodes!$A$2:$A$91,0))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INDEX(Nodes!$B$2:$B$91,MATCH(A74,Nodes!$A$2:$A$91,0))</f>
        <v/>
      </c>
      <c r="F74" s="45">
        <f>INDEX(Nodes!$B$2:$B$91,MATCH(B74,Nodes!$A$2:$A$91,0))</f>
        <v/>
      </c>
    </row>
    <row r="75" ht="15" customHeight="1" s="25">
      <c r="A75" s="45" t="inlineStr">
        <is>
          <t>master</t>
        </is>
      </c>
      <c r="B75" s="45" t="inlineStr">
        <is>
          <t>consult</t>
        </is>
      </c>
      <c r="C75" s="45" t="inlineStr">
        <is>
          <t>Pagou R$ 6,6 mi</t>
        </is>
      </c>
      <c r="D75" s="45" t="inlineStr">
        <is>
          <t>Documentado</t>
        </is>
      </c>
      <c r="E75" s="45">
        <f>INDEX(Nodes!$B$2:$B$91,MATCH(A75,Nodes!$A$2:$A$91,0))</f>
        <v/>
      </c>
      <c r="F75" s="45">
        <f>INDEX(Nodes!$B$2:$B$91,MATCH(B75,Nodes!$A$2:$A$91,0))</f>
        <v/>
      </c>
    </row>
    <row r="76" ht="15" customHeight="1" s="25">
      <c r="A76" s="45" t="inlineStr">
        <is>
          <t>consult</t>
        </is>
      </c>
      <c r="B76" s="45" t="inlineStr">
        <is>
          <t>kevin</t>
        </is>
      </c>
      <c r="C76" s="45" t="inlineStr">
        <is>
          <t>Repassou ~R$ 300 mil</t>
        </is>
      </c>
      <c r="D76" s="45" t="inlineStr">
        <is>
          <t>Documentado</t>
        </is>
      </c>
      <c r="E76" s="45">
        <f>INDEX(Nodes!$B$2:$B$91,MATCH(A76,Nodes!$A$2:$A$91,0))</f>
        <v/>
      </c>
      <c r="F76" s="45">
        <f>INDEX(Nodes!$B$2:$B$91,MATCH(B76,Nodes!$A$2:$A$91,0))</f>
        <v/>
      </c>
    </row>
    <row r="77" ht="15" customHeight="1" s="25">
      <c r="A77" s="45" t="inlineStr">
        <is>
          <t>consult</t>
        </is>
      </c>
      <c r="B77" s="45" t="inlineStr">
        <is>
          <t>nunes</t>
        </is>
      </c>
      <c r="C77" s="45" t="inlineStr">
        <is>
          <t>Dono é amigo do ministro</t>
        </is>
      </c>
      <c r="D77" s="45" t="inlineStr">
        <is>
          <t>Documentado</t>
        </is>
      </c>
      <c r="E77" s="45">
        <f>INDEX(Nodes!$B$2:$B$91,MATCH(A77,Nodes!$A$2:$A$91,0))</f>
        <v/>
      </c>
      <c r="F77" s="45">
        <f>INDEX(Nodes!$B$2:$B$91,MATCH(B77,Nodes!$A$2:$A$91,0))</f>
        <v/>
      </c>
    </row>
    <row r="78" ht="15" customHeight="1" s="25">
      <c r="A78" s="45" t="inlineStr">
        <is>
          <t>kevin</t>
        </is>
      </c>
      <c r="B78" s="45" t="inlineStr">
        <is>
          <t>nunes</t>
        </is>
      </c>
      <c r="C78" s="45" t="inlineStr">
        <is>
          <t>Filho</t>
        </is>
      </c>
      <c r="D78" s="45" t="inlineStr">
        <is>
          <t>Documentado</t>
        </is>
      </c>
      <c r="E78" s="45">
        <f>INDEX(Nodes!$B$2:$B$91,MATCH(A78,Nodes!$A$2:$A$91,0))</f>
        <v/>
      </c>
      <c r="F78" s="45">
        <f>INDEX(Nodes!$B$2:$B$91,MATCH(B78,Nodes!$A$2:$A$91,0))</f>
        <v/>
      </c>
    </row>
    <row r="79" ht="15" customHeight="1" s="25">
      <c r="A79" s="45" t="inlineStr">
        <is>
          <t>nunes</t>
        </is>
      </c>
      <c r="B79" s="45" t="inlineStr">
        <is>
          <t>coaf</t>
        </is>
      </c>
      <c r="C79" s="45" t="inlineStr">
        <is>
          <t>Votou a favor de Flávio; provas anuladas</t>
        </is>
      </c>
      <c r="D79" s="45" t="inlineStr">
        <is>
          <t>Documentado</t>
        </is>
      </c>
      <c r="E79" s="45">
        <f>INDEX(Nodes!$B$2:$B$91,MATCH(A79,Nodes!$A$2:$A$91,0))</f>
        <v/>
      </c>
      <c r="F79" s="45">
        <f>INDEX(Nodes!$B$2:$B$91,MATCH(B79,Nodes!$A$2:$A$91,0))</f>
        <v/>
      </c>
    </row>
    <row r="80" ht="15" customHeight="1" s="25">
      <c r="A80" s="45" t="inlineStr">
        <is>
          <t>coaf</t>
        </is>
      </c>
      <c r="B80" s="45" t="inlineStr">
        <is>
          <t>flavio</t>
        </is>
      </c>
      <c r="C80" s="45" t="inlineStr">
        <is>
          <t>Investigação da rachadinha</t>
        </is>
      </c>
      <c r="D80" s="45" t="inlineStr">
        <is>
          <t>Documentado</t>
        </is>
      </c>
      <c r="E80" s="45">
        <f>INDEX(Nodes!$B$2:$B$91,MATCH(A80,Nodes!$A$2:$A$91,0))</f>
        <v/>
      </c>
      <c r="F80" s="45">
        <f>INDEX(Nodes!$B$2:$B$91,MATCH(B80,Nodes!$A$2:$A$91,0))</f>
        <v/>
      </c>
    </row>
    <row r="81" ht="15" customHeight="1" s="25">
      <c r="A81" s="45" t="inlineStr">
        <is>
          <t>coaf</t>
        </is>
      </c>
      <c r="B81" s="45" t="inlineStr">
        <is>
          <t>queiroz</t>
        </is>
      </c>
      <c r="C81" s="45" t="inlineStr">
        <is>
          <t>Operador do esquema</t>
        </is>
      </c>
      <c r="D81" s="45" t="inlineStr">
        <is>
          <t>Documentado</t>
        </is>
      </c>
      <c r="E81" s="45">
        <f>INDEX(Nodes!$B$2:$B$91,MATCH(A81,Nodes!$A$2:$A$91,0))</f>
        <v/>
      </c>
      <c r="F81" s="45">
        <f>INDEX(Nodes!$B$2:$B$91,MATCH(B81,Nodes!$A$2:$A$91,0))</f>
        <v/>
      </c>
    </row>
    <row r="82" ht="15" customHeight="1" s="25">
      <c r="A82" s="45" t="inlineStr">
        <is>
          <t>queiroz</t>
        </is>
      </c>
      <c r="B82" s="45" t="inlineStr">
        <is>
          <t>atibaia</t>
        </is>
      </c>
      <c r="C82" s="45" t="inlineStr">
        <is>
          <t>Achado escondido lá</t>
        </is>
      </c>
      <c r="D82" s="45" t="inlineStr">
        <is>
          <t>Documentado</t>
        </is>
      </c>
      <c r="E82" s="45">
        <f>INDEX(Nodes!$B$2:$B$91,MATCH(A82,Nodes!$A$2:$A$91,0))</f>
        <v/>
      </c>
      <c r="F82" s="45">
        <f>INDEX(Nodes!$B$2:$B$91,MATCH(B82,Nodes!$A$2:$A$91,0))</f>
        <v/>
      </c>
    </row>
    <row r="83" ht="15" customHeight="1" s="25">
      <c r="A83" s="45" t="inlineStr">
        <is>
          <t>wassef</t>
        </is>
      </c>
      <c r="B83" s="45" t="inlineStr">
        <is>
          <t>atibaia</t>
        </is>
      </c>
      <c r="C83" s="45" t="inlineStr">
        <is>
          <t>Casa dele</t>
        </is>
      </c>
      <c r="D83" s="45" t="inlineStr">
        <is>
          <t>Documentado</t>
        </is>
      </c>
      <c r="E83" s="45">
        <f>INDEX(Nodes!$B$2:$B$91,MATCH(A83,Nodes!$A$2:$A$91,0))</f>
        <v/>
      </c>
      <c r="F83" s="45">
        <f>INDEX(Nodes!$B$2:$B$91,MATCH(B83,Nodes!$A$2:$A$91,0))</f>
        <v/>
      </c>
    </row>
    <row r="84" ht="15" customHeight="1" s="25">
      <c r="A84" s="45" t="inlineStr">
        <is>
          <t>jair</t>
        </is>
      </c>
      <c r="B84" s="45" t="inlineStr">
        <is>
          <t>flavio</t>
        </is>
      </c>
      <c r="C84" s="45" t="inlineStr">
        <is>
          <t>Pai; Flávio promete anistia ou indulto</t>
        </is>
      </c>
      <c r="D84" s="45" t="inlineStr">
        <is>
          <t>Documentado</t>
        </is>
      </c>
      <c r="E84" s="45">
        <f>INDEX(Nodes!$B$2:$B$91,MATCH(A84,Nodes!$A$2:$A$91,0))</f>
        <v/>
      </c>
      <c r="F84" s="45">
        <f>INDEX(Nodes!$B$2:$B$91,MATCH(B84,Nodes!$A$2:$A$91,0))</f>
        <v/>
      </c>
    </row>
    <row r="85" ht="15" customHeight="1" s="25">
      <c r="A85" s="45" t="inlineStr">
        <is>
          <t>jair</t>
        </is>
      </c>
      <c r="B85" s="45" t="inlineStr">
        <is>
          <t>wassef</t>
        </is>
      </c>
      <c r="C85" s="45" t="inlineStr">
        <is>
          <t>Advogado da família</t>
        </is>
      </c>
      <c r="D85" s="45" t="inlineStr">
        <is>
          <t>Documentado</t>
        </is>
      </c>
      <c r="E85" s="45">
        <f>INDEX(Nodes!$B$2:$B$91,MATCH(A85,Nodes!$A$2:$A$91,0))</f>
        <v/>
      </c>
      <c r="F85" s="45">
        <f>INDEX(Nodes!$B$2:$B$91,MATCH(B85,Nodes!$A$2:$A$91,0))</f>
        <v/>
      </c>
    </row>
    <row r="86" ht="15" customHeight="1" s="25">
      <c r="A86" s="45" t="inlineStr">
        <is>
          <t>jair</t>
        </is>
      </c>
      <c r="B86" s="45" t="inlineStr">
        <is>
          <t>abin</t>
        </is>
      </c>
      <c r="C86" s="45" t="inlineStr">
        <is>
          <t>Abin trabalhou para defender o filho</t>
        </is>
      </c>
      <c r="D86" s="45" t="inlineStr">
        <is>
          <t>Documentado</t>
        </is>
      </c>
      <c r="E86" s="45">
        <f>INDEX(Nodes!$B$2:$B$91,MATCH(A86,Nodes!$A$2:$A$91,0))</f>
        <v/>
      </c>
      <c r="F86" s="45">
        <f>INDEX(Nodes!$B$2:$B$91,MATCH(B86,Nodes!$A$2:$A$91,0))</f>
        <v/>
      </c>
    </row>
    <row r="87" ht="15" customHeight="1" s="25">
      <c r="A87" s="45" t="inlineStr">
        <is>
          <t>abin</t>
        </is>
      </c>
      <c r="B87" s="45" t="inlineStr">
        <is>
          <t>ramagem</t>
        </is>
      </c>
      <c r="C87" s="45" t="inlineStr">
        <is>
          <t>Chefiada por ele</t>
        </is>
      </c>
      <c r="D87" s="45" t="inlineStr">
        <is>
          <t>Documentado</t>
        </is>
      </c>
      <c r="E87" s="45">
        <f>INDEX(Nodes!$B$2:$B$91,MATCH(A87,Nodes!$A$2:$A$91,0))</f>
        <v/>
      </c>
      <c r="F87" s="45">
        <f>INDEX(Nodes!$B$2:$B$91,MATCH(B87,Nodes!$A$2:$A$91,0))</f>
        <v/>
      </c>
    </row>
    <row r="88" ht="15" customHeight="1" s="25">
      <c r="A88" s="45" t="inlineStr">
        <is>
          <t>abin</t>
        </is>
      </c>
      <c r="B88" s="45" t="inlineStr">
        <is>
          <t>flavio</t>
        </is>
      </c>
      <c r="C88" s="45" t="inlineStr">
        <is>
          <t>Relatórios para “defender FB”</t>
        </is>
      </c>
      <c r="D88" s="45" t="inlineStr">
        <is>
          <t>Documentado</t>
        </is>
      </c>
      <c r="E88" s="45">
        <f>INDEX(Nodes!$B$2:$B$91,MATCH(A88,Nodes!$A$2:$A$91,0))</f>
        <v/>
      </c>
      <c r="F88" s="45">
        <f>INDEX(Nodes!$B$2:$B$91,MATCH(B88,Nodes!$A$2:$A$91,0))</f>
        <v/>
      </c>
    </row>
    <row r="89" ht="15" customHeight="1" s="25">
      <c r="A89" s="45" t="inlineStr">
        <is>
          <t>heleno</t>
        </is>
      </c>
      <c r="B89" s="45" t="inlineStr">
        <is>
          <t>jair</t>
        </is>
      </c>
      <c r="C89" s="45" t="inlineStr">
        <is>
          <t>Reunião no Planalto (2020)</t>
        </is>
      </c>
      <c r="D89" s="45" t="inlineStr">
        <is>
          <t>Documentado</t>
        </is>
      </c>
      <c r="E89" s="45">
        <f>INDEX(Nodes!$B$2:$B$91,MATCH(A89,Nodes!$A$2:$A$91,0))</f>
        <v/>
      </c>
      <c r="F89" s="45">
        <f>INDEX(Nodes!$B$2:$B$91,MATCH(B89,Nodes!$A$2:$A$91,0))</f>
        <v/>
      </c>
    </row>
    <row r="90" ht="15" customHeight="1" s="25">
      <c r="A90" s="45" t="inlineStr">
        <is>
          <t>ramagem</t>
        </is>
      </c>
      <c r="B90" s="45" t="inlineStr">
        <is>
          <t>jair</t>
        </is>
      </c>
      <c r="C90" s="45" t="inlineStr">
        <is>
          <t>Reunião no Planalto (2020)</t>
        </is>
      </c>
      <c r="D90" s="45" t="inlineStr">
        <is>
          <t>Documentado</t>
        </is>
      </c>
      <c r="E90" s="45">
        <f>INDEX(Nodes!$B$2:$B$91,MATCH(A90,Nodes!$A$2:$A$91,0))</f>
        <v/>
      </c>
      <c r="F90" s="45">
        <f>INDEX(Nodes!$B$2:$B$91,MATCH(B90,Nodes!$A$2:$A$91,0))</f>
        <v/>
      </c>
    </row>
    <row r="91" ht="15" customHeight="1" s="25">
      <c r="A91" s="45" t="inlineStr">
        <is>
          <t>ramagem</t>
        </is>
      </c>
      <c r="B91" s="45" t="inlineStr">
        <is>
          <t>flavio</t>
        </is>
      </c>
      <c r="C91" s="45" t="inlineStr">
        <is>
          <t>Diz que volta ao Brasil se Flávio ganhar</t>
        </is>
      </c>
      <c r="D91" s="45" t="inlineStr">
        <is>
          <t>Documentado</t>
        </is>
      </c>
      <c r="E91" s="45">
        <f>INDEX(Nodes!$B$2:$B$91,MATCH(A91,Nodes!$A$2:$A$91,0))</f>
        <v/>
      </c>
      <c r="F91" s="45">
        <f>INDEX(Nodes!$B$2:$B$91,MATCH(B91,Nodes!$A$2:$A$91,0))</f>
        <v/>
      </c>
    </row>
    <row r="92" ht="15" customHeight="1" s="25">
      <c r="A92" s="45" t="inlineStr">
        <is>
          <t>receita</t>
        </is>
      </c>
      <c r="B92" s="45" t="inlineStr">
        <is>
          <t>flavio</t>
        </is>
      </c>
      <c r="C92" s="45" t="inlineStr">
        <is>
          <t>Chefe foi à casa dele</t>
        </is>
      </c>
      <c r="D92" s="45" t="inlineStr">
        <is>
          <t>Documentado</t>
        </is>
      </c>
      <c r="E92" s="45">
        <f>INDEX(Nodes!$B$2:$B$91,MATCH(A92,Nodes!$A$2:$A$91,0))</f>
        <v/>
      </c>
      <c r="F92" s="45">
        <f>INDEX(Nodes!$B$2:$B$91,MATCH(B92,Nodes!$A$2:$A$91,0))</f>
        <v/>
      </c>
    </row>
    <row r="93" ht="15" customHeight="1" s="25">
      <c r="A93" s="45" t="inlineStr">
        <is>
          <t>jair</t>
        </is>
      </c>
      <c r="B93" s="45" t="inlineStr">
        <is>
          <t>receita</t>
        </is>
      </c>
      <c r="C93" s="45" t="inlineStr">
        <is>
          <t>Reunião sobre a Receita</t>
        </is>
      </c>
      <c r="D93" s="45" t="inlineStr">
        <is>
          <t>Documentado</t>
        </is>
      </c>
      <c r="E93" s="45">
        <f>INDEX(Nodes!$B$2:$B$91,MATCH(A93,Nodes!$A$2:$A$91,0))</f>
        <v/>
      </c>
      <c r="F93" s="45">
        <f>INDEX(Nodes!$B$2:$B$91,MATCH(B93,Nodes!$A$2:$A$91,0))</f>
        <v/>
      </c>
    </row>
    <row r="94" ht="15" customHeight="1" s="25">
      <c r="A94" s="45" t="inlineStr">
        <is>
          <t>jair</t>
        </is>
      </c>
      <c r="B94" s="45" t="inlineStr">
        <is>
          <t>pf</t>
        </is>
      </c>
      <c r="C94" s="45" t="inlineStr">
        <is>
          <t>Tentou trocar o comando no Rio</t>
        </is>
      </c>
      <c r="D94" s="45" t="inlineStr">
        <is>
          <t>Documentado</t>
        </is>
      </c>
      <c r="E94" s="45">
        <f>INDEX(Nodes!$B$2:$B$91,MATCH(A94,Nodes!$A$2:$A$91,0))</f>
        <v/>
      </c>
      <c r="F94" s="45">
        <f>INDEX(Nodes!$B$2:$B$91,MATCH(B94,Nodes!$A$2:$A$91,0))</f>
        <v/>
      </c>
    </row>
    <row r="95" ht="15" customHeight="1" s="25">
      <c r="A95" s="45" t="inlineStr">
        <is>
          <t>moro</t>
        </is>
      </c>
      <c r="B95" s="45" t="inlineStr">
        <is>
          <t>jair</t>
        </is>
      </c>
      <c r="C95" s="45" t="inlineStr">
        <is>
          <t>Saiu denunciando interferência na PF</t>
        </is>
      </c>
      <c r="D95" s="45" t="inlineStr">
        <is>
          <t>Documentado</t>
        </is>
      </c>
      <c r="E95" s="45">
        <f>INDEX(Nodes!$B$2:$B$91,MATCH(A95,Nodes!$A$2:$A$91,0))</f>
        <v/>
      </c>
      <c r="F95" s="45">
        <f>INDEX(Nodes!$B$2:$B$91,MATCH(B95,Nodes!$A$2:$A$91,0))</f>
        <v/>
      </c>
    </row>
    <row r="96" ht="15" customHeight="1" s="25">
      <c r="A96" s="45" t="inlineStr">
        <is>
          <t>pf</t>
        </is>
      </c>
      <c r="B96" s="45" t="inlineStr">
        <is>
          <t>willer</t>
        </is>
      </c>
      <c r="C96" s="45" t="inlineStr">
        <is>
          <t>Investiga</t>
        </is>
      </c>
      <c r="D96" s="45" t="inlineStr">
        <is>
          <t>Documentado</t>
        </is>
      </c>
      <c r="E96" s="45">
        <f>INDEX(Nodes!$B$2:$B$91,MATCH(A96,Nodes!$A$2:$A$91,0))</f>
        <v/>
      </c>
      <c r="F96" s="45">
        <f>INDEX(Nodes!$B$2:$B$91,MATCH(B96,Nodes!$A$2:$A$91,0))</f>
        <v/>
      </c>
    </row>
    <row r="97" ht="15" customHeight="1" s="25">
      <c r="A97" s="45" t="inlineStr">
        <is>
          <t>flavio</t>
        </is>
      </c>
      <c r="B97" s="45" t="inlineStr">
        <is>
          <t>pf</t>
        </is>
      </c>
      <c r="C97" s="45" t="inlineStr">
        <is>
          <t>Se eleito, indicaria o diretor</t>
        </is>
      </c>
      <c r="D97" s="45" t="inlineStr">
        <is>
          <t>Alegado ou contestado</t>
        </is>
      </c>
      <c r="E97" s="45">
        <f>INDEX(Nodes!$B$2:$B$91,MATCH(A97,Nodes!$A$2:$A$91,0))</f>
        <v/>
      </c>
      <c r="F97" s="45">
        <f>INDEX(Nodes!$B$2:$B$91,MATCH(B97,Nodes!$A$2:$A$91,0))</f>
        <v/>
      </c>
    </row>
    <row r="98" ht="15" customHeight="1" s="25">
      <c r="A98" s="45" t="inlineStr">
        <is>
          <t>flavio</t>
        </is>
      </c>
      <c r="B98" s="45" t="inlineStr">
        <is>
          <t>pgr</t>
        </is>
      </c>
      <c r="C98" s="45" t="inlineStr">
        <is>
          <t>Se eleito, indicaria o procurador-geral</t>
        </is>
      </c>
      <c r="D98" s="45" t="inlineStr">
        <is>
          <t>Alegado ou contestado</t>
        </is>
      </c>
      <c r="E98" s="45">
        <f>INDEX(Nodes!$B$2:$B$91,MATCH(A98,Nodes!$A$2:$A$91,0))</f>
        <v/>
      </c>
      <c r="F98" s="45">
        <f>INDEX(Nodes!$B$2:$B$91,MATCH(B98,Nodes!$A$2:$A$91,0))</f>
        <v/>
      </c>
    </row>
    <row r="99" ht="15" customHeight="1" s="25">
      <c r="A99" s="45" t="inlineStr">
        <is>
          <t>pgr</t>
        </is>
      </c>
      <c r="B99" s="45" t="inlineStr">
        <is>
          <t>vorcaro</t>
        </is>
      </c>
      <c r="C99" s="45" t="inlineStr">
        <is>
          <t>Decide se denuncia</t>
        </is>
      </c>
      <c r="D99" s="45" t="inlineStr">
        <is>
          <t>Documentado</t>
        </is>
      </c>
      <c r="E99" s="45">
        <f>INDEX(Nodes!$B$2:$B$91,MATCH(A99,Nodes!$A$2:$A$91,0))</f>
        <v/>
      </c>
      <c r="F99" s="45">
        <f>INDEX(Nodes!$B$2:$B$91,MATCH(B99,Nodes!$A$2:$A$91,0))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INDEX(Nodes!$B$2:$B$91,MATCH(A100,Nodes!$A$2:$A$91,0))</f>
        <v/>
      </c>
      <c r="F100" s="45">
        <f>INDEX(Nodes!$B$2:$B$91,MATCH(B100,Nodes!$A$2:$A$91,0))</f>
        <v/>
      </c>
    </row>
    <row r="101" ht="15" customHeight="1" s="25">
      <c r="A101" s="45" t="inlineStr">
        <is>
          <t>willer</t>
        </is>
      </c>
      <c r="B101" s="45" t="inlineStr">
        <is>
          <t>wt</t>
        </is>
      </c>
      <c r="C101" s="45" t="inlineStr">
        <is>
          <t>Empresa dele, segundo o vídeo</t>
        </is>
      </c>
      <c r="D101" s="45" t="inlineStr">
        <is>
          <t>Documentado</t>
        </is>
      </c>
      <c r="E101" s="45">
        <f>INDEX(Nodes!$B$2:$B$91,MATCH(A101,Nodes!$A$2:$A$91,0))</f>
        <v/>
      </c>
      <c r="F101" s="45">
        <f>INDEX(Nodes!$B$2:$B$91,MATCH(B101,Nodes!$A$2:$A$91,0))</f>
        <v/>
      </c>
    </row>
    <row r="102" ht="15" customHeight="1" s="25">
      <c r="A102" s="45" t="inlineStr">
        <is>
          <t>flavio</t>
        </is>
      </c>
      <c r="B102" s="45" t="inlineStr">
        <is>
          <t>escf</t>
        </is>
      </c>
      <c r="C102" s="45" t="inlineStr">
        <is>
          <t>Escritório de advocacia dele</t>
        </is>
      </c>
      <c r="D102" s="45" t="inlineStr">
        <is>
          <t>Documentado</t>
        </is>
      </c>
      <c r="E102" s="45">
        <f>INDEX(Nodes!$B$2:$B$91,MATCH(A102,Nodes!$A$2:$A$91,0))</f>
        <v/>
      </c>
      <c r="F102" s="45">
        <f>INDEX(Nodes!$B$2:$B$91,MATCH(B102,Nodes!$A$2:$A$91,0))</f>
        <v/>
      </c>
    </row>
    <row r="103" ht="15" customHeight="1" s="25">
      <c r="A103" s="45" t="inlineStr">
        <is>
          <t>renan</t>
        </is>
      </c>
      <c r="B103" s="45" t="inlineStr">
        <is>
          <t>willer</t>
        </is>
      </c>
      <c r="C103" s="45" t="inlineStr">
        <is>
          <t>Pediu a quebra de sigilo</t>
        </is>
      </c>
      <c r="D103" s="45" t="inlineStr">
        <is>
          <t>Documentado</t>
        </is>
      </c>
      <c r="E103" s="45">
        <f>INDEX(Nodes!$B$2:$B$91,MATCH(A103,Nodes!$A$2:$A$91,0))</f>
        <v/>
      </c>
      <c r="F103" s="45">
        <f>INDEX(Nodes!$B$2:$B$91,MATCH(B103,Nodes!$A$2:$A$91,0))</f>
        <v/>
      </c>
    </row>
    <row r="104" ht="15" customHeight="1" s="25">
      <c r="A104" s="45" t="inlineStr">
        <is>
          <t>queiroz</t>
        </is>
      </c>
      <c r="B104" s="45" t="inlineStr">
        <is>
          <t>flavio</t>
        </is>
      </c>
      <c r="C104" s="45" t="inlineStr">
        <is>
          <t>Ex-assessor; operador da rachadinha no gabinete dele</t>
        </is>
      </c>
      <c r="D104" s="45" t="inlineStr">
        <is>
          <t>Documentado</t>
        </is>
      </c>
      <c r="E104" s="45">
        <f>INDEX(Nodes!$B$2:$B$91,MATCH(A104,Nodes!$A$2:$A$91,0))</f>
        <v/>
      </c>
      <c r="F104" s="45">
        <f>INDEX(Nodes!$B$2:$B$91,MATCH(B104,Nodes!$A$2:$A$91,0))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INDEX(Nodes!$B$2:$B$91,MATCH(A105,Nodes!$A$2:$A$91,0))</f>
        <v/>
      </c>
      <c r="F105" s="45">
        <f>INDEX(Nodes!$B$2:$B$91,MATCH(B105,Nodes!$A$2:$A$91,0))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INDEX(Nodes!$B$2:$B$91,MATCH(A106,Nodes!$A$2:$A$91,0))</f>
        <v/>
      </c>
      <c r="F106" s="45">
        <f>INDEX(Nodes!$B$2:$B$91,MATCH(B106,Nodes!$A$2:$A$91,0))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INDEX(Nodes!$B$2:$B$91,MATCH(A107,Nodes!$A$2:$A$91,0))</f>
        <v/>
      </c>
      <c r="F107" s="45">
        <f>INDEX(Nodes!$B$2:$B$91,MATCH(B107,Nodes!$A$2:$A$91,0))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INDEX(Nodes!$B$2:$B$91,MATCH(A108,Nodes!$A$2:$A$91,0))</f>
        <v/>
      </c>
      <c r="F108" s="45">
        <f>INDEX(Nodes!$B$2:$B$91,MATCH(B108,Nodes!$A$2:$A$91,0))</f>
        <v/>
      </c>
    </row>
    <row r="109" ht="15" customHeight="1" s="25">
      <c r="A109" s="45" t="inlineStr">
        <is>
          <t>kevin</t>
        </is>
      </c>
      <c r="B109" s="45" t="inlineStr">
        <is>
          <t>triplex</t>
        </is>
      </c>
      <c r="C109" s="45" t="inlineStr">
        <is>
          <t>Segundo a Piauí, ia às festas com o pai</t>
        </is>
      </c>
      <c r="D109" s="45" t="inlineStr">
        <is>
          <t>Alegado ou contestado</t>
        </is>
      </c>
      <c r="E109" s="45">
        <f>INDEX(Nodes!$B$2:$B$91,MATCH(A109,Nodes!$A$2:$A$91,0))</f>
        <v/>
      </c>
      <c r="F109" s="45">
        <f>INDEX(Nodes!$B$2:$B$91,MATCH(B109,Nodes!$A$2:$A$91,0))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INDEX(Nodes!$B$2:$B$91,MATCH(A110,Nodes!$A$2:$A$91,0))</f>
        <v/>
      </c>
      <c r="F110" s="45">
        <f>INDEX(Nodes!$B$2:$B$91,MATCH(B110,Nodes!$A$2:$A$91,0))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INDEX(Nodes!$B$2:$B$91,MATCH(A111,Nodes!$A$2:$A$91,0))</f>
        <v/>
      </c>
      <c r="F111" s="45">
        <f>INDEX(Nodes!$B$2:$B$91,MATCH(B111,Nodes!$A$2:$A$91,0))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INDEX(Nodes!$B$2:$B$91,MATCH(A112,Nodes!$A$2:$A$91,0))</f>
        <v/>
      </c>
      <c r="F112" s="45">
        <f>INDEX(Nodes!$B$2:$B$91,MATCH(B112,Nodes!$A$2:$A$91,0))</f>
        <v/>
      </c>
    </row>
    <row r="113" ht="15" customHeight="1" s="25">
      <c r="A113" s="45" t="inlineStr">
        <is>
          <t>advflavio</t>
        </is>
      </c>
      <c r="B113" s="45" t="inlineStr">
        <is>
          <t>flavio</t>
        </is>
      </c>
      <c r="C113" s="45" t="inlineStr">
        <is>
          <t>Advogadas dele</t>
        </is>
      </c>
      <c r="D113" s="45" t="inlineStr">
        <is>
          <t>Documentado</t>
        </is>
      </c>
      <c r="E113" s="45">
        <f>INDEX(Nodes!$B$2:$B$91,MATCH(A113,Nodes!$A$2:$A$91,0))</f>
        <v/>
      </c>
      <c r="F113" s="45">
        <f>INDEX(Nodes!$B$2:$B$91,MATCH(B113,Nodes!$A$2:$A$91,0))</f>
        <v/>
      </c>
    </row>
    <row r="114" ht="15" customHeight="1" s="25">
      <c r="A114" s="45" t="inlineStr">
        <is>
          <t>ciro</t>
        </is>
      </c>
      <c r="B114" s="45" t="inlineStr">
        <is>
          <t>nunes</t>
        </is>
      </c>
      <c r="C114" s="45" t="inlineStr">
        <is>
          <t>Teria influenciado a escolha para o STF</t>
        </is>
      </c>
      <c r="D114" s="45" t="inlineStr">
        <is>
          <t>Alegado ou contestado</t>
        </is>
      </c>
      <c r="E114" s="45">
        <f>INDEX(Nodes!$B$2:$B$91,MATCH(A114,Nodes!$A$2:$A$91,0))</f>
        <v/>
      </c>
      <c r="F114" s="45">
        <f>INDEX(Nodes!$B$2:$B$91,MATCH(B114,Nodes!$A$2:$A$91,0))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INDEX(Nodes!$B$2:$B$91,MATCH(A115,Nodes!$A$2:$A$91,0))</f>
        <v/>
      </c>
      <c r="F115" s="45">
        <f>INDEX(Nodes!$B$2:$B$91,MATCH(B115,Nodes!$A$2:$A$91,0))</f>
        <v/>
      </c>
    </row>
    <row r="116" ht="15" customHeight="1" s="25">
      <c r="A116" s="45" t="inlineStr">
        <is>
          <t>stf</t>
        </is>
      </c>
      <c r="B116" s="45" t="inlineStr">
        <is>
          <t>nunes</t>
        </is>
      </c>
      <c r="C116" s="45" t="inlineStr">
        <is>
          <t>Ministro</t>
        </is>
      </c>
      <c r="D116" s="45" t="inlineStr">
        <is>
          <t>Documentado</t>
        </is>
      </c>
      <c r="E116" s="45">
        <f>INDEX(Nodes!$B$2:$B$91,MATCH(A116,Nodes!$A$2:$A$91,0))</f>
        <v/>
      </c>
      <c r="F116" s="45">
        <f>INDEX(Nodes!$B$2:$B$91,MATCH(B116,Nodes!$A$2:$A$91,0))</f>
        <v/>
      </c>
    </row>
    <row r="117" ht="15" customHeight="1" s="25">
      <c r="A117" s="45" t="inlineStr">
        <is>
          <t>stf</t>
        </is>
      </c>
      <c r="B117" s="45" t="inlineStr">
        <is>
          <t>lulinha</t>
        </is>
      </c>
      <c r="C117" s="45" t="inlineStr">
        <is>
          <t>3 inquéritos abertos no governo do pai</t>
        </is>
      </c>
      <c r="D117" s="45" t="inlineStr">
        <is>
          <t>Documentado</t>
        </is>
      </c>
      <c r="E117" s="45">
        <f>INDEX(Nodes!$B$2:$B$91,MATCH(A117,Nodes!$A$2:$A$91,0))</f>
        <v/>
      </c>
      <c r="F117" s="45">
        <f>INDEX(Nodes!$B$2:$B$91,MATCH(B117,Nodes!$A$2:$A$91,0))</f>
        <v/>
      </c>
    </row>
    <row r="118" ht="15" customHeight="1" s="25">
      <c r="A118" s="45" t="inlineStr">
        <is>
          <t>stf</t>
        </is>
      </c>
      <c r="B118" s="45" t="inlineStr">
        <is>
          <t>flavio</t>
        </is>
      </c>
      <c r="C118" s="45" t="inlineStr">
        <is>
          <t>Investigado no Supremo pelo dinheiro do filme</t>
        </is>
      </c>
      <c r="D118" s="45" t="inlineStr">
        <is>
          <t>Documentado</t>
        </is>
      </c>
      <c r="E118" s="45">
        <f>INDEX(Nodes!$B$2:$B$91,MATCH(A118,Nodes!$A$2:$A$91,0))</f>
        <v/>
      </c>
      <c r="F118" s="45">
        <f>INDEX(Nodes!$B$2:$B$91,MATCH(B118,Nodes!$A$2:$A$91,0))</f>
        <v/>
      </c>
    </row>
    <row r="119" ht="15" customHeight="1" s="25">
      <c r="A119" s="45" t="inlineStr">
        <is>
          <t>stf</t>
        </is>
      </c>
      <c r="B119" s="45" t="inlineStr">
        <is>
          <t>coaf</t>
        </is>
      </c>
      <c r="C119" s="45" t="inlineStr">
        <is>
          <t>Anulou os relatórios (nov/2021)</t>
        </is>
      </c>
      <c r="D119" s="45" t="inlineStr">
        <is>
          <t>Documentado</t>
        </is>
      </c>
      <c r="E119" s="45">
        <f>INDEX(Nodes!$B$2:$B$91,MATCH(A119,Nodes!$A$2:$A$91,0))</f>
        <v/>
      </c>
      <c r="F119" s="45">
        <f>INDEX(Nodes!$B$2:$B$91,MATCH(B119,Nodes!$A$2:$A$91,0))</f>
        <v/>
      </c>
    </row>
    <row r="120" ht="15" customHeight="1" s="25">
      <c r="A120" s="45" t="inlineStr">
        <is>
          <t>tse</t>
        </is>
      </c>
      <c r="B120" s="45" t="inlineStr">
        <is>
          <t>nunes</t>
        </is>
      </c>
      <c r="C120" s="45" t="inlineStr">
        <is>
          <t>Preside</t>
        </is>
      </c>
      <c r="D120" s="45" t="inlineStr">
        <is>
          <t>Documentado</t>
        </is>
      </c>
      <c r="E120" s="45">
        <f>INDEX(Nodes!$B$2:$B$91,MATCH(A120,Nodes!$A$2:$A$91,0))</f>
        <v/>
      </c>
      <c r="F120" s="45">
        <f>INDEX(Nodes!$B$2:$B$91,MATCH(B120,Nodes!$A$2:$A$91,0))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INDEX(Nodes!$B$2:$B$91,MATCH(A121,Nodes!$A$2:$A$91,0))</f>
        <v/>
      </c>
      <c r="F121" s="45">
        <f>INDEX(Nodes!$B$2:$B$91,MATCH(B121,Nodes!$A$2:$A$91,0))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INDEX(Nodes!$B$2:$B$91,MATCH(A122,Nodes!$A$2:$A$91,0))</f>
        <v/>
      </c>
      <c r="F122" s="45">
        <f>INDEX(Nodes!$B$2:$B$91,MATCH(B122,Nodes!$A$2:$A$91,0))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INDEX(Nodes!$B$2:$B$91,MATCH(A123,Nodes!$A$2:$A$91,0))</f>
        <v/>
      </c>
      <c r="F123" s="45">
        <f>INDEX(Nodes!$B$2:$B$91,MATCH(B123,Nodes!$A$2:$A$91,0))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INDEX(Nodes!$B$2:$B$91,MATCH(A124,Nodes!$A$2:$A$91,0))</f>
        <v/>
      </c>
      <c r="F124" s="45">
        <f>INDEX(Nodes!$B$2:$B$91,MATCH(B124,Nodes!$A$2:$A$91,0))</f>
        <v/>
      </c>
    </row>
    <row r="125">
      <c r="A125" s="45" t="inlineStr">
        <is>
          <t>brb</t>
        </is>
      </c>
      <c r="B125" s="45" t="inlineStr">
        <is>
          <t>mansaobsb</t>
        </is>
      </c>
      <c r="C125" s="45" t="inlineStr">
        <is>
          <t>Financiou a compra</t>
        </is>
      </c>
      <c r="D125" s="45" t="inlineStr">
        <is>
          <t>Documentado</t>
        </is>
      </c>
      <c r="E125" s="45">
        <f>INDEX(Nodes!$B$2:$B$91,MATCH(A125,Nodes!$A$2:$A$91,0))</f>
        <v/>
      </c>
      <c r="F125" s="45">
        <f>INDEX(Nodes!$B$2:$B$91,MATCH(B125,Nodes!$A$2:$A$91,0))</f>
        <v/>
      </c>
    </row>
    <row r="126">
      <c r="A126" s="45" t="inlineStr">
        <is>
          <t>flavio</t>
        </is>
      </c>
      <c r="B126" s="45" t="inlineStr">
        <is>
          <t>mansaobsb</t>
        </is>
      </c>
      <c r="C126" s="45" t="inlineStr">
        <is>
          <t>Comprou em 2021 por R$ 6 mi</t>
        </is>
      </c>
      <c r="D126" s="45" t="inlineStr">
        <is>
          <t>Documentado</t>
        </is>
      </c>
      <c r="E126" s="45">
        <f>INDEX(Nodes!$B$2:$B$91,MATCH(A126,Nodes!$A$2:$A$91,0))</f>
        <v/>
      </c>
      <c r="F126" s="45">
        <f>INDEX(Nodes!$B$2:$B$91,MATCH(B126,Nodes!$A$2:$A$91,0))</f>
        <v/>
      </c>
    </row>
    <row r="127">
      <c r="A127" s="45" t="inlineStr">
        <is>
          <t>zetel</t>
        </is>
      </c>
      <c r="B127" s="45" t="inlineStr">
        <is>
          <t>jair</t>
        </is>
      </c>
      <c r="C127" s="45" t="inlineStr">
        <is>
          <t>Doou R$ 3 mi à campanha de 2022, 2º maior doador depois do PL (CNN/TSE)</t>
        </is>
      </c>
      <c r="D127" s="45" t="inlineStr">
        <is>
          <t>Documentado</t>
        </is>
      </c>
      <c r="E127" s="45">
        <f>INDEX(Nodes!$B$2:$B$91,MATCH(A127,Nodes!$A$2:$A$91,0))</f>
        <v/>
      </c>
      <c r="F127" s="45">
        <f>INDEX(Nodes!$B$2:$B$91,MATCH(B127,Nodes!$A$2:$A$91,0))</f>
        <v/>
      </c>
    </row>
    <row r="128">
      <c r="A128" s="45" t="inlineStr">
        <is>
          <t>zetel</t>
        </is>
      </c>
      <c r="B128" s="45" t="inlineStr">
        <is>
          <t>tarcisio</t>
        </is>
      </c>
      <c r="C128" s="45" t="inlineStr">
        <is>
          <t>Doou R$ 2 mi à campanha de 2022, a maior doação de pessoa física (CNN/TSE)</t>
        </is>
      </c>
      <c r="D128" s="45" t="inlineStr">
        <is>
          <t>Documentado</t>
        </is>
      </c>
      <c r="E128" s="45">
        <f>INDEX(Nodes!$B$2:$B$91,MATCH(A128,Nodes!$A$2:$A$91,0))</f>
        <v/>
      </c>
      <c r="F128" s="45">
        <f>INDEX(Nodes!$B$2:$B$91,MATCH(B128,Nodes!$A$2:$A$91,0))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INDEX(Nodes!$B$2:$B$91,MATCH(A129,Nodes!$A$2:$A$91,0))</f>
        <v/>
      </c>
      <c r="F129" s="45">
        <f>INDEX(Nodes!$B$2:$B$91,MATCH(B129,Nodes!$A$2:$A$91,0))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INDEX(Nodes!$B$2:$B$91,MATCH(A130,Nodes!$A$2:$A$91,0))</f>
        <v/>
      </c>
      <c r="F130" s="45">
        <f>INDEX(Nodes!$B$2:$B$91,MATCH(B130,Nodes!$A$2:$A$91,0))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INDEX(Nodes!$B$2:$B$91,MATCH(A131,Nodes!$A$2:$A$91,0))</f>
        <v/>
      </c>
      <c r="F131" s="45">
        <f>INDEX(Nodes!$B$2:$B$91,MATCH(B131,Nodes!$A$2:$A$91,0))</f>
        <v/>
      </c>
    </row>
    <row r="132">
      <c r="A132" s="45" t="inlineStr">
        <is>
          <t>jair</t>
        </is>
      </c>
      <c r="B132" s="45" t="inlineStr">
        <is>
          <t>mendonca</t>
        </is>
      </c>
      <c r="C132" s="45" t="inlineStr">
        <is>
          <t>Indicou ao STF</t>
        </is>
      </c>
      <c r="D132" s="45" t="inlineStr">
        <is>
          <t>Documentado</t>
        </is>
      </c>
      <c r="E132" s="45">
        <f>INDEX(Nodes!$B$2:$B$91,MATCH(A132,Nodes!$A$2:$A$91,0))</f>
        <v/>
      </c>
      <c r="F132" s="45">
        <f>INDEX(Nodes!$B$2:$B$91,MATCH(B132,Nodes!$A$2:$A$91,0))</f>
        <v/>
      </c>
    </row>
    <row r="133">
      <c r="A133" s="45" t="inlineStr">
        <is>
          <t>cirorocha</t>
        </is>
      </c>
      <c r="B133" s="45" t="inlineStr">
        <is>
          <t>vorcaro</t>
        </is>
      </c>
      <c r="C133" s="45" t="inlineStr">
        <is>
          <t>Advogado dele</t>
        </is>
      </c>
      <c r="D133" s="45" t="inlineStr">
        <is>
          <t>Documentado</t>
        </is>
      </c>
      <c r="E133" s="45">
        <f>INDEX(Nodes!$B$2:$B$91,MATCH(A133,Nodes!$A$2:$A$91,0))</f>
        <v/>
      </c>
      <c r="F133" s="45">
        <f>INDEX(Nodes!$B$2:$B$91,MATCH(B133,Nodes!$A$2:$A$91,0))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INDEX(Nodes!$B$2:$B$91,MATCH(A134,Nodes!$A$2:$A$91,0))</f>
        <v/>
      </c>
      <c r="F134" s="45">
        <f>INDEX(Nodes!$B$2:$B$91,MATCH(B134,Nodes!$A$2:$A$91,0))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INDEX(Nodes!$B$2:$B$91,MATCH(A135,Nodes!$A$2:$A$91,0))</f>
        <v/>
      </c>
      <c r="F135" s="45">
        <f>INDEX(Nodes!$B$2:$B$91,MATCH(B135,Nodes!$A$2:$A$91,0))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INDEX(Nodes!$B$2:$B$91,MATCH(A136,Nodes!$A$2:$A$91,0))</f>
        <v/>
      </c>
      <c r="F136" s="45">
        <f>INDEX(Nodes!$B$2:$B$91,MATCH(B136,Nodes!$A$2:$A$91,0))</f>
        <v/>
      </c>
    </row>
    <row r="137">
      <c r="A137" s="45" t="inlineStr">
        <is>
          <t>bianco</t>
        </is>
      </c>
      <c r="B137" s="45" t="inlineStr">
        <is>
          <t>mendonca</t>
        </is>
      </c>
      <c r="C137" s="45" t="inlineStr">
        <is>
          <t>Convidado para a reunião com Vorcaro (fev/2025)</t>
        </is>
      </c>
      <c r="D137" s="45" t="inlineStr">
        <is>
          <t>Alegado ou contestado</t>
        </is>
      </c>
      <c r="E137" s="45">
        <f>INDEX(Nodes!$B$2:$B$91,MATCH(A137,Nodes!$A$2:$A$91,0))</f>
        <v/>
      </c>
      <c r="F137" s="45">
        <f>INDEX(Nodes!$B$2:$B$91,MATCH(B137,Nodes!$A$2:$A$91,0))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INDEX(Nodes!$B$2:$B$91,MATCH(A138,Nodes!$A$2:$A$91,0))</f>
        <v/>
      </c>
      <c r="F138" s="45">
        <f>INDEX(Nodes!$B$2:$B$91,MATCH(B138,Nodes!$A$2:$A$91,0))</f>
        <v/>
      </c>
    </row>
    <row r="139">
      <c r="A139" s="45" t="inlineStr">
        <is>
          <t>tarcisio</t>
        </is>
      </c>
      <c r="B139" s="45" t="inlineStr">
        <is>
          <t>cezinha</t>
        </is>
      </c>
      <c r="C139" s="45" t="inlineStr">
        <is>
          <t>Financiou 24% da campanha do deputado</t>
        </is>
      </c>
      <c r="D139" s="45" t="inlineStr">
        <is>
          <t>Documentado</t>
        </is>
      </c>
      <c r="E139" s="45">
        <f>INDEX(Nodes!$B$2:$B$91,MATCH(A139,Nodes!$A$2:$A$91,0))</f>
        <v/>
      </c>
      <c r="F139" s="45">
        <f>INDEX(Nodes!$B$2:$B$91,MATCH(B139,Nodes!$A$2:$A$91,0))</f>
        <v/>
      </c>
    </row>
    <row r="140">
      <c r="A140" s="45" t="inlineStr">
        <is>
          <t>mendonca</t>
        </is>
      </c>
      <c r="B140" s="45" t="inlineStr">
        <is>
          <t>iter</t>
        </is>
      </c>
      <c r="C140" s="45" t="inlineStr">
        <is>
          <t>Fundador</t>
        </is>
      </c>
      <c r="D140" s="45" t="inlineStr">
        <is>
          <t>Documentado</t>
        </is>
      </c>
      <c r="E140" s="45">
        <f>INDEX(Nodes!$B$2:$B$91,MATCH(A140,Nodes!$A$2:$A$91,0))</f>
        <v/>
      </c>
      <c r="F140" s="45">
        <f>INDEX(Nodes!$B$2:$B$91,MATCH(B140,Nodes!$A$2:$A$91,0))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INDEX(Nodes!$B$2:$B$91,MATCH(A141,Nodes!$A$2:$A$91,0))</f>
        <v/>
      </c>
      <c r="F141" s="45">
        <f>INDEX(Nodes!$B$2:$B$91,MATCH(B141,Nodes!$A$2:$A$91,0))</f>
        <v/>
      </c>
    </row>
    <row r="142">
      <c r="A142" s="45" t="inlineStr">
        <is>
          <t>mendonca</t>
        </is>
      </c>
      <c r="B142" s="45" t="inlineStr">
        <is>
          <t>master</t>
        </is>
      </c>
      <c r="C142" s="45" t="inlineStr">
        <is>
          <t>Relator do caso Master no STF (sorteado em fev/2026)</t>
        </is>
      </c>
      <c r="D142" s="45" t="inlineStr">
        <is>
          <t>Documentado</t>
        </is>
      </c>
      <c r="E142" s="45">
        <f>INDEX(Nodes!$B$2:$B$91,MATCH(A142,Nodes!$A$2:$A$91,0))</f>
        <v/>
      </c>
      <c r="F142" s="45">
        <f>INDEX(Nodes!$B$2:$B$91,MATCH(B142,Nodes!$A$2:$A$91,0))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INDEX(Nodes!$B$2:$B$91,MATCH(A143,Nodes!$A$2:$A$91,0))</f>
        <v/>
      </c>
      <c r="F143" s="45">
        <f>INDEX(Nodes!$B$2:$B$91,MATCH(B143,Nodes!$A$2:$A$91,0))</f>
        <v/>
      </c>
    </row>
    <row r="144">
      <c r="A144" s="45" t="inlineStr">
        <is>
          <t>mendonca</t>
        </is>
      </c>
      <c r="B144" s="45" t="inlineStr">
        <is>
          <t>careca</t>
        </is>
      </c>
      <c r="C144" s="45" t="inlineStr">
        <is>
          <t>Revogou a prisão do filho dele (09/09/2026)</t>
        </is>
      </c>
      <c r="D144" s="45" t="inlineStr">
        <is>
          <t>Documentado</t>
        </is>
      </c>
      <c r="E144" s="45">
        <f>INDEX(Nodes!$B$2:$B$91,MATCH(A144,Nodes!$A$2:$A$91,0))</f>
        <v/>
      </c>
      <c r="F144" s="45">
        <f>INDEX(Nodes!$B$2:$B$91,MATCH(B144,Nodes!$A$2:$A$91,0))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INDEX(Nodes!$B$2:$B$91,MATCH(A145,Nodes!$A$2:$A$91,0))</f>
        <v/>
      </c>
      <c r="F145" s="45">
        <f>INDEX(Nodes!$B$2:$B$91,MATCH(B145,Nodes!$A$2:$A$91,0))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INDEX(Nodes!$B$2:$B$91,MATCH(A146,Nodes!$A$2:$A$91,0))</f>
        <v/>
      </c>
      <c r="F146" s="45">
        <f>INDEX(Nodes!$B$2:$B$91,MATCH(B146,Nodes!$A$2:$A$91,0))</f>
        <v/>
      </c>
    </row>
    <row r="147">
      <c r="A147" s="45" t="inlineStr">
        <is>
          <t>mendonca</t>
        </is>
      </c>
      <c r="B147" s="45" t="inlineStr">
        <is>
          <t>nunes</t>
        </is>
      </c>
      <c r="C147" s="45" t="inlineStr">
        <is>
          <t>PF: teria poupado Nunes e Toffoli</t>
        </is>
      </c>
      <c r="D147" s="45" t="inlineStr">
        <is>
          <t>Alegado ou contestado</t>
        </is>
      </c>
      <c r="E147" s="45">
        <f>INDEX(Nodes!$B$2:$B$91,MATCH(A147,Nodes!$A$2:$A$91,0))</f>
        <v/>
      </c>
      <c r="F147" s="45">
        <f>INDEX(Nodes!$B$2:$B$91,MATCH(B147,Nodes!$A$2:$A$91,0))</f>
        <v/>
      </c>
    </row>
    <row r="148">
      <c r="A148" s="45" t="inlineStr">
        <is>
          <t>tarcisio</t>
        </is>
      </c>
      <c r="B148" s="45" t="inlineStr">
        <is>
          <t>iter</t>
        </is>
      </c>
      <c r="C148" s="45" t="inlineStr">
        <is>
          <t>Governo de SP contratou o instituto (R$ 1,6 mi, sem licitação)</t>
        </is>
      </c>
      <c r="D148" s="45" t="inlineStr">
        <is>
          <t>Documentado</t>
        </is>
      </c>
      <c r="E148" s="45">
        <f>INDEX(Nodes!$B$2:$B$91,MATCH(A148,Nodes!$A$2:$A$91,0))</f>
        <v/>
      </c>
      <c r="F148" s="45">
        <f>INDEX(Nodes!$B$2:$B$91,MATCH(B148,Nodes!$A$2:$A$91,0))</f>
        <v/>
      </c>
    </row>
    <row r="149">
      <c r="A149" s="45" t="inlineStr">
        <is>
          <t>rnunes</t>
        </is>
      </c>
      <c r="B149" s="45" t="inlineStr">
        <is>
          <t>iter</t>
        </is>
      </c>
      <c r="C149" s="45" t="inlineStr">
        <is>
          <t>Prefeitura de SP contratou o instituto (R$ 380 mil)</t>
        </is>
      </c>
      <c r="D149" s="45" t="inlineStr">
        <is>
          <t>Documentado</t>
        </is>
      </c>
      <c r="E149" s="45">
        <f>INDEX(Nodes!$B$2:$B$91,MATCH(A149,Nodes!$A$2:$A$91,0))</f>
        <v/>
      </c>
      <c r="F149" s="45">
        <f>INDEX(Nodes!$B$2:$B$91,MATCH(B149,Nodes!$A$2:$A$91,0))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INDEX(Nodes!$B$2:$B$91,MATCH(A150,Nodes!$A$2:$A$91,0))</f>
        <v/>
      </c>
      <c r="F150" s="45">
        <f>INDEX(Nodes!$B$2:$B$91,MATCH(B150,Nodes!$A$2:$A$91,0))</f>
        <v/>
      </c>
    </row>
    <row r="151">
      <c r="A151" s="45" t="inlineStr">
        <is>
          <t>castro</t>
        </is>
      </c>
      <c r="B151" s="45" t="inlineStr">
        <is>
          <t>iter</t>
        </is>
      </c>
      <c r="C151" s="45" t="inlineStr">
        <is>
          <t>Governo do RJ contratou o instituto (R$ 518 mil)</t>
        </is>
      </c>
      <c r="D151" s="45" t="inlineStr">
        <is>
          <t>Documentado</t>
        </is>
      </c>
      <c r="E151" s="45">
        <f>INDEX(Nodes!$B$2:$B$91,MATCH(A151,Nodes!$A$2:$A$91,0))</f>
        <v/>
      </c>
      <c r="F151" s="45">
        <f>INDEX(Nodes!$B$2:$B$91,MATCH(B151,Nodes!$A$2:$A$91,0))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INDEX(Nodes!$B$2:$B$91,MATCH(A152,Nodes!$A$2:$A$91,0))</f>
        <v/>
      </c>
      <c r="F152" s="45">
        <f>INDEX(Nodes!$B$2:$B$91,MATCH(B152,Nodes!$A$2:$A$91,0))</f>
        <v/>
      </c>
    </row>
    <row r="153">
      <c r="A153" s="45" t="inlineStr">
        <is>
          <t>vorcaro</t>
        </is>
      </c>
      <c r="B153" s="45" t="inlineStr">
        <is>
          <t>ciro</t>
        </is>
      </c>
      <c r="C153" s="45" t="inlineStr">
        <is>
          <t>PF: pagamentos mensais de R$ 300 mil a 500 mil e viagens pagas, incluindo Courchevel (~R$ 2 mi); ele nega ilicitude</t>
        </is>
      </c>
      <c r="D153" s="45" t="inlineStr">
        <is>
          <t>Alegado ou contestado</t>
        </is>
      </c>
      <c r="E153" s="45">
        <f>INDEX(Nodes!$B$2:$B$91,MATCH(A153,Nodes!$A$2:$A$91,0))</f>
        <v/>
      </c>
      <c r="F153" s="45">
        <f>INDEX(Nodes!$B$2:$B$91,MATCH(B153,Nodes!$A$2:$A$91,0))</f>
        <v/>
      </c>
    </row>
    <row r="154">
      <c r="A154" s="45" t="inlineStr">
        <is>
          <t>ciro</t>
        </is>
      </c>
      <c r="B154" s="45" t="inlineStr">
        <is>
          <t>master</t>
        </is>
      </c>
      <c r="C154" s="45" t="inlineStr">
        <is>
          <t>Autor da “Emenda Master” (garantia do FGC de R$ 250 mil para R$ 1 mi)</t>
        </is>
      </c>
      <c r="D154" s="45" t="inlineStr">
        <is>
          <t>Documentado</t>
        </is>
      </c>
      <c r="E154" s="45">
        <f>INDEX(Nodes!$B$2:$B$91,MATCH(A154,Nodes!$A$2:$A$91,0))</f>
        <v/>
      </c>
      <c r="F154" s="45">
        <f>INDEX(Nodes!$B$2:$B$91,MATCH(B154,Nodes!$A$2:$A$91,0))</f>
        <v/>
      </c>
    </row>
    <row r="155">
      <c r="A155" s="45" t="inlineStr">
        <is>
          <t>pf</t>
        </is>
      </c>
      <c r="B155" s="45" t="inlineStr">
        <is>
          <t>ciro</t>
        </is>
      </c>
      <c r="C155" s="45" t="inlineStr">
        <is>
          <t>Alvo da 5ª fase da Operação Compliance Zero</t>
        </is>
      </c>
      <c r="D155" s="45" t="inlineStr">
        <is>
          <t>Documentado</t>
        </is>
      </c>
      <c r="E155" s="45">
        <f>INDEX(Nodes!$B$2:$B$91,MATCH(A155,Nodes!$A$2:$A$91,0))</f>
        <v/>
      </c>
      <c r="F155" s="45">
        <f>INDEX(Nodes!$B$2:$B$91,MATCH(B155,Nodes!$A$2:$A$91,0))</f>
        <v/>
      </c>
    </row>
    <row r="156">
      <c r="A156" s="45" t="inlineStr">
        <is>
          <t>jair</t>
        </is>
      </c>
      <c r="B156" s="45" t="inlineStr">
        <is>
          <t>faria</t>
        </is>
      </c>
      <c r="C156" s="45" t="inlineStr">
        <is>
          <t>Ex-ministro das Comunicações</t>
        </is>
      </c>
      <c r="D156" s="45" t="inlineStr">
        <is>
          <t>Documentado</t>
        </is>
      </c>
      <c r="E156" s="45">
        <f>INDEX(Nodes!$B$2:$B$91,MATCH(A156,Nodes!$A$2:$A$91,0))</f>
        <v/>
      </c>
      <c r="F156" s="45">
        <f>INDEX(Nodes!$B$2:$B$91,MATCH(B156,Nodes!$A$2:$A$91,0))</f>
        <v/>
      </c>
    </row>
    <row r="157">
      <c r="A157" s="45" t="inlineStr">
        <is>
          <t>faria</t>
        </is>
      </c>
      <c r="B157" s="45" t="inlineStr">
        <is>
          <t>vorcaro</t>
        </is>
      </c>
      <c r="C157" s="45" t="inlineStr">
        <is>
          <t>PF: articulador dele em Brasília; Vorcaro pagou R$ 67,5 mi por projeto eólico de Faria, que defende o valor</t>
        </is>
      </c>
      <c r="D157" s="45" t="inlineStr">
        <is>
          <t>Alegado ou contestado</t>
        </is>
      </c>
      <c r="E157" s="45">
        <f>INDEX(Nodes!$B$2:$B$91,MATCH(A157,Nodes!$A$2:$A$91,0))</f>
        <v/>
      </c>
      <c r="F157" s="45">
        <f>INDEX(Nodes!$B$2:$B$91,MATCH(B157,Nodes!$A$2:$A$91,0))</f>
        <v/>
      </c>
    </row>
    <row r="158">
      <c r="A158" s="45" t="inlineStr">
        <is>
          <t>faria</t>
        </is>
      </c>
      <c r="B158" s="45" t="inlineStr">
        <is>
          <t>moraes</t>
        </is>
      </c>
      <c r="C158" s="45" t="inlineStr">
        <is>
          <t>PF: intermediou contatos entre Vorcaro e Moraes</t>
        </is>
      </c>
      <c r="D158" s="45" t="inlineStr">
        <is>
          <t>Alegado ou contestado</t>
        </is>
      </c>
      <c r="E158" s="45">
        <f>INDEX(Nodes!$B$2:$B$91,MATCH(A158,Nodes!$A$2:$A$91,0))</f>
        <v/>
      </c>
      <c r="F158" s="45">
        <f>INDEX(Nodes!$B$2:$B$91,MATCH(B158,Nodes!$A$2:$A$91,0))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INDEX(Nodes!$B$2:$B$91,MATCH(A159,Nodes!$A$2:$A$91,0))</f>
        <v/>
      </c>
      <c r="F159" s="45">
        <f>INDEX(Nodes!$B$2:$B$91,MATCH(B159,Nodes!$A$2:$A$91,0))</f>
        <v/>
      </c>
    </row>
    <row r="160">
      <c r="A160" s="45" t="inlineStr">
        <is>
          <t>jair</t>
        </is>
      </c>
      <c r="B160" s="45" t="inlineStr">
        <is>
          <t>frias</t>
        </is>
      </c>
      <c r="C160" s="45" t="inlineStr">
        <is>
          <t>Ex-secretário especial de Cultura</t>
        </is>
      </c>
      <c r="D160" s="45" t="inlineStr">
        <is>
          <t>Documentado</t>
        </is>
      </c>
      <c r="E160" s="45">
        <f>INDEX(Nodes!$B$2:$B$91,MATCH(A160,Nodes!$A$2:$A$91,0))</f>
        <v/>
      </c>
      <c r="F160" s="45">
        <f>INDEX(Nodes!$B$2:$B$91,MATCH(B160,Nodes!$A$2:$A$91,0))</f>
        <v/>
      </c>
    </row>
    <row r="161">
      <c r="A161" s="45" t="inlineStr">
        <is>
          <t>frias</t>
        </is>
      </c>
      <c r="B161" s="45" t="inlineStr">
        <is>
          <t>ong</t>
        </is>
      </c>
      <c r="C161" s="45" t="inlineStr">
        <is>
          <t>Produtor-executivo de Dark Horse</t>
        </is>
      </c>
      <c r="D161" s="45" t="inlineStr">
        <is>
          <t>Documentado</t>
        </is>
      </c>
      <c r="E161" s="45">
        <f>INDEX(Nodes!$B$2:$B$91,MATCH(A161,Nodes!$A$2:$A$91,0))</f>
        <v/>
      </c>
      <c r="F161" s="45">
        <f>INDEX(Nodes!$B$2:$B$91,MATCH(B161,Nodes!$A$2:$A$91,0))</f>
        <v/>
      </c>
    </row>
    <row r="162">
      <c r="A162" s="45" t="inlineStr">
        <is>
          <t>frias</t>
        </is>
      </c>
      <c r="B162" s="45" t="inlineStr">
        <is>
          <t>vorcaro</t>
        </is>
      </c>
      <c r="C162" s="45" t="inlineStr">
        <is>
          <t>Áudio agradece o financiamento do filme: “meu irmão”</t>
        </is>
      </c>
      <c r="D162" s="45" t="inlineStr">
        <is>
          <t>Alegado ou contestado</t>
        </is>
      </c>
      <c r="E162" s="45">
        <f>INDEX(Nodes!$B$2:$B$91,MATCH(A162,Nodes!$A$2:$A$91,0))</f>
        <v/>
      </c>
      <c r="F162" s="45">
        <f>INDEX(Nodes!$B$2:$B$91,MATCH(B162,Nodes!$A$2:$A$91,0))</f>
        <v/>
      </c>
    </row>
    <row r="163">
      <c r="A163" s="45" t="inlineStr">
        <is>
          <t>primeu</t>
        </is>
      </c>
      <c r="B163" s="45" t="inlineStr">
        <is>
          <t>marcal</t>
        </is>
      </c>
      <c r="C163" s="45" t="inlineStr">
        <is>
          <t>Pagou voo SP–EUA de R$ 1,17 mi (2025); Marçal confirmou o uso (Valor)</t>
        </is>
      </c>
      <c r="D163" s="45" t="inlineStr">
        <is>
          <t>Documentado</t>
        </is>
      </c>
      <c r="E163" s="45">
        <f>INDEX(Nodes!$B$2:$B$91,MATCH(A163,Nodes!$A$2:$A$91,0))</f>
        <v/>
      </c>
      <c r="F163" s="45">
        <f>INDEX(Nodes!$B$2:$B$91,MATCH(B163,Nodes!$A$2:$A$91,0))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INDEX(Nodes!$B$2:$B$91,MATCH(A164,Nodes!$A$2:$A$91,0))</f>
        <v/>
      </c>
      <c r="F164" s="45">
        <f>INDEX(Nodes!$B$2:$B$91,MATCH(B164,Nodes!$A$2:$A$91,0))</f>
        <v/>
      </c>
    </row>
    <row r="165">
      <c r="A165" s="45" t="inlineStr">
        <is>
          <t>gaspar</t>
        </is>
      </c>
      <c r="B165" s="45" t="inlineStr">
        <is>
          <t>flavio</t>
        </is>
      </c>
      <c r="C165" s="45" t="inlineStr">
        <is>
          <t>Vice na chapa</t>
        </is>
      </c>
      <c r="D165" s="45" t="inlineStr">
        <is>
          <t>Documentado</t>
        </is>
      </c>
      <c r="E165" s="45">
        <f>INDEX(Nodes!$B$2:$B$91,MATCH(A165,Nodes!$A$2:$A$91,0))</f>
        <v/>
      </c>
      <c r="F165" s="45">
        <f>INDEX(Nodes!$B$2:$B$91,MATCH(B165,Nodes!$A$2:$A$91,0))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INDEX(Nodes!$B$2:$B$91,MATCH(A166,Nodes!$A$2:$A$91,0))</f>
        <v/>
      </c>
      <c r="F166" s="45">
        <f>INDEX(Nodes!$B$2:$B$91,MATCH(B166,Nodes!$A$2:$A$91,0))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INDEX(Nodes!$B$2:$B$91,MATCH(A167,Nodes!$A$2:$A$91,0))</f>
        <v/>
      </c>
      <c r="F167" s="45">
        <f>INDEX(Nodes!$B$2:$B$91,MATCH(B167,Nodes!$A$2:$A$91,0))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INDEX(Nodes!$B$2:$B$91,MATCH(A168,Nodes!$A$2:$A$91,0))</f>
        <v/>
      </c>
      <c r="F168" s="45">
        <f>INDEX(Nodes!$B$2:$B$91,MATCH(B168,Nodes!$A$2:$A$91,0))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INDEX(Nodes!$B$2:$B$91,MATCH(A169,Nodes!$A$2:$A$91,0))</f>
        <v/>
      </c>
      <c r="F169" s="45">
        <f>INDEX(Nodes!$B$2:$B$91,MATCH(B169,Nodes!$A$2:$A$91,0))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INDEX(Nodes!$B$2:$B$91,MATCH(A170,Nodes!$A$2:$A$91,0))</f>
        <v/>
      </c>
      <c r="F170" s="45">
        <f>INDEX(Nodes!$B$2:$B$91,MATCH(B170,Nodes!$A$2:$A$91,0))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INDEX(Nodes!$B$2:$B$91,MATCH(A171,Nodes!$A$2:$A$91,0))</f>
        <v/>
      </c>
      <c r="F171" s="45">
        <f>INDEX(Nodes!$B$2:$B$91,MATCH(B171,Nodes!$A$2:$A$91,0))</f>
        <v/>
      </c>
    </row>
    <row r="172">
      <c r="A172" s="45" t="inlineStr">
        <is>
          <t>flavio</t>
        </is>
      </c>
      <c r="B172" s="45" t="inlineStr">
        <is>
          <t>ronald</t>
        </is>
      </c>
      <c r="C172" s="45" t="inlineStr">
        <is>
          <t>Homenageou em 2004</t>
        </is>
      </c>
      <c r="D172" s="45" t="inlineStr">
        <is>
          <t>Documentado</t>
        </is>
      </c>
      <c r="E172" s="45">
        <f>INDEX(Nodes!$B$2:$B$91,MATCH(A172,Nodes!$A$2:$A$91,0))</f>
        <v/>
      </c>
      <c r="F172" s="45">
        <f>INDEX(Nodes!$B$2:$B$91,MATCH(B172,Nodes!$A$2:$A$91,0))</f>
        <v/>
      </c>
    </row>
    <row r="173">
      <c r="A173" s="45" t="inlineStr">
        <is>
          <t>flavio</t>
        </is>
      </c>
      <c r="B173" s="45" t="inlineStr">
        <is>
          <t>orelha</t>
        </is>
      </c>
      <c r="C173" s="45" t="inlineStr">
        <is>
          <t>Homenageou</t>
        </is>
      </c>
      <c r="D173" s="45" t="inlineStr">
        <is>
          <t>Documentado</t>
        </is>
      </c>
      <c r="E173" s="45">
        <f>INDEX(Nodes!$B$2:$B$91,MATCH(A173,Nodes!$A$2:$A$91,0))</f>
        <v/>
      </c>
      <c r="F173" s="45">
        <f>INDEX(Nodes!$B$2:$B$91,MATCH(B173,Nodes!$A$2:$A$91,0))</f>
        <v/>
      </c>
    </row>
    <row r="174">
      <c r="A174" s="45" t="inlineStr">
        <is>
          <t>adriano</t>
        </is>
      </c>
      <c r="B174" s="45" t="inlineStr">
        <is>
          <t>orelha</t>
        </is>
      </c>
      <c r="C174" s="45" t="inlineStr">
        <is>
          <t>Ligados</t>
        </is>
      </c>
      <c r="D174" s="45" t="inlineStr">
        <is>
          <t>Documentado</t>
        </is>
      </c>
      <c r="E174" s="45">
        <f>INDEX(Nodes!$B$2:$B$91,MATCH(A174,Nodes!$A$2:$A$91,0))</f>
        <v/>
      </c>
      <c r="F174" s="45">
        <f>INDEX(Nodes!$B$2:$B$91,MATCH(B174,Nodes!$A$2:$A$91,0))</f>
        <v/>
      </c>
    </row>
    <row r="175">
      <c r="A175" s="45" t="inlineStr">
        <is>
          <t>flavio</t>
        </is>
      </c>
      <c r="B175" s="45" t="inlineStr">
        <is>
          <t>pms16</t>
        </is>
      </c>
      <c r="C175" s="45" t="inlineStr">
        <is>
          <t>Condecorou</t>
        </is>
      </c>
      <c r="D175" s="45" t="inlineStr">
        <is>
          <t>Documentado</t>
        </is>
      </c>
      <c r="E175" s="45">
        <f>INDEX(Nodes!$B$2:$B$91,MATCH(A175,Nodes!$A$2:$A$91,0))</f>
        <v/>
      </c>
      <c r="F175" s="45">
        <f>INDEX(Nodes!$B$2:$B$91,MATCH(B175,Nodes!$A$2:$A$91,0))</f>
        <v/>
      </c>
    </row>
    <row r="176">
      <c r="A176" s="45" t="inlineStr">
        <is>
          <t>carlos</t>
        </is>
      </c>
      <c r="B176" s="45" t="inlineStr">
        <is>
          <t>pms16</t>
        </is>
      </c>
      <c r="C176" s="45" t="inlineStr">
        <is>
          <t>Condecorou</t>
        </is>
      </c>
      <c r="D176" s="45" t="inlineStr">
        <is>
          <t>Documentado</t>
        </is>
      </c>
      <c r="E176" s="45">
        <f>INDEX(Nodes!$B$2:$B$91,MATCH(A176,Nodes!$A$2:$A$91,0))</f>
        <v/>
      </c>
      <c r="F176" s="45">
        <f>INDEX(Nodes!$B$2:$B$91,MATCH(B176,Nodes!$A$2:$A$91,0))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INDEX(Nodes!$B$2:$B$91,MATCH(A177,Nodes!$A$2:$A$91,0))</f>
        <v/>
      </c>
      <c r="F177" s="45">
        <f>INDEX(Nodes!$B$2:$B$91,MATCH(B177,Nodes!$A$2:$A$91,0))</f>
        <v/>
      </c>
    </row>
    <row r="178">
      <c r="A178" s="45" t="inlineStr">
        <is>
          <t>peixe</t>
        </is>
      </c>
      <c r="B178" s="45" t="inlineStr">
        <is>
          <t>flavio</t>
        </is>
      </c>
      <c r="C178" s="45" t="inlineStr">
        <is>
          <t>PF: intermediou a emenda com o gabinete dele (O Globo, Estadão)</t>
        </is>
      </c>
      <c r="D178" s="45" t="inlineStr">
        <is>
          <t>Alegado ou contestado</t>
        </is>
      </c>
      <c r="E178" s="45">
        <f>INDEX(Nodes!$B$2:$B$91,MATCH(A178,Nodes!$A$2:$A$91,0))</f>
        <v/>
      </c>
      <c r="F178" s="45">
        <f>INDEX(Nodes!$B$2:$B$91,MATCH(B178,Nodes!$A$2:$A$91,0))</f>
        <v/>
      </c>
    </row>
    <row r="179">
      <c r="A179" s="45" t="inlineStr">
        <is>
          <t>peixe</t>
        </is>
      </c>
      <c r="B179" s="45" t="inlineStr">
        <is>
          <t>ongbrazao</t>
        </is>
      </c>
      <c r="C179" s="45" t="inlineStr">
        <is>
          <t>Ligado ao esquema dos irmãos Brazão</t>
        </is>
      </c>
      <c r="D179" s="45" t="inlineStr">
        <is>
          <t>Alegado ou contestado</t>
        </is>
      </c>
      <c r="E179" s="45">
        <f>INDEX(Nodes!$B$2:$B$91,MATCH(A179,Nodes!$A$2:$A$91,0))</f>
        <v/>
      </c>
      <c r="F179" s="45">
        <f>INDEX(Nodes!$B$2:$B$91,MATCH(B179,Nodes!$A$2:$A$91,0))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INDEX(Nodes!$B$2:$B$91,MATCH(A180,Nodes!$A$2:$A$91,0))</f>
        <v/>
      </c>
      <c r="F180" s="45">
        <f>INDEX(Nodes!$B$2:$B$91,MATCH(B180,Nodes!$A$2:$A$91,0))</f>
        <v/>
      </c>
    </row>
    <row r="181">
      <c r="A181" s="45" t="inlineStr">
        <is>
          <t>willer</t>
        </is>
      </c>
      <c r="B181" s="45" t="inlineStr">
        <is>
          <t>angra</t>
        </is>
      </c>
      <c r="C181" s="45" t="inlineStr">
        <is>
          <t>Obteve a posse na Justiça na disputa com Richarlison</t>
        </is>
      </c>
      <c r="D181" s="45" t="inlineStr">
        <is>
          <t>Documentado</t>
        </is>
      </c>
      <c r="E181" s="45">
        <f>INDEX(Nodes!$B$2:$B$91,MATCH(A181,Nodes!$A$2:$A$91,0))</f>
        <v/>
      </c>
      <c r="F181" s="45">
        <f>INDEX(Nodes!$B$2:$B$91,MATCH(B181,Nodes!$A$2:$A$91,0))</f>
        <v/>
      </c>
    </row>
    <row r="182">
      <c r="A182" s="45" t="inlineStr">
        <is>
          <t>jair</t>
        </is>
      </c>
      <c r="B182" s="45" t="inlineStr">
        <is>
          <t>angra</t>
        </is>
      </c>
      <c r="C182" s="45" t="inlineStr">
        <is>
          <t>Governo dele liberou em um dia a transferência do imóvel (ICL)</t>
        </is>
      </c>
      <c r="D182" s="45" t="inlineStr">
        <is>
          <t>Alegado ou contestado</t>
        </is>
      </c>
      <c r="E182" s="45">
        <f>INDEX(Nodes!$B$2:$B$91,MATCH(A182,Nodes!$A$2:$A$91,0))</f>
        <v/>
      </c>
      <c r="F182" s="45">
        <f>INDEX(Nodes!$B$2:$B$91,MATCH(B182,Nodes!$A$2:$A$91,0))</f>
        <v/>
      </c>
    </row>
    <row r="183">
      <c r="A183" s="45" t="inlineStr">
        <is>
          <t>willer</t>
        </is>
      </c>
      <c r="B183" s="45" t="inlineStr">
        <is>
          <t>cathedral</t>
        </is>
      </c>
      <c r="C183" s="45" t="inlineStr">
        <is>
          <t>Criou em jan/2023; sócio com Jorge Barbosa Dias</t>
        </is>
      </c>
      <c r="D183" s="45" t="inlineStr">
        <is>
          <t>Documentado</t>
        </is>
      </c>
      <c r="E183" s="45">
        <f>INDEX(Nodes!$B$2:$B$91,MATCH(A183,Nodes!$A$2:$A$91,0))</f>
        <v/>
      </c>
      <c r="F183" s="45">
        <f>INDEX(Nodes!$B$2:$B$91,MATCH(B183,Nodes!$A$2:$A$91,0))</f>
        <v/>
      </c>
    </row>
    <row r="184">
      <c r="A184" s="45" t="inlineStr">
        <is>
          <t>cathedral</t>
        </is>
      </c>
      <c r="B184" s="45" t="inlineStr">
        <is>
          <t>bestbet</t>
        </is>
      </c>
      <c r="C184" s="45" t="inlineStr">
        <is>
          <t>Única acionista da Rede Loto (nome fantasia Best Bet)</t>
        </is>
      </c>
      <c r="D184" s="45" t="inlineStr">
        <is>
          <t>Documentado</t>
        </is>
      </c>
      <c r="E184" s="45">
        <f>INDEX(Nodes!$B$2:$B$91,MATCH(A184,Nodes!$A$2:$A$91,0))</f>
        <v/>
      </c>
      <c r="F184" s="45">
        <f>INDEX(Nodes!$B$2:$B$91,MATCH(B184,Nodes!$A$2:$A$91,0))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INDEX(Nodes!$B$2:$B$91,MATCH(A185,Nodes!$A$2:$A$91,0))</f>
        <v/>
      </c>
      <c r="F185" s="45">
        <f>INDEX(Nodes!$B$2:$B$91,MATCH(B185,Nodes!$A$2:$A$91,0))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INDEX(Nodes!$B$2:$B$91,MATCH(A186,Nodes!$A$2:$A$91,0))</f>
        <v/>
      </c>
      <c r="F186" s="45">
        <f>INDEX(Nodes!$B$2:$B$91,MATCH(B186,Nodes!$A$2:$A$91,0))</f>
        <v/>
      </c>
    </row>
    <row r="187">
      <c r="A187" s="45" t="inlineStr">
        <is>
          <t>loterj</t>
        </is>
      </c>
      <c r="B187" s="45" t="inlineStr">
        <is>
          <t>bestbet</t>
        </is>
      </c>
      <c r="C187" s="45" t="inlineStr">
        <is>
          <t>Licença de mai/2023</t>
        </is>
      </c>
      <c r="D187" s="45" t="inlineStr">
        <is>
          <t>Documentado</t>
        </is>
      </c>
      <c r="E187" s="45">
        <f>INDEX(Nodes!$B$2:$B$91,MATCH(A187,Nodes!$A$2:$A$91,0))</f>
        <v/>
      </c>
      <c r="F187" s="45">
        <f>INDEX(Nodes!$B$2:$B$91,MATCH(B187,Nodes!$A$2:$A$91,0))</f>
        <v/>
      </c>
    </row>
    <row r="188">
      <c r="A188" s="45" t="inlineStr">
        <is>
          <t>cancado</t>
        </is>
      </c>
      <c r="B188" s="45" t="inlineStr">
        <is>
          <t>bestbet</t>
        </is>
      </c>
      <c r="C188" s="45" t="inlineStr">
        <is>
          <t>Assinou a licença como presidente da Loterj</t>
        </is>
      </c>
      <c r="D188" s="45" t="inlineStr">
        <is>
          <t>Documentado</t>
        </is>
      </c>
      <c r="E188" s="45">
        <f>INDEX(Nodes!$B$2:$B$91,MATCH(A188,Nodes!$A$2:$A$91,0))</f>
        <v/>
      </c>
      <c r="F188" s="45">
        <f>INDEX(Nodes!$B$2:$B$91,MATCH(B188,Nodes!$A$2:$A$91,0))</f>
        <v/>
      </c>
    </row>
    <row r="189">
      <c r="A189" s="45" t="inlineStr">
        <is>
          <t>flavio</t>
        </is>
      </c>
      <c r="B189" s="45" t="inlineStr">
        <is>
          <t>cancado</t>
        </is>
      </c>
      <c r="C189" s="45" t="inlineStr">
        <is>
          <t>Teria indicado à presidência da Loterj (Folha)</t>
        </is>
      </c>
      <c r="D189" s="45" t="inlineStr">
        <is>
          <t>Alegado ou contestado</t>
        </is>
      </c>
      <c r="E189" s="45">
        <f>INDEX(Nodes!$B$2:$B$91,MATCH(A189,Nodes!$A$2:$A$91,0))</f>
        <v/>
      </c>
      <c r="F189" s="45">
        <f>INDEX(Nodes!$B$2:$B$91,MATCH(B189,Nodes!$A$2:$A$91,0))</f>
        <v/>
      </c>
    </row>
    <row r="190">
      <c r="A190" s="45" t="inlineStr">
        <is>
          <t>castro</t>
        </is>
      </c>
      <c r="B190" s="45" t="inlineStr">
        <is>
          <t>loterj</t>
        </is>
      </c>
      <c r="C190" s="45" t="inlineStr">
        <is>
          <t>Loteria do governo dele; contratos de 2023</t>
        </is>
      </c>
      <c r="D190" s="45" t="inlineStr">
        <is>
          <t>Documentado</t>
        </is>
      </c>
      <c r="E190" s="45">
        <f>INDEX(Nodes!$B$2:$B$91,MATCH(A190,Nodes!$A$2:$A$91,0))</f>
        <v/>
      </c>
      <c r="F190" s="45">
        <f>INDEX(Nodes!$B$2:$B$91,MATCH(B190,Nodes!$A$2:$A$91,0))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INDEX(Nodes!$B$2:$B$91,MATCH(A191,Nodes!$A$2:$A$91,0))</f>
        <v/>
      </c>
      <c r="F191" s="45">
        <f>INDEX(Nodes!$B$2:$B$91,MATCH(B191,Nodes!$A$2:$A$91,0))</f>
        <v/>
      </c>
    </row>
    <row r="192">
      <c r="A192" s="45" t="inlineStr">
        <is>
          <t>willer</t>
        </is>
      </c>
      <c r="B192" s="45" t="inlineStr">
        <is>
          <t>riopag</t>
        </is>
      </c>
      <c r="C192" s="45" t="inlineStr">
        <is>
          <t>E-mail achado pela PF: se apresentou como sócio; antes negava, depois admitiu participação indireta (O Globo)</t>
        </is>
      </c>
      <c r="D192" s="45" t="inlineStr">
        <is>
          <t>Documentado</t>
        </is>
      </c>
      <c r="E192" s="45">
        <f>INDEX(Nodes!$B$2:$B$91,MATCH(A192,Nodes!$A$2:$A$91,0))</f>
        <v/>
      </c>
      <c r="F192" s="45">
        <f>INDEX(Nodes!$B$2:$B$91,MATCH(B192,Nodes!$A$2:$A$91,0))</f>
        <v/>
      </c>
    </row>
    <row r="193">
      <c r="A193" s="45" t="inlineStr">
        <is>
          <t>loterj</t>
        </is>
      </c>
      <c r="B193" s="45" t="inlineStr">
        <is>
          <t>riopag</t>
        </is>
      </c>
      <c r="C193" s="45" t="inlineStr">
        <is>
          <t>Contratou em 2023; o estado rescindiu e cobra ~R$ 4 mi, a empresa contesta</t>
        </is>
      </c>
      <c r="D193" s="45" t="inlineStr">
        <is>
          <t>Documentado</t>
        </is>
      </c>
      <c r="E193" s="45">
        <f>INDEX(Nodes!$B$2:$B$91,MATCH(A193,Nodes!$A$2:$A$91,0))</f>
        <v/>
      </c>
      <c r="F193" s="45">
        <f>INDEX(Nodes!$B$2:$B$91,MATCH(B193,Nodes!$A$2:$A$91,0))</f>
        <v/>
      </c>
    </row>
    <row r="194">
      <c r="A194" s="45" t="inlineStr">
        <is>
          <t>willer</t>
        </is>
      </c>
      <c r="B194" s="45" t="inlineStr">
        <is>
          <t>hangar</t>
        </is>
      </c>
      <c r="C194" s="45" t="inlineStr">
        <is>
          <t>Ocupados por duas empresas de aviação dele</t>
        </is>
      </c>
      <c r="D194" s="45" t="inlineStr">
        <is>
          <t>Documentado</t>
        </is>
      </c>
      <c r="E194" s="45">
        <f>INDEX(Nodes!$B$2:$B$91,MATCH(A194,Nodes!$A$2:$A$91,0))</f>
        <v/>
      </c>
      <c r="F194" s="45">
        <f>INDEX(Nodes!$B$2:$B$91,MATCH(B194,Nodes!$A$2:$A$91,0))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INDEX(Nodes!$B$2:$B$91,MATCH(A195,Nodes!$A$2:$A$91,0))</f>
        <v/>
      </c>
      <c r="F195" s="45">
        <f>INDEX(Nodes!$B$2:$B$91,MATCH(B195,Nodes!$A$2:$A$91,0))</f>
        <v/>
      </c>
    </row>
    <row r="196">
      <c r="A196" s="45" t="inlineStr">
        <is>
          <t>pf</t>
        </is>
      </c>
      <c r="B196" s="45" t="inlineStr">
        <is>
          <t>weverton</t>
        </is>
      </c>
      <c r="C196" s="45" t="inlineStr">
        <is>
          <t>Operação Sem Desconto (04/08/2026), autorizada por Mendonça</t>
        </is>
      </c>
      <c r="D196" s="45" t="inlineStr">
        <is>
          <t>Documentado</t>
        </is>
      </c>
      <c r="E196" s="45">
        <f>INDEX(Nodes!$B$2:$B$91,MATCH(A196,Nodes!$A$2:$A$91,0))</f>
        <v/>
      </c>
      <c r="F196" s="45">
        <f>INDEX(Nodes!$B$2:$B$91,MATCH(B196,Nodes!$A$2:$A$91,0))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INDEX(Nodes!$B$2:$B$91,MATCH(A197,Nodes!$A$2:$A$91,0))</f>
        <v/>
      </c>
      <c r="F197" s="45">
        <f>INDEX(Nodes!$B$2:$B$91,MATCH(B197,Nodes!$A$2:$A$91,0))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INDEX(Nodes!$B$2:$B$91,MATCH(A198,Nodes!$A$2:$A$91,0))</f>
        <v/>
      </c>
      <c r="F198" s="45">
        <f>INDEX(Nodes!$B$2:$B$91,MATCH(B198,Nodes!$A$2:$A$91,0))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s="24"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2026-10-22T15:33:47Z</dcterms:modified>
  <cp:revision>0</cp:revision>
</cp:coreProperties>
</file>