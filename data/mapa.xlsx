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o" sheetId="1" state="visible" r:id="rId3"/>
    <sheet name="Perfis" sheetId="2" state="visible" r:id="rId4"/>
    <sheet name="Nodes" sheetId="3" state="visible" r:id="rId5"/>
    <sheet name="Edges" sheetId="4" state="visible" r:id="rId6"/>
    <sheet name="Notes" sheetId="5" state="visible" r:id="rId7"/>
  </sheets>
  <definedNames>
    <definedName function="false" hidden="true" localSheetId="3" name="_xlnm._FilterDatabase" vbProcedure="false">Edges!$A$1:$F$120</definedName>
    <definedName function="false" hidden="true" localSheetId="2" name="_xlnm._FilterDatabase" vbProcedure="false">Nodes!$A$1:$F$58</definedName>
    <definedName function="false" hidden="true" localSheetId="1" name="_xlnm._FilterDatabase" vbProcedure="false">Perfis!$A$1:$P$36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<sst xmlns="http://schemas.openxmlformats.org/spreadsheetml/2006/main" count="2782" uniqueCount="1127">
  <si>
    <t xml:space="preserve">Mapa de envolvidos: situação jurídica por estágio</t>
  </si>
  <si>
    <t xml:space="preserve">Pesquisa em fontes públicas, atualizada em 26/10/2026 (revisão pós-2º turno; revisão 3, com o acervo a verdade., em 21/10/2026). Estágio ≠ culpa: só os "Condenado" têm decisão condenatória.</t>
  </si>
  <si>
    <t xml:space="preserve">Estágio</t>
  </si>
  <si>
    <t xml:space="preserve">Pessoas</t>
  </si>
  <si>
    <t xml:space="preserve">Quem</t>
  </si>
  <si>
    <t xml:space="preserve">Condenado</t>
  </si>
  <si>
    <t xml:space="preserve">Jair Messias Bolsonaro; Alexandre Ramagem; Augusto Heleno</t>
  </si>
  <si>
    <t xml:space="preserve">Preso, sem condenação</t>
  </si>
  <si>
    <t xml:space="preserve">Antônio Carlos Camilo Antunes; Alexandre Caetano dos Reis; Daniel Vorcaro; Fabiano Campos Zettel</t>
  </si>
  <si>
    <t xml:space="preserve">Investigado / alvo (sem denúncia)</t>
  </si>
  <si>
    <t xml:space="preserve">Fábio Luís Lula da Silva; Roberta Moreira Luchsinger; Willer Tomaz; Flávio Bolsonaro; Carlos Bolsonaro; Frederick Wassef; Ciro Nogueira; Mario Frias; Weverton Rocha</t>
  </si>
  <si>
    <t xml:space="preserve">Citado, sem acusação</t>
  </si>
  <si>
    <t xml:space="preserve">Letícia Caetano dos Reis; Lídia Maria Figueiredo Mazelli; Renan Calheiros; Fabrício José Carlos de Queiroz; Richarlison; Kassio Nunes Marques; Kevin Marques; Sergio Fernando Moro; André Mendonça; Fábio Faria; Alfredo Gaspar</t>
  </si>
  <si>
    <t xml:space="preserve">Não pesquisado</t>
  </si>
  <si>
    <t xml:space="preserve">Mulher e filhas de Flávio; advogadas de Flávio; diretor jurídico; promoter; mordomo; mulheres das festas; eletricista; Antônio Marcos da Silva (sem fonte pública confirmada)</t>
  </si>
  <si>
    <t xml:space="preserve">Total</t>
  </si>
  <si>
    <t xml:space="preserve">Notas de método</t>
  </si>
  <si>
    <t xml:space="preserve">• Pessoas privadas, menores e não nomeadas (família de Flávio, mulheres das festas, promoter, mordomo, eletricista, advogadas, diretor jurídico) não foram pesquisadas.</t>
  </si>
  <si>
    <t xml:space="preserve">• Localização é só cidade/UF noticiada, sem endereço residencial. Vivo/morto reflete as notícias mais recentes que achei; não encontrei registro de morte de ninguém.</t>
  </si>
  <si>
    <t xml:space="preserve">• "Milícia": só aparece vínculo apurado no caso Queiroz (transferências de Adriano da Nóbrega). Nenhuma fonte acusa Queiroz de integrar milícia.</t>
  </si>
  <si>
    <t xml:space="preserve">• Vários detalhes de 2026 vêm de manchetes ou de reportagens sem confirmação cruzada; marquei como "não confirmado" onde não consegui abrir a fonte.</t>
  </si>
  <si>
    <t xml:space="preserve">• Contexto eleitoral (revisão 2): 1º turno em 04/10/2026; Flávio (47,03%) e Lula (45,16%) vão ao 2º turno em 25/10. Moro foi eleito governador do PR e Carlos, senador por SC; Renan perdeu a reeleição.</t>
  </si>
  <si>
    <t xml:space="preserve">• Contexto eleitoral (revisão pós-2º turno, 26/10/2026): Lula foi reeleito em 25/10/2026 com 51,79% dos votos válidos (64.256.232) contra 48,21% de Flávio Bolsonaro (59.826.041), segundo o TSE. Flávio disse que não reconhece o resultado e que vai pedir a anulação, por causa da prorrogação do horário de votação determinada pelo ministro Zanin (STF); o presidente do TSE disse que a decisão não alterou o resultado. Ciro Nogueira não se reelegeu senador (04/10); Mario Frias foi reeleito deputado federal (04/10).</t>
  </si>
  <si>
    <t xml:space="preserve">• Abas Nodes, Edges e Notes originais ficaram intactas.</t>
  </si>
  <si>
    <t xml:space="preserve">Id</t>
  </si>
  <si>
    <t xml:space="preserve">Nome</t>
  </si>
  <si>
    <t xml:space="preserve">Grupo</t>
  </si>
  <si>
    <t xml:space="preserve">Quem é / histórico</t>
  </si>
  <si>
    <t xml:space="preserve">Onde atua ou vive (nível cidade/UF)</t>
  </si>
  <si>
    <t xml:space="preserve">Vivo ou morto</t>
  </si>
  <si>
    <t xml:space="preserve">Situação jurídica</t>
  </si>
  <si>
    <t xml:space="preserve">Milícia?</t>
  </si>
  <si>
    <t xml:space="preserve">Divergências com a planilha / ressalvas</t>
  </si>
  <si>
    <t xml:space="preserve">Fontes</t>
  </si>
  <si>
    <t xml:space="preserve">Checado em</t>
  </si>
  <si>
    <t xml:space="preserve">Mudou nesta revisão</t>
  </si>
  <si>
    <t xml:space="preserve">Foto (arquivo)</t>
  </si>
  <si>
    <t xml:space="preserve">Crédito da foto</t>
  </si>
  <si>
    <t xml:space="preserve">Link da fonte da foto</t>
  </si>
  <si>
    <t xml:space="preserve">careca</t>
  </si>
  <si>
    <t xml:space="preserve">Antônio Carlos Camilo Antunes ("Careca do INSS")</t>
  </si>
  <si>
    <t xml:space="preserve">Esquema do INSS</t>
  </si>
  <si>
    <t xml:space="preserve">Lobista. Declara-se gerente (renda declarada ~R$ 24,5 mil/mês), mas relatório o aponta como sócio de 22 empresas; pessoas e empresas ligadas a ele receberam ~R$ 53,6 mi. PF diz que mantinha offshore nas Ilhas Virgens Britânicas. Tinha 61 anos em jan/2026. O filho, Romeu, preso em dez/2025, foi solto por Mendonça em 09/09/2026 (tornozeleira, passaporte apreendido, sem sair de Brasília).</t>
  </si>
  <si>
    <t xml:space="preserve">Complexo da Papuda, Brasília (DF), ala de vulneráveis (Bloco V) desde jan/2026</t>
  </si>
  <si>
    <t xml:space="preserve">Vivo (preso; confirmado em 09/09/2026)</t>
  </si>
  <si>
    <t xml:space="preserve">Preso desde 12/09/2025 (STF; Operação Sem Desconto; relator Mendonça), hoje na Papuda. Em jan/2026 Mendonça negou pedido de liberdade (decisão sigilosa), vendo risco de reiteração e de atrapalhar a investigação. Segue preso em set/2026. Em 2026 preparava uma proposta de delação, sem notícia de aceite. Nas fontes não há condenação nem denúncia.</t>
  </si>
  <si>
    <t xml:space="preserve">Nada nas fontes.</t>
  </si>
  <si>
    <t xml:space="preserve">—</t>
  </si>
  <si>
    <t xml:space="preserve">CNN Brasil 12/09/2025 https://www.cnnbrasil.com.br/politica/quem-e-o-careca-do-inss-preso-em-operacao-da-pf-nesta-sexta-12/ | Delação (fev/2026) https://portaldeprefeitura.com.br/bastidores-da-politica/policia-federal/careca-do-inss-prepara-proposta-de-delacao-premiada-lulinha/615241/ | Gazeta do Povo https://www.gazetadopovo.com.br/republica/mendonca-mantem-prisao-preventiva-do-careca-do-inss/ | Rondônia ao Vivo 09/09/2026 https://www.rondoniaovivo.com/noticia/geral/2026/09/09/stf-mendonca-manda-soltar-filho-do-careca-do-inss.html | Metrópoles https://www.metropoles.com/colunas/manoela-alcantara/careca-do-inss-e-transferido-para-ala-de-vulneraveis-da-papuda | Revogação da prisão do filho do Careca do INSS (iclnoticias.com.br) https://iclnoticias.com.br/andre-mendonca-revoga-prisao-do-filho-do-careca/ | Endereço e contabilidade compartilhados em Brasília (iclnoticias.com.br) https://iclnoticias.com.br/empresas-de-flavio-bolsonaro-e-careca-do-inss/</t>
  </si>
  <si>
    <t xml:space="preserve">20/10/2026</t>
  </si>
  <si>
    <t xml:space="preserve">Confirmado preso em 09/09/2026; local, idade e decisão de jan/2026 adicionados. 21/10/2026: importado do acervo a verdade. (bolsomaster.site).</t>
  </si>
  <si>
    <t xml:space="preserve">careca.jpg</t>
  </si>
  <si>
    <t xml:space="preserve">Edilson Rodrigues/Agência Senado · CC BY-SA 4.0</t>
  </si>
  <si>
    <t xml:space="preserve">https://commons.wikimedia.org/wiki/File:CPMI_-_INSS_-_Comissão_Parlamentar_Mista_de_Inquérito_do_INSS_-_2025_(54811232041)_(cropped).jpg</t>
  </si>
  <si>
    <t xml:space="preserve">contador</t>
  </si>
  <si>
    <t xml:space="preserve">Alexandre Caetano dos Reis</t>
  </si>
  <si>
    <t xml:space="preserve">Contador, dono da Voga Serviços Contábeis; cuida também da contabilidade do escritório de advocacia de Flávio. Segundo reportagem, era sócio do Careca em offshore nas Ilhas Virgens Britânicas.</t>
  </si>
  <si>
    <t xml:space="preserve">Brasília/Águas Claras (DF) – escritório; hoje preso (Papuda, segundo Bahia Notícias)</t>
  </si>
  <si>
    <t xml:space="preserve">Vivo (preso)</t>
  </si>
  <si>
    <t xml:space="preserve">Preso em dez/2025 em desdobramento do caso INSS. Willer Tomaz tem procuração nos autos para defendê-lo. Sem condenação nas fontes.</t>
  </si>
  <si>
    <t xml:space="preserve">Resposta do citado: não localizada nas fontes consultadas (checagem de 23/10/2026). Pedidos de correção ou resposta: ver “Sobre este mapa”.</t>
  </si>
  <si>
    <t xml:space="preserve">Bahia Notícias https://www.bahianoticias.com.br/noticia/321055-empresas-de-flavio-bolsonaro-e-careca-do-inss-dividem-a-mesma-sala-e-possuem-o-mesmo-contador | Endereço e contabilidade compartilhados em Brasília (iclnoticias.com.br) https://iclnoticias.com.br/empresas-de-flavio-bolsonaro-e-careca-do-inss/</t>
  </si>
  <si>
    <t xml:space="preserve">21/10/2026: importado do acervo a verdade. (bolsomaster.site). 23/10/2026: campo de resposta do citado incluído.</t>
  </si>
  <si>
    <t xml:space="preserve">leticia</t>
  </si>
  <si>
    <t xml:space="preserve">Letícia Caetano dos Reis</t>
  </si>
  <si>
    <t xml:space="preserve">Irmã do contador Alexandre Caetano dos Reis; é a administradora registrada do escritório de advocacia de Flávio na Receita. Em entrevista à Agência Pública (2022) disse que chegou ao escritório por indicação de Willer Tomaz; Willer disse à reportagem que não a conhece.</t>
  </si>
  <si>
    <t xml:space="preserve">Brasília/Águas Claras (DF) – local do escritório</t>
  </si>
  <si>
    <t xml:space="preserve">Vivo (sem registro de morte)</t>
  </si>
  <si>
    <t xml:space="preserve">Sem prisão, acusação ou investigação formal noticiada nas fontes que li. Aparece pelo vínculo familiar e profissional.</t>
  </si>
  <si>
    <t xml:space="preserve">Pessoa privada: mantive só o papel público no caso. 23/10/2026: retirei "desde 2021" (a Pública não informa quando ela começou) e incluí a negativa de Willer.</t>
  </si>
  <si>
    <t xml:space="preserve">Agência Pública (06/2022) https://apublica.org/2022/06/firma-de-advocacia-de-flavio-bolsonaro-tem-contratos-consideraveis-diz-administradora/ | Bahia Notícias (levantamento do ICL) https://www.bahianoticias.com.br/noticia/321055-empresas-de-flavio-bolsonaro-e-do-careca-do-inss-dividem-a-mesma-sala-e-possuem-o-mesmo-contador</t>
  </si>
  <si>
    <t xml:space="preserve">23/10/2026</t>
  </si>
  <si>
    <t xml:space="preserve">23/10/2026: fontes completadas; negativa de Willer incluída.</t>
  </si>
  <si>
    <t xml:space="preserve">lulinha</t>
  </si>
  <si>
    <t xml:space="preserve">Fábio Luís Lula da Silva ("Lulinha")</t>
  </si>
  <si>
    <t xml:space="preserve">Empresário, filho do presidente Lula. A PF informou ao STF que apura citações a ele no inquérito do INSS (relator Mendonça); uma hipótese é que fosse sócio oculto do Careca (mensagem citando "o filho do rapaz"). Em jan/2026 Mendonça autorizou a quebra do sigilo bancário dele e de Roberta; em 04/03/2026 Dino suspendeu a quebra de sigilo fiscal pedida pela CPMI.</t>
  </si>
  <si>
    <t xml:space="preserve">Não confirmado nas fontes</t>
  </si>
  <si>
    <t xml:space="preserve">Vivo</t>
  </si>
  <si>
    <t xml:space="preserve">Nega ser investigado. Em 17/10/2026 Roberta Luchsinger disse à CNN que pretende fazer delação e citou Lula e Lulinha; a defesa dele (advogado Guilherme Suguimori Santos) chamou as falas de "insinuações", disse que ele pôs sigilos à disposição da Justiça e que não foi indiciado na operação do INSS. Sem indiciamento, denúncia ou condenação.</t>
  </si>
  <si>
    <t xml:space="preserve">Planilha diz "3 inquéritos no STF"; nas fontes que li aparece 1 inquérito (INSS) com citações a ele. Vale revisar esse número.</t>
  </si>
  <si>
    <t xml:space="preserve">Brasil Agro https://brasilagro.com.br/conteudo/pf-apura-se-lulinha-foi-socio-oculto-de-careca-do-inss.html | Poder360 https://www.poder360.com.br/poder-justica/amiga-de-lulinha-nega-ter-repassado-valores-do-careca-do-inss-a-pf/ | Gazeta do Povo 17/10/2026 https://www.gazetadopovo.com.br/republica/defesa-de-lulinha-nega-irregularidades-apos-declaracoes-de-lobista-roberta-luchsinger/</t>
  </si>
  <si>
    <t xml:space="preserve">Adicionadas as falas de Roberta (17/10/2026) e a resposta da defesa.</t>
  </si>
  <si>
    <t xml:space="preserve">roberta</t>
  </si>
  <si>
    <t xml:space="preserve">Roberta Moreira Luchsinger</t>
  </si>
  <si>
    <t xml:space="preserve">Lobista/consultora (RL Consultoria e Intermediações), amiga de Lulinha. Segundo o Correio da Manhã, teria recebido R$ 1,5 mi do Careca do INSS para tentar viabilizar um negócio de canabidiol com o Ministério da Saúde (o texto não atribui o valor à PF). Ela diz que os valores são honorários de consultoria e nega irregularidades; a defesa de Lulinha diz que ele não tem relação com os negócios dela. Depôs à PF em 20/05/2026 negando ter repassado valores a Lulinha.</t>
  </si>
  <si>
    <t xml:space="preserve">São Paulo (SP) – alvo de busca em Higienópolis em dez/2025</t>
  </si>
  <si>
    <t xml:space="preserve">Viva</t>
  </si>
  <si>
    <t xml:space="preserve">Segundo a Gazeta do Povo (17/10/2026), é investigada pela PF por suspeita de tráfico de influência envolvendo integrantes do governo federal. Em entrevista à CNN no mesmo dia disse que pretende fazer delação premiada e "não vai poupar ninguém", citando Lula e Lulinha; nenhum acordo firmado nas fontes. Sem denúncia ou condenação.</t>
  </si>
  <si>
    <t xml:space="preserve">Planilha diz "~R$ 1 mi". Os R$ 1,5 mi vêm do Correio da Manhã, sem atribuição à PF; o Estado de Minas cita R$ 150 mil recebidos de Cleber Ribas. A afirmação anterior de que a PF chama a Brasília Consultoria Empresarial de empresa de fachada não foi confirmada nas matérias relidas em 23/10/2026 e foi retirada.</t>
  </si>
  <si>
    <t xml:space="preserve">Estado de Minas (08/2026) https://www.em.com.br/politica/2026/08/7483581-quem-e-roberta-luchsinger-a-lobista-investigada-pela-pf.html | Correio da Manhã (08/2026) https://www.correiodamanha.com.br/politica/2026/08/312474-pf-investiga-ate-onde-ia-atuacao-de-lobista-em-nome-de-lulinha.html | Poder360: amiga de Lulinha nega repasses à PF https://www.poder360.com.br/poder-justica/amiga-de-lulinha-nega-ter-repassado-valores-do-careca-do-inss-a-pf/ | Brasil Agro https://brasilagro.com.br/conteudo/pf-apura-se-lulinha-foi-socio-oculto-de-careca-do-inss.html | Gazeta do Povo: defesa de Lulinha https://www.gazetadopovo.com.br/republica/defesa-de-lulinha-nega-irregularidades-apos-declaracoes-de-lobista-roberta-luchsinger/</t>
  </si>
  <si>
    <t xml:space="preserve">Agora investigada por tráfico de influência e anuncia delação (17/10/2026). 23/10/2026: valores atribuídos à PF revisados; fontes completadas (revisão editorial).</t>
  </si>
  <si>
    <t xml:space="preserve">willer</t>
  </si>
  <si>
    <t xml:space="preserve">Willer Tomaz</t>
  </si>
  <si>
    <t xml:space="preserve">Willer Tomaz e sua rede</t>
  </si>
  <si>
    <t xml:space="preserve">Advogado em Brasília. Preso em 2017 sob suspeita de tentar interferir na Operação Greenfield (fundos de pensão). Alvo de busca em ago/2026 na Operação Sem Desconto (caso ligado ao senador Weverton Rocha). O inquérito sobre ele e Flávio (suposta lavagem via bets, Rede Loto) chegou ao STF em 08/10/2026 (relator Moraes) e foi revelado em 18–19/10. A PF diz que uma conta dele movimentou ~R$ 130 mi entre mar e mai/2025. Dono de empresas como WT, Alcazar e Cathedral. Segundo a piauí (20/10/2026), criou em jan/2023 a offshore Cathedral, única acionista da Rede Loto (Best Bet), licenciada pela Loterj. Um e-mail achado pela PF mostra que ele se apresentou como sócio da Rio Pag, que processava pagamentos da Loterj; depois admitiu participação indireta. A PF achou sala oculta, sem dinheiro, em hangares de empresas dele no Aeroporto de Brasília. Na Operação Sem Desconto, a PF o descreve como “hub financeiro” do senador Weverton Rocha. Confirmou ao Metrópoles que viajou ao exterior com a família. Em 23/10/2026 Moraes determinou o bloqueio de até R$ 6 bi em bens dele, a quebra dos sigilos bancário, fiscal e cambial, a suspensão dos passaportes e a paralisação das atividades de todas as empresas dele, incluindo a Alcazar; segundo a Agência Brasil, a PF apontou a viagem dele a Miami depois da busca de agosto. Relatório da Secretaria de Prêmios e Apostas (Fazenda), revelado pelo UOL, diz que ele foi a pessoa com o maior volume de depósitos em bets no país em 2025 (~R$ 5 bi apostados).</t>
  </si>
  <si>
    <t xml:space="preserve">Brasília (DF)</t>
  </si>
  <si>
    <t xml:space="preserve">Investigado; nega irregularidades e fala em "pescaria probatória". Nas fontes não há denúncia nem condenação. Diz que não há sócios ocultos nem contas não declaradas, que a sala do hangar serve a empresas de transporte de valores e que não tem restrição judicial para viajar. Sobre o bloqueio (24/10/2026), a defesa chamou as medidas de desproporcionais, disse que os R$ 6 bi não correspondem ao patrimônio dele, que a suspensão das empresas é punição antes de acusação, rejeitou ligação com as fraudes do INSS e chamou de falsa a afirmação de que Flávio compartilhou recursos das empresas dele. Sobre as apostas, a defesa diz que “não há que se falar em lavagem”, que tudo passou pela conta dele, que ele processa a Blaze e que foi diagnosticado com ludopatia.</t>
  </si>
  <si>
    <t xml:space="preserve">Data da saída do país não confirmada: o UOL News citou registros da PF de 21/08/2026 (chegada aos EUA em 22/08), mas a Fórum/Metrópoles (19/10) fala em viagem na semana anterior. A defesa diz que a Rede Loto nunca chegou a operar.</t>
  </si>
  <si>
    <t xml:space="preserve">A Tarde https://atarde.com.br/eleicoes/quem-e-willer-tomaz-advogado-suspeito-de-ligacao-com-flavio-bolsonaro-1406358 | Tribuna do Sertão 19/10/2026 https://www.tribunadosertao.com.br/poder-e-governo/2026/10/19/1000284-flavio-bolsonaro-e-investigado-pela-pf-por-suspeita-de-lavagem-de-dinheiro-com-advogado-willer-tomaz | CartaCapital 18/10/2026 https://www.cartacapital.com.br/politica/flavio-bolsonaro-e-alvo-de-segundo-inquerito-no-stf-por-suspeita-de-lavagem-de-dinheiro/ | CNN Brasil https://www.cnnbrasil.com.br/politica/advogado-amigo-de-flavio-movimentou-r-130-milhoes-em-tres-meses-diz-pf/ | O voo no jato de Vorcaro em janeiro de 2025 (piaui.uol.com.br) https://piaui.uol.com.br/web/flavio-bolsonaro-viajou-em-jato-de-vorcaro/ | E-mails sobre vínculo bancário com Willer Tomaz (noticias.uol.com.br) https://noticias.uol.com.br/colunas/fabio-serapiao/2026/10/10/flavio-dividia-conta-com-suspeito-de-lavar-dinheiro-do-inss-indicam-emails.htm | A disputa pelo imóvel comprado por Richarlison (iclnoticias.com.br) https://iclnoticias.com.br/advogado-defendia-amigo-de-flavio-bolsonaro/ | A disputa pelo imóvel comprado por Richarlison (iclnoticias.com.br) https://iclnoticias.com.br/pf-e-acionada-flavio-bolsonaro-richarlisson/ | Portal Porque (resume piauí, 20/10/2026) https://www.portalporque.com.br/brasil/revista-piaui-aponta-que-flavio-bolsonaro-foi-socio-indireto-de-bet/ | Correio da Manhã (via O Globo, Malu Gaspar) https://www.correiodamanha.com.br/politica/2026/10/328716-aliado-de-flavio-bolsonaro-admitiu-ser-socio-de-empresa-da-loterj-apos-negar-ligacao-revela-e-mail.html | Goiás 246 (via Estadão) https://www.goias246.com.br/noticia/34906/politica/pf-aponta-sala-estruturada-para-guardar-valores-em-hangar-de-empresas-do-advogado-willer-tomaz.html | Poder360 04/08/2026 https://www.poder360.com.br/poder-justica/pf-investiga-advogado-amigo-de-flavio-em-operacao-sobre-o-inss/ | Revista Fórum (via Metrópoles, 19/10/2026) https://revistaforum.com.br/politica/willer-tomaz-flavio-bolsonaro-viaja-preocupa-pf/ | Agência Brasil 23/10/2026 (bloqueio de até R$ 6 bi) https://agenciabrasil.ebc.com.br/justica/noticia/2026-10/moraes-determina-bloqueio-de-ate-r-6-bilhoes-do-advogado-willer-tomaz | Jornal Grande Bahia 24/10/2026 (resposta da defesa ao bloqueio) https://jornalgrandebahia.com.br/2026/10/stf-bloqueia-ate-r-6-bilhoes-de-willer-tomaz-quebra-sigilos-de-empresas-e-aprofunda-investigacao-sobre-vinculos-com-flavio-bolsonaro/ | Diário do Nordeste 21/10/2026 (via UOL: apostas em 2025) https://diariodonordeste.verdesmares.com.br/pontopoder/willer-tomaz-foi-o-maior-apostador-do-pais-em-2025-com-r5-bilhoes-1.3800183</t>
  </si>
  <si>
    <t xml:space="preserve">26/10/2026</t>
  </si>
  <si>
    <t xml:space="preserve">Data de entrada no STF (08/10/2026), valores e confirmação da busca de ago/2026. 21/10/2026: importado do acervo a verdade. (bolsomaster.site). 22/10/2026: rodada UOL News (bets, Loterj, hangar, Weverton). 26/10/2026: bloqueio de até R$ 6 bi e outras medidas de Moraes (23/10); volume de apostas em 2025; respostas da defesa.</t>
  </si>
  <si>
    <t xml:space="preserve">willer.jpg</t>
  </si>
  <si>
    <t xml:space="preserve">Agência Senado · CC BY 2.0</t>
  </si>
  <si>
    <t xml:space="preserve">https://commons.wikimedia.org/wiki/File:Willer_Tomaz_de_Souza.jpg</t>
  </si>
  <si>
    <t xml:space="preserve">lidia</t>
  </si>
  <si>
    <t xml:space="preserve">Lídia Maria Figueiredo Mazelli</t>
  </si>
  <si>
    <t xml:space="preserve">Apontada pela Agência Pública (20/10/2026) como administradora de empresas de Willer Tomaz; em maio/2024 representava a Jet Line na compra da Direção Táxi Aéreo. Segundo o ICL Notícias (única fonte destes pontos): dirigente formal de 14 empresas ligadas a Willer (WT, Jet Line, Friponor, RioPag, Ícaro Aviation etc.); assinou a escritura da mansão de Angra; teve vínculo formal com o escritório de Willer entre mar/2019 e set/2020. Ao ser abordada disse ser doméstica; depois afirmou nunca ter sido empregada doméstica e que respondeu assim por medo. A defesa de Willer diz que é administradora de empresas.</t>
  </si>
  <si>
    <t xml:space="preserve">Não informado</t>
  </si>
  <si>
    <t xml:space="preserve">A reportagem não a acusa nem a apresenta como investigada; ela diz não ser investigada. Suspeitas recaem sobre Willer e as empresas (ex.: Loterj acusa a RioPag de não repassar R$ 20,9 mi ao estado).</t>
  </si>
  <si>
    <t xml:space="preserve">Planilha diz "diz ser doméstica": ela depois desmentiu isso. Hipótese de "laranja" é da reportagem, não está comprovada. 23/10/2026: a Pública não traz posicionamento dela; os pontos atribuídos ao ICL não foram confirmados por outro veículo (O Povo e Correio da Manhã não a citam). Retirei a idade.</t>
  </si>
  <si>
    <t xml:space="preserve">ICL Notícias https://iclnoticias.com.br/domestica-preside-empresas-fraude-flavio/ | Empresa ligada a Willer Tomaz foi administrada por diretor da Polícia Civil do DF (Agência Pública, 20/10/2026) https://apublica.org/?p=268402</t>
  </si>
  <si>
    <t xml:space="preserve">23/10/2026: segunda fonte (Pública); idade retirada; pontos exclusivos do ICL atribuídos.</t>
  </si>
  <si>
    <t xml:space="preserve">renan</t>
  </si>
  <si>
    <t xml:space="preserve">Renan Calheiros</t>
  </si>
  <si>
    <t xml:space="preserve">Senador (MDB-AL), relator da CPI da Pandemia. Perdeu a reeleição em 04/10/2026 e deixará o Senado após 32 anos (mandato vai até jan/2027). Inquérito sobre favorecimento à Hypermarcas foi arquivado por Fachin em out/2024; Dino mandou a PF concluir em 90 dias outro inquérito (Postalis, lobista Milton Lyra), sem data na fonte.</t>
  </si>
  <si>
    <t xml:space="preserve">Alagoas (AL)</t>
  </si>
  <si>
    <t xml:space="preserve">Sem condenação nas fontes; inquérito Postalis com status não confirmado. Resultado eleitoral baseado nos títulos de Poder360 e O Tempo (o corpo da matéria não abriu).</t>
  </si>
  <si>
    <t xml:space="preserve">Não achei notícia de 2026 sobre os inquéritos; só sobre a eleição. Resposta do citado: não localizada nas fontes consultadas (checagem de 23/10/2026). Pedidos de correção ou resposta: ver “Sobre este mapa”.</t>
  </si>
  <si>
    <t xml:space="preserve">Portal de Prefeitura (Fachin) https://portaldeprefeitura.com.br/bastidores-da-politica/fachin-arquiva-investigacao-contra-renan-calheiros-e-eduardo-braga-por/582759/ | Poder360 https://www.poder360.com.br/poder-eleicoes-2026/renan-calheiros-perde-eleicao-e-deixara-o-senado-apos-32-anos/ | O Tempo https://www.otempo.com.br/eleicoes/2026/2026/10/4/renan-calheiros-perde-eleicao-e-deixara-senado-apos-32-anos</t>
  </si>
  <si>
    <t xml:space="preserve">Perdeu a reeleição em 04/10/2026. 23/10/2026: campo de resposta do citado incluído.</t>
  </si>
  <si>
    <t xml:space="preserve">renan.jpg</t>
  </si>
  <si>
    <t xml:space="preserve">Agência Senado · uso livre</t>
  </si>
  <si>
    <t xml:space="preserve">https://commons.wikimedia.org/wiki/File:Senador_Renan_Calheiros_MDB_-_AL.jpg</t>
  </si>
  <si>
    <t xml:space="preserve">flavio</t>
  </si>
  <si>
    <t xml:space="preserve">Flávio Bolsonaro</t>
  </si>
  <si>
    <t xml:space="preserve">Flávio e família</t>
  </si>
  <si>
    <t xml:space="preserve">Nascido em 30/04/1981, Resende (RJ). Advogado e empresário; deputado estadual desde 2003, senador pelo RJ desde 2019. Candidato do PL à Presidência em 2026: no 1º turno (04/10) teve 47,03% dos votos válidos contra 45,16% de Lula; perdeu o 2º turno (25/10) com 48,21% (59.826.041 votos) contra 51,79% (64.256.232 votos) de Lula, segundo o TSE. Na noite de 25/10 disse que não reconhece o resultado e que vai pedir a anulação, alegando que a prorrogação do horário de votação por liminar do ministro Cristiano Zanin (STF) mudou “a regra do jogo”; o presidente do TSE, Nunes Marques, disse que a decisão não alterou o resultado. Rachadinha: denunciado pelo MPRJ em out/2020 com Queiroz e outros 15; provas anuladas pelo STJ/STF em nov/2021; denúncia rejeitada e caso arquivado em 2022. Hoje há dois inquéritos no STF: (1) Dark Horse, autorizado por Mendonça em 23/07/2026 (~US$ 24 mi negociados; Coaf/piauí apontam ~US$ 12,3 mi repassados por Vorcaro ao fundo Havengate); em 10/09 a PF fez a Operação Make Up (49 mandados; alvos incluem a produtora Karina Gama e o deputado Mário Frias). (2) lavagem com Willer Tomaz, chegou ao STF em 08/10/2026 (relator Moraes). Em 12/10 Moraes liberou as visitas dele ao pai, suspensas desde julho por ele ter publicado uma carta de Jair. Out/2026: a piauí aponta, com documentos da PF, que ele pode ter sido sócio oculto da Best Bet, de Willer, por ter sido “usuário master” da conta da offshore Alcazar (excluído por e-mail de 22/05/2025). A Folha revelou voos dele na Europa em 2025 com canhotos em nome da Cathedral, dona da bet. Em 24/10/2026 O Globo revelou relatórios do Coaf que fazem parte do inquérito com Willer Tomaz: movimentação de ~R$ 1,3 mi entre jan e mar/2024, 7,19 vezes acima do esperado para a renda declarada, incluindo R$ 520 mil pagos por um escritório de advocacia e usados para quitar antecipadamente o financiamento da mansão em Brasília no BRB; e R$ 337,6 mil considerados atípicos em nov/2025. Relatório do Coaf não comprova crime sozinho. Em 23/10/2026 PF, STF e PGR desmentiram reportagem de um site que falava em pedido de buscas contra ele.</t>
  </si>
  <si>
    <t xml:space="preserve">RJ (base eleitoral); mandato em Brasília</t>
  </si>
  <si>
    <t xml:space="preserve">Nega: chama o 2º inquérito de politicamente motivado e a relação com Willer de amizade entre famílias; diz que o filme foi patrocínio. Sem denúncia nova nem condenação. Sobre a bet e os voos: diz que nunca teve acesso a contas de empresas de Willer e que a relação é “exclusivamente de amizade”; chama a associação de “mera ilação”. Não se manifestou ao O Globo sobre os relatórios do Coaf (24/10/2026). Segue sem denúncia nova (checado em 26/10/2026).</t>
  </si>
  <si>
    <t xml:space="preserve">Sem acusação de milícia. Mãe e ex-esposa de Adriano da Nóbrega (miliciano) constavam como funcionárias do gabinete dele; Flávio atribuiu as contratações a Queiroz.</t>
  </si>
  <si>
    <t xml:space="preserve">Acervo a verdade.: Aos Fatos contou ao menos 43 declarações falsas dele sobre a relação com Vorcaro. Os números do celular variam por fonte (Piauí: 11 meses e 110 registros; Estadão: 3 meses e 6 encontros) e não devem ser somados. Os R$ 134 mi negociados e ≥ R$ 61 mi repassados foram para o filme, o que não comprova recebimento pessoal. Contato no celular de Vorcaro (piauí, 19/10/2026): Não quis se pronunciar à piauí. Os números de contato (piauí/InterSecLab, base 18/11/2025) medem volume de contato individual (WhatsApp e ligações), não conteúdo; mensagens expiradas ou apagadas não são recuperáveis.</t>
  </si>
  <si>
    <t xml:space="preserve">Wikipedia pt https://pt.wikipedia.org/wiki/Fl%C3%A1vio_Bolsonaro | Tribuna do Sertão (link acima) | O Povo 23/07/2026 https://www.opovo.com.br/noticias/politica/2026/07/23/amp/andre-mendonca-autoriza-inquerito-sobre-repasses-para-dark-horse-filme-sobre-jair-bolsonaro.html | Resultado do 1º turno https://portaldeprefeitura.com.br/bastidores-da-politica/eleicoes-2026-com-100-das-secoes-totalizadas-flavio-tem-4703-e/633498/ | Wikipedia (Banco Master scandal) https://en.wikipedia.org/wiki/Banco_Master_scandal | JB 12/10/2026 https://www.jb.com.br/brasil/justica/2026/10/1061206-moraes-autoriza-flavio-bolsonaro-a-visitar-jair-bolsonaro-em-prisao-domiciliar.html | A investigação sobre o financiamento de Dark Horse (bbc.com) https://www.bbc.com/portuguese/articles/c4g5ky0r25jo | A investigação sobre o financiamento de Dark Horse (em.com.br) https://www.em.com.br/politica/2026/09/7498387-flavio-bolsonaro-vira-investigado-do-dark-horse-que-segue-sob-sigilo.html | O acordo de R$ 134 milhões para o filme (intercept.com.br) https://www.intercept.com.br/2026/05/13/audio-flavio-negociou-vorcaro-milhoes/ | A checagem de declarações sobre Vorcaro (aosfatos.org) https://www.aosfatos.org/noticias/flavio-mentiu-ao-menos-43-vezes-sobre-envolvimento-com-vorcaro/ | Os registros de contato no celular do banqueiro (piaui.uol.com.br) https://piaui.uol.com.br/web/mensagens-celular-flavio-vorcaro/ | As menções a encontros presenciais (estadao.com.br) https://www.estadao.com.br/politica/celular-de-vorcaro-tinha-tres-meses-de-conversa-com-flavio-bolsonaro-e-mencao-a-seis-encontros/ | O voo no jato de Vorcaro em janeiro de 2025 (piaui.uol.com.br) https://piaui.uol.com.br/web/flavio-bolsonaro-viajou-em-jato-de-vorcaro/ | O apartamento de Fabiano Zettel e Willer Tomaz (piaui.uol.com.br) https://piaui.uol.com.br/web/flavio-bolsonaro-zettel-tomaz-imovel-vila-nova-conceicao-sao-paulo/ | O aniversário em uma mansão gerida por empresa de Vorcaro (iclnoticias.com.br) https://iclnoticias.com.br/flavio-bolsonaro-aniversario-da-filha-em-mansao/ | E-mails sobre vínculo bancário com Willer Tomaz (noticias.uol.com.br) https://noticias.uol.com.br/colunas/fabio-serapiao/2026/10/10/flavio-dividia-conta-com-suspeito-de-lavar-dinheiro-do-inss-indicam-emails.htm | Endereço e contabilidade compartilhados em Brasília (iclnoticias.com.br) https://iclnoticias.com.br/empresas-de-flavio-bolsonaro-e-careca-do-inss/ | Cargo na Câmara, faculdade e estágio no Rio (bbc.com) https://www.bbc.com/portuguese/brasil-46828487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A investigação da loja Kopenhagen (oglobo.globo.com) https://oglobo.globo.com/politica/alvo-de-investigacao-das-rachadinhas-loja-de-flavio-bolsonaro-no-rio-vendida-1-24867874 | Imóveis comprados pela família e investigações (g1.globo.com) https://g1.globo.com/jornal-nacional/noticia/2022/08/31/reportagem-do-uol-revela-que-51-imoveis-comprados-pela-familia-bolsonaro-foram-pagos-em-dinheiro-vivo.ghtml | Imóveis comprados pela família e investigações (noticias.uol.com.br) https://noticias.uol.com.br/politica/ultimas-noticias/2022/08/30/imoveis-cla-bolsonaro-objeto-de-investigacao-suspeita-dinheiro-vivo.htm | Imóveis comprados pela família e investigações (estadao.com.br) https://www.estadao.com.br/politica/investigacao-sobre-flaviobolsonaro-alcanca-37-imoveis/ | A compra e a quitação da mansão em Brasília (oglobo.globo.com) https://oglobo.globo.com/politica/eleicoes-2026/noticia/2026/08/14/video-mansao-que-fez-patrimonio-de-flavio-disparar-fica-em-terreno-de-2400-m-e-foi-quitada-27-anos-antes-do-previsto.ghtml | A análise do MPF sobre 37 transações imobiliárias (cnnbrasil.com.br) https://www.maisgoias.com.br/politica/procurador-aponta-fortes-indicios-de-lavagem-de-dinheiro-em-bens-de-flavio-bolsonaro/ | A acusação do MP-RJ sobre organização criminosa (g1.globo.com) https://g1.globo.com/rj/rio-de-janeiro/noticia/2019/12/19/mp-do-rj-detalha-suposto-esquema-de-corrupcao-envolvendo-entao-deputado-flavio-bolsonaro.ghtml?utm_source=twitter&amp;utm_medium=social&amp;utm_campaign=g1 | Destinação de emendas e entidades questionadas (revistaforum.com.br) https://revistaforum.com.br/politica/flavio-bolsonaro-emendas-ong-fantasma-e-instituto-de-miliciano/ | Portal Porque (resume piauí, 20/10/2026) https://www.portalporque.com.br/brasil/revista-piaui-aponta-que-flavio-bolsonaro-foi-socio-indireto-de-bet/ | Notícias ao Minuto (resume piauí) https://www.noticiasaominuto.com.br/politica/2422338/flavio-bolsonaro-e-dono-de-bet-entenda-o-que-a-pf-investiga | Mais Goiás (via Folha, 16/10/2026) https://www.maisgoias.com.br/brasil/pf-descobre-voos-de-flavio-bolsonaro-pagos-por-dono-de-bet-que-e-investigado-por-fraudes-no-inss/ | Piauí: 71% das interações de Vorcaro com políticos eram do governo Bolsonaro (piaui.uol.com.br) https://piaui.uol.com.br/web/mais-de-70-das-interacoes-do-celular-de-vorcaro-com-politicos-eram-com-membros-do-governo-bolsonaro/ | TSE 25/10/2026 (resultado do 2º turno) https://www.tse.jus.br/comunicacao/noticias/2026/Outubro/presidente-do-tse-anuncia-reeleicao-de-lula-e-faz-balanco-do-2o-turno-das-eleicoes-2026 | Correio Braziliense 25/10/2026 (Flávio não reconhece resultado) https://www.correiobraziliense.com.br/politica/2026/10/7527699-flavio-nao-reconhece-vitoria-de-lula-e-pede-anulacao-das-eleicoes.html | Metrópoles 25/10/2026 (Nunes Marques sobre a decisão de Zanin) https://www.metropoles.com/brasil/nunes-marques-diz-que-decisao-de-zanin-nao-alterou-resultado-da-eleicao | Tribuna do Sertão 24/10/2026 (via O Globo: relatórios do Coaf) https://www.tribunadosertao.com.br/geral/2026/10/24/1004782-coaf-aponta-movimentacao-financeira-de-flavio-bolsonaro-incompativel-com-a-renda-do-senador | Infoverus 23/10/2026 (PF, STF e PGR negam pedido de buscas) https://www.infoverus.com.br/politica/stf-pf-e-pgr-negam-pedido-de-buscas-contra-flavio-bolsonaro-e-contestam-reportagem/37239</t>
  </si>
  <si>
    <t xml:space="preserve">Resultado do 1º turno; 2º inquérito no STF; Operação Make Up; visitas ao pai liberadas. 21/10/2026: importado do acervo a verdade. (bolsomaster.site). 22/10/2026: rodada UOL News (bets, Loterj, hangar, Weverton). 23/10/2026: contato no celular de Vorcaro (piauí/InterSecLab) e resposta à reportagem. 26/10/2026: resultado do 2º turno (TSE), não reconhecimento e pedido de anulação anunciado; relatórios do Coaf (O Globo); negativa de PF/STF/PGR sobre buscas.</t>
  </si>
  <si>
    <t xml:space="preserve">flavio.jpg</t>
  </si>
  <si>
    <t xml:space="preserve">https://commons.wikimedia.org/wiki/File:Foto_oficial_do_senador_Flávio_Bolsonaro_(v._AgSen)_(3x4).jpg</t>
  </si>
  <si>
    <t xml:space="preserve">fam</t>
  </si>
  <si>
    <t xml:space="preserve">Família de Flávio</t>
  </si>
  <si>
    <t xml:space="preserve">Não pesquisei. Inclui menores de idade e aparecem na planilha só como passageiras do jato em jan/2025.</t>
  </si>
  <si>
    <t xml:space="preserve">Decisão deliberada: sem papel público no caso.</t>
  </si>
  <si>
    <t xml:space="preserve">carlos</t>
  </si>
  <si>
    <t xml:space="preserve">Carlos Bolsonaro</t>
  </si>
  <si>
    <t xml:space="preserve">Nascido em 07/12/1982, Resende (RJ). Foi vereador do Rio desde 2000 e renunciou em dez/2025. Eleito senador por Santa Catarina em 2026 pelo PL, com 2.041.840 votos (dados do TSE reproduzidos pelo HubPolítico). Citado no relatório da PF de 2022 sobre o "gabinete do ódio"; teve sigilo bancário quebrado (2021) em apuração de rachadinha; alvo de busca em jan/2024 na investigação da Abin paralela. Sócio da Bravo Grafeno.</t>
  </si>
  <si>
    <t xml:space="preserve">Santa Catarina (SC), senador eleito; antes, vereador no Rio (RJ)</t>
  </si>
  <si>
    <t xml:space="preserve">Sem condenação nas fontes que li. Depoimento de porteiro que o ligava ao caso Marielle foi retratado, sem acusação formal a ele.</t>
  </si>
  <si>
    <t xml:space="preserve">Sem acusação de milícia.</t>
  </si>
  <si>
    <t xml:space="preserve">Eleição baseada em página que reproduz dados do TSE; não achei a matéria de apuração. Resposta do citado: não localizada nas fontes consultadas (checagem de 23/10/2026). Pedidos de correção ou resposta: ver “Sobre este mapa”.</t>
  </si>
  <si>
    <t xml:space="preserve">Wikipedia https://pt.wikipedia.org/wiki/Carlos_Bolsonaro | HubPolítico https://hubpolitico.com.br/perfil/carlosbolsonaro2/informacoes | Condecorações a 16 policiais denunciados (noticias.uol.com.br) https://noticias.uol.com.br/colunas/juliana-dal-piva/2022/09/23/cla-bolsonaro-condecorou-16-pms-denunciados-em-organizacoes-criminosas.htm?cmpid=copiaecola</t>
  </si>
  <si>
    <t xml:space="preserve">Eleito senador por SC; deixou a Câmara de Vereadores. 21/10/2026: importado do acervo a verdade. (bolsomaster.site). 23/10/2026: campo de resposta do citado incluído.</t>
  </si>
  <si>
    <t xml:space="preserve">carlos.jpg</t>
  </si>
  <si>
    <t xml:space="preserve">Wikimedia Commons · CC BY 2.0</t>
  </si>
  <si>
    <t xml:space="preserve">https://commons.wikimedia.org/wiki/File:Carlos_Bolsonaro_durante_Encontro_Brasil-Rússia_em_2022.jpg</t>
  </si>
  <si>
    <t xml:space="preserve">jair</t>
  </si>
  <si>
    <t xml:space="preserve">Jair Messias Bolsonaro</t>
  </si>
  <si>
    <t xml:space="preserve">Nascido em 21/03/1955 (Glicério/Campinas, SP). Ex-capitão do Exército, deputado federal por quase 30 anos e presidente (2019–2022). Inelegível por 8 anos (TSE, jun/2023). Condenado pelo STF por tentativa de golpe: 27 anos e 3 meses. Também investigado no caso das joias.</t>
  </si>
  <si>
    <t xml:space="preserve">Brasília (DF) – em prisão domiciliar humanitária (endereço não informado)</t>
  </si>
  <si>
    <t xml:space="preserve">Preso desde nov/2025; em mar/2026 passou à domiciliar humanitária após broncopneumonia; Moraes decidiu mantê-la em jul/2026. Em 12/10/2026 ainda cumpre em casa, depois de uma cirurgia e da recuperação de pneumonia bacteriana. Está proibido de usar redes sociais, inclusive por terceiros. Moraes liberou as visitas de Flávio (sem fins eleitorais), suspensas desde julho por uma carta publicada em apoio à candidatura. Uma domiciliar anterior caiu depois de ele danificar a tornozeleira. Em 25/10/2026 seguia em prisão domiciliar e não votou no 2º turno: com a condenação definitiva, os direitos políticos estão suspensos.</t>
  </si>
  <si>
    <t xml:space="preserve">Planilha diz "hoje preso": desde mar/2026 cumpre em casa (domiciliar humanitária).</t>
  </si>
  <si>
    <t xml:space="preserve">Tribuna do Sertão 03/07/2026 https://tribunadosertao.com.br/poder-e-governo/2026/07/03/933954-moraes-prorroga-prisao-domiciliar-de-bolsonaro | Congresso em Foco https://www.congressoemfoco.com.br/noticia/119918/defesa-de-bolsonaro-pede-ao-stf-prorrogacao-da-prisao-domiciliar | JB 12/10/2026 https://www.jb.com.br/brasil/justica/2026/10/1061206-moraes-autoriza-flavio-bolsonaro-a-visitar-jair-bolsonaro-em-prisao-domiciliar.html | Agência Brasil jul/2026 https://agenciabrasil.ebc.com.br/justica/noticia/2026-07/alexandre-de-moraes-decide-manter-bolsonaro-em-prisao-domiciliar | O áudio de Bolsonaro e Ramagem sobre Flávio (valor.globo.com) https://valor.globo.com/politica/noticia/2024/07/11/audio-mostra-bolsonaro-e-ramagem-discutindo-como-blindar-flavio-no-caso-das-rachadinhas-segundo-pf.ghtml | A fala de Bolsonaro na reunião ministerial (g1.globo.com) https://g1.globo.com/politica/noticia/2020/05/22/em-reuniao-ministerial-bolsonaro-diz-eu-nao-vou-esperar-foder-a-minha-familia-toda-assista.ghtml | ND+ 25/10/2026 (Bolsonaro sem direito ao voto) https://ndmais.com.br/politica/vorcaro-e-ex-presidente-do-inss-votam-na-prisao-bolsonaro-segue-sem-direito-ao-voto-entenda/</t>
  </si>
  <si>
    <t xml:space="preserve">Domiciliar confirmada em 12/10/2026; motivo e visitas de Flávio. 21/10/2026: importado do acervo a verdade. (bolsomaster.site). 26/10/2026: domiciliar confirmada em 25/10; impedido de votar.</t>
  </si>
  <si>
    <t xml:space="preserve">jair.jpg</t>
  </si>
  <si>
    <t xml:space="preserve">https://commons.wikimedia.org/wiki/File:Jair_Bolsonaro_2019_Portrait_(3x4_cropped_center).jpg</t>
  </si>
  <si>
    <t xml:space="preserve">wassef</t>
  </si>
  <si>
    <t xml:space="preserve">Frederick Wassef</t>
  </si>
  <si>
    <t xml:space="preserve">Nascido em 1965, São Paulo. Advogado criminalista, amigo da família Bolsonaro desde ~2014. Queiroz foi preso em 18/06/2020 numa casa em Atibaia ligada a ele. Alvo de busca em ago/2023 no caso das joias (recompra de um Rolex). A PF o indiciou; em 04/03/2026 a PGR recomendou arquivar o inquérito, e Moraes mandou a PGR analisar o relatório final da PF. Em 30/06/2026 Moraes mandou abrir apuração sigilosa separada a partir de "eventos fortuitos" no celular dele (PGR com 15 dias para opinar). Nega e diz que a busca foi nula.</t>
  </si>
  <si>
    <t xml:space="preserve">São Paulo (SP) – não confirmei domicílio atual</t>
  </si>
  <si>
    <t xml:space="preserve">Indiciado pela PF no inquérito das joias e alvo formal de nova apuração sigilosa. Sem denúncia nem condenação noticiada.</t>
  </si>
  <si>
    <t xml:space="preserve">Nada nas fontes. Um site cita um advogado que conecta Wassef ao defensor de Queiroz e de Adriano (não verifiquei).</t>
  </si>
  <si>
    <t xml:space="preserve">Não confirmei a resposta da PGR após julho.</t>
  </si>
  <si>
    <t xml:space="preserve">CartaCapital 19/03/2026 https://www.cartacapital.com.br/justica/moraes-manda-pgr-analisar-dados-de-wassef-no-caso-das-joias-de-bolsonaro/ | NC News 04/07/2026 https://ncnews.com.br/2026/07/04/moraes-manda-abrir-nova-apuracao-sigilosa-sobre-celular-de-wassef/ | Wikipedia en https://en.wikipedia.org/wiki/Frederick_Wassef</t>
  </si>
  <si>
    <t xml:space="preserve">Indiciamento confirmado e nova apuração sigilosa (30/06/2026).</t>
  </si>
  <si>
    <t xml:space="preserve">wassef.jpg</t>
  </si>
  <si>
    <t xml:space="preserve">https://commons.wikimedia.org/wiki/File:Frederick_Wassef_(cropped).jpg</t>
  </si>
  <si>
    <t xml:space="preserve">queiroz</t>
  </si>
  <si>
    <t xml:space="preserve">Fabrício José Carlos de Queiroz</t>
  </si>
  <si>
    <t xml:space="preserve">Ex-subtenente da PM do Rio, ex-assessor de Flávio na Alerj, apontado como operador da rachadinha (relatório do Coaf de 2018: R$ 1,2 mi movimentados). Preso em 18/06/2020 em Atibaia; domiciliar em jul/2020 (tratava câncer); em mar/2021 o STJ revogou a ordem de prisão por excesso de prazo e ele foi solto. A investigação foi anulada (STJ/STF, 2021) e o caso arquivado em 2022. Em 2022 teve ~6,7 mil votos para deputado estadual (não eleito); em 2024, 588 votos para vereador de Saquarema (suplente). Em mar/2026 era subsecretário de Segurança Pública e Ordem Pública de Saquarema e dizia só disputar 2026 com apoio da família Bolsonaro; não há registro de candidatura formalizada em 2026. Em set/2026 se reuniu com Flávio em Brasília.</t>
  </si>
  <si>
    <t xml:space="preserve">Saquarema (RJ)</t>
  </si>
  <si>
    <t xml:space="preserve">Vivo (ativo em set/2026)</t>
  </si>
  <si>
    <t xml:space="preserve">Sem condenação. Hoje sem processo ativo nas fontes que li.</t>
  </si>
  <si>
    <t xml:space="preserve">MP-RJ estimou que Adriano da Nóbrega (chefe do Escritório do Crime, miliciano, morto em fev/2020) transferiu mais de R$ 400 mil a contas ligadas a Queiroz. Queiroz o chama de amigo e ex-colega da PM. Nas fontes ele não é acusado de integrar milícia.</t>
  </si>
  <si>
    <t xml:space="preserve">Planilha diz "19 meses sem depor": não consegui verificar. Candidatura em 2026: sem registro de que tenha sido formalizada (conforme a usuária; em mar/2026 ele só cogitava). Resposta do citado: não localizada nas fontes consultadas (checagem de 23/10/2026). Pedidos de correção ou resposta: ver “Sobre este mapa”.</t>
  </si>
  <si>
    <t xml:space="preserve">Bahia Notícias https://www.bahianoticias.com.br/noticia/249931-miliciano-adriano-da-nobrega-transferiu-r-400-mil-para-fabricio-queiroz | Mais Goiás https://www.maisgoias.com.br/brasil/gilmar-mendes-da-aval-para-soltar-queiroz-apos-stj-revogar-prisao-domiciliar/ | Portal de Prefeitura https://portaldeprefeitura.com.br/bastidores-da-politica/flavio-bolsonaro-pede-votos-para-fabricio-queiroz-pivo-em-suposto/579564/ | Metrópoles 24/03/2026 https://www.metropoles.com/colunas/igor-gadelha/a-condicao-de-queiroz-para-ser-candidato-em-2026 | JB set/2026 https://www.jb.com.br/brasil/politica/2026/09/1060896-flavio-bolsonaro-e-fabricio-queiroz-se-reuniram-em-brasilia-apos-insistencia.html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Familiares de Adriano da Nóbrega no gabinete (oglobo.globo.com) https://oglobo.globo.com/politica/flavio-bolsonaro-empregou-mae-mulher-de-chefe-do-escritorio-do-crime-em-seu-gabinete-23391490</t>
  </si>
  <si>
    <t xml:space="preserve">Sem candidatura formalizada em 2026 (confirmado pela usuária); cargo público e encontro com Flávio em set/2026. 21/10/2026: importado do acervo a verdade. (bolsomaster.site). 23/10/2026: campo de resposta do citado incluído.</t>
  </si>
  <si>
    <t xml:space="preserve">advflavio</t>
  </si>
  <si>
    <t xml:space="preserve">Advogadas de Flávio (2)</t>
  </si>
  <si>
    <t xml:space="preserve">Não pesquisei: não são nomeadas na planilha e são pessoas privadas.</t>
  </si>
  <si>
    <t xml:space="preserve">vorcaro</t>
  </si>
  <si>
    <t xml:space="preserve">Daniel Vorcaro</t>
  </si>
  <si>
    <t xml:space="preserve">Vorcaro e o Banco Master</t>
  </si>
  <si>
    <t xml:space="preserve">Nascido em 06/10/1983, Belo Horizonte. Administrador com MBA no Ibmec; comprou o Banco Máxima em 2018 e o renomeou Master em 2021. Banco liquidado em 18/11/2025 (rombo estimado de R$ 41 bi ao FGC). Família ligada à Igreja Batista da Lagoinha.</t>
  </si>
  <si>
    <t xml:space="preserve">Papudinha, Brasília (DF); vinha de Belo Horizonte (MG)</t>
  </si>
  <si>
    <t xml:space="preserve">Preso em 17/11/2025 em Guarulhos; solto em 28/11 pelo TRF; nova prisão decretada pelo STF em 04/03/2026; está na Papudinha desde 25/06/2026, depois que PF e PGR rejeitaram duas propostas de delação dele. Mendonça é o relator (Toffoli saiu em fev/2026). Em set/2026 mensagens do celular dele atingiram ministros e autoridades, e o plenário do STF ia discutir a validade dessas provas em 15/09; não confirmei o resultado. Em 20/10/2026 a PGR defendeu manter as prisões do pai, de um primo e do cunhado. As fontes não mostram condenação nem denúncia formal. Desde 12/09/2026 os autos do caso Master estão com a Presidência do STF (Fachin), e os pedidos pendentes, inclusive de liberdade, estão parados; Mendonça segue relator formal (Gazeta do Povo, 21/10/2026). Em 25/10/2026 votou no 2º turno na Papudinha, como preso provisório.</t>
  </si>
  <si>
    <t xml:space="preserve">Wikipedia en https://en.wikipedia.org/wiki/Daniel_Vorcaro | Times Brasil https://timesbrasil.com.br/brasil/pgr-defende-manutencao-das-prisoes-de-vorcaro-pai-e-investigados-do-caso-master/ | Wikipedia (Banco Master scandal) https://en.wikipedia.org/wiki/Banco_Master_scandal | Mateus Oliver 20/10/2026 https://www.mateusoliverreporter.com.br/2026/10/20/pgr-defende-manutencao-de-prisoes-no-caso-banco-master-e-permanencia-de-fachin-a-frente-de-decisoes-no-stf/ | O acordo de R$ 134 milhões para o filme (intercept.com.br) https://www.intercept.com.br/2026/05/13/audio-flavio-negociou-vorcaro-milhoes/ | Os registros de contato no celular do banqueiro (piaui.uol.com.br) https://piaui.uol.com.br/web/mensagens-celular-flavio-vorcaro/ | A visita após a soltura do banqueiro (metropoles.com) https://www.metropoles.com/colunas/igor-gadelha/flavio-bolsonaro-visitou-vorcaro-em-casa-apos-prisao | A visita na véspera do anúncio da candidatura (metropoles.com) https://www.metropoles.com/colunas/igor-gadelha/flavio-visitou-vorcaro-na-vespera-de-ser-anunciado-presidenciavel | O voo no jato de Vorcaro em janeiro de 2025 (piaui.uol.com.br) https://piaui.uol.com.br/web/flavio-bolsonaro-viajou-em-jato-de-vorcaro/ | A viagem à Flórida e os repasses para o filme (piaui.uol.com.br) https://piaui.uol.com.br/web/feriadao-flavio-vorcaro-florida-dark-horse/ | O aniversário em uma mansão gerida por empresa de Vorcaro (iclnoticias.com.br) https://iclnoticias.com.br/flavio-bolsonaro-aniversario-da-filha-em-mansao/ | Gazeta do Povo 21/10/2026 (caso Master parado com Fachin) https://www.gazetadopovo.com.br/republica/caso-master-esta-travado-ha-mais-de-um-mes-nas-maos-de-fachin-no-stf/ | Metro 1 25/10/2026 (Vorcaro vota preso na Papudinha) https://www.metro1.com.br/noticias/eleicoes-2026/190353,presos-na-papudinha-daniel-vorcaro-e-ex-presidente-do-inss-votam-no-segundo-turno</t>
  </si>
  <si>
    <t xml:space="preserve">Preso na Papudinha desde 25/06/2026; delações rejeitadas; situação das provas no STF. 21/10/2026: importado do acervo a verdade. (bolsomaster.site). 23/10/2026: campo de resposta do citado incluído. 26/10/2026: autos com a Presidência do STF; segue preso (votou na Papudinha em 25/10).</t>
  </si>
  <si>
    <t xml:space="preserve">vorcaro.jpg</t>
  </si>
  <si>
    <t xml:space="preserve">Márcio Gustavo Vasconcelos · CC0</t>
  </si>
  <si>
    <t xml:space="preserve">https://commons.wikimedia.org/wiki/File:Daniel_Vorcaro_-_2024_(cropped).jpg</t>
  </si>
  <si>
    <t xml:space="preserve">zetel</t>
  </si>
  <si>
    <t xml:space="preserve">Fabiano Campos Zettel</t>
  </si>
  <si>
    <t xml:space="preserve">Pastor evangélico, empresário e doador político; lidera a Igreja Batista da Lagoinha (BH); casado com Natália Vorcaro, irmã de Daniel. Para a PF era "operador financeiro" do grupo do Master (contratos usados para justificar transferências, pagamentos ao grupo "A Turma").</t>
  </si>
  <si>
    <t xml:space="preserve">Belo Horizonte (MG) pela igreja; residência não informada</t>
  </si>
  <si>
    <t xml:space="preserve">Vivo (preso; confirmado em 20/10/2026)</t>
  </si>
  <si>
    <t xml:space="preserve">Preso preventivamente em 04/03/2026 (3ª fase da Operação Compliance Zero; ordem de Mendonça). Em 20/10/2026 a PGR se opôs a revogar a prisão dele, do pai e de um primo de Vorcaro, por falta de mudança nas circunstâncias. Manchetes de jan/2026 dizem que já fora detido ao tentar embarcar para Dubai e solto horas depois. Sem condenação.</t>
  </si>
  <si>
    <t xml:space="preserve">Não achei a venda do apartamento à WT nas fontes que abri. Resposta do citado: não localizada nas fontes consultadas (checagem de 23/10/2026). Pedidos de correção ou resposta: ver “Sobre este mapa”.</t>
  </si>
  <si>
    <t xml:space="preserve">Congresso em Foco https://www.congressoemfoco.com.br/noticia/116929/pf-prende-cunhado-de-vorcaro-suspeito-de-operar-esquema-do-master | Mateus Oliver Reporter (20/10/2026) https://www.mateusoliverreporter.com.br/2026/10/20/pgr-defende-manutencao-de-prisoes-no-caso-banco-master-e-permanencia-de-fachin-a-frente-de-decisoes-no-stf/ | Doações de Fabiano Zettel nas eleições de 2022 (cnnbrasil.com.br) https://www.cnnbrasil.com.br/politica/alvo-da-pf-doou-r-5-mi-para-campanhas-de-bolsonaro-e-tarcisio-em-2022/ | O apartamento de Fabiano Zettel e Willer Tomaz (piaui.uol.com.br) https://piaui.uol.com.br/web/flavio-bolsonaro-zettel-tomaz-imovel-vila-nova-conceicao-sao-paulo/</t>
  </si>
  <si>
    <t xml:space="preserve">Segue preso em 20/10/2026 (PGR contra soltura). 21/10/2026: importado do acervo a verdade. (bolsomaster.site). 23/10/2026: campo de resposta do citado incluído.</t>
  </si>
  <si>
    <t xml:space="preserve">zetel.jpg</t>
  </si>
  <si>
    <t xml:space="preserve">Wikimedia Commons · CC BY-SA 2.0</t>
  </si>
  <si>
    <t xml:space="preserve">https://commons.wikimedia.org/wiki/File:Fabiano_Zettel.jpg</t>
  </si>
  <si>
    <t xml:space="preserve">dirjur</t>
  </si>
  <si>
    <t xml:space="preserve">Diretor jurídico do Master</t>
  </si>
  <si>
    <t xml:space="preserve">Não pesquisado: não nomeado na planilha.</t>
  </si>
  <si>
    <t xml:space="preserve">promoter</t>
  </si>
  <si>
    <t xml:space="preserve">Promoter</t>
  </si>
  <si>
    <t xml:space="preserve">Não pesquisado: pessoa privada e não nomeada.</t>
  </si>
  <si>
    <t xml:space="preserve">mordomo</t>
  </si>
  <si>
    <t xml:space="preserve">Mordomo do triplex</t>
  </si>
  <si>
    <t xml:space="preserve">Não pesquisado: pessoa privada e não nomeada. Funcionário da casa que, segundo a piauí, trocava mensagens com Vorcaro sobre a organização das festas, entre elas a de 28/02/2025.</t>
  </si>
  <si>
    <t xml:space="preserve">Festas no triplex de Vorcaro, diz revista (Agenda do Poder, 16/10/2026, reproduz a piauí) https://agendadopoder.com.br/vorcaro-promoveu-festa-com-garotas-de-programa-para-kassio-nunes-marques-diz-revista/</t>
  </si>
  <si>
    <t xml:space="preserve">23/10/2026: retirada a ligação com ministro (mensagens não o identificam).</t>
  </si>
  <si>
    <t xml:space="preserve">mulheres</t>
  </si>
  <si>
    <t xml:space="preserve">Mulheres das festas</t>
  </si>
  <si>
    <t xml:space="preserve">Não pesquisado: pessoas privadas e não nomeadas. Não faz sentido (nem é seguro) montar perfil.</t>
  </si>
  <si>
    <t xml:space="preserve">eletricista</t>
  </si>
  <si>
    <t xml:space="preserve">Eletricista</t>
  </si>
  <si>
    <t xml:space="preserve">richarlison</t>
  </si>
  <si>
    <t xml:space="preserve">Richarlison</t>
  </si>
  <si>
    <t xml:space="preserve">Casas e ativos</t>
  </si>
  <si>
    <t xml:space="preserve">Jogador de futebol (seleção brasileira). Via a empresa Sport 70 comprou em 2020 a mansão da Ilha Comprida (Angra dos Reis); diz ter investido ~R$ 10 mi. Em maio/2022 houve reintegração de posse em favor de M Locadora/WT. Em maio/2025 o STJ manteve a decisão favorável à WT de Willer Tomaz. Flávio foi arrolado como testemunha (nega envolvimento).</t>
  </si>
  <si>
    <t xml:space="preserve">Atua no futebol; residência não pesquisada</t>
  </si>
  <si>
    <t xml:space="preserve">Parte lesada na disputa civil; não é investigado.</t>
  </si>
  <si>
    <t xml:space="preserve">Em jun/2026 uma advogada publicou e retirou um vídeo sobre o caso, retratando-se por imprecisões. Acervo a verdade.: o PDF diz que o advogado morto em fev/2024 no Rio era de Richarlison, mas a ICL informa que Rodrigo Crespo representava a WT, do lado de Willer (que nega que ele tenha atuado). Nada nas fontes liga Flávio ou Willer ao homicídio. O PDF diz que a mansão é gerida por empresa de Vorcaro; o mapa a registra como da WT.</t>
  </si>
  <si>
    <t xml:space="preserve">Poder360 https://www.poder360.com.br/justica/richarlison-briga-na-justica-com-amigo-de-flavio-bolsonaro/ | Congresso em Foco https://www.congressoemfoco.com.br/noticia/120171/disputa-por-mansao-de-r-10-mi-envolve-richarlison-e-flavio-bolsonaro | A disputa pelo imóvel comprado por Richarlison (iclnoticias.com.br) https://iclnoticias.com.br/advogado-defendia-amigo-de-flavio-bolsonaro/ | A disputa pelo imóvel comprado por Richarlison (iclnoticias.com.br) https://iclnoticias.com.br/pf-e-acionada-flavio-bolsonaro-richarlisson/ | A transferência do imóvel disputado em Angra (iclnoticias.com.br) https://iclnoticias.com.br/governo-bolsonaro-imovel-richarlison/</t>
  </si>
  <si>
    <t xml:space="preserve">21/10/2026: importado do acervo a verdade. (bolsomaster.site).</t>
  </si>
  <si>
    <t xml:space="preserve">richarlison.jpg</t>
  </si>
  <si>
    <t xml:space="preserve">ALES · CC BY 2.0</t>
  </si>
  <si>
    <t xml:space="preserve">https://commons.wikimedia.org/wiki/File:Richarlison_é_homenageado_na_ALES_(10.July.2019)_12_(cropped2).jpg</t>
  </si>
  <si>
    <t xml:space="preserve">dono</t>
  </si>
  <si>
    <t xml:space="preserve">Ex-possuidor da mansão (nome não confirmado)</t>
  </si>
  <si>
    <t xml:space="preserve">Não consegui confirmar o nome nem o papel em fonte pública. As matérias que abri chamam o ex-possuidor apenas de "o então possuidor" e não dizem que ele ouviu Flávio chamar Willer de sócio. Pessoa privada; não aprofundei.</t>
  </si>
  <si>
    <t xml:space="preserve">Afirmação da planilha não confirmada nas minhas fontes. Vale conferir a origem (vídeo do canal Revelando).</t>
  </si>
  <si>
    <t xml:space="preserve">nunes</t>
  </si>
  <si>
    <t xml:space="preserve">Kássio Nunes Marques</t>
  </si>
  <si>
    <t xml:space="preserve">Poder e Justiça</t>
  </si>
  <si>
    <t xml:space="preserve">Ministro do STF, indicado por Jair Bolsonaro em 2020; eleito presidente do TSE em 14/04/2026 para mandato de 2 anos (vice: André Mendonça). PF/Coaf: a Consult Inteligência Tributária recebeu R$ 6,6 mi do Master (ago/2024–jul/2025), valor incompatível com o faturamento declarado; suspeita de triangulação até o filho. Em sessão do STF ele negou ter votado processos do Master e negou que o filho tenha recebido valores. Deputados pediram investigação. Como presidente do TSE, anunciou em 25/10/2026 a reeleição de Lula e criticou a liminar de Zanin (STF) que prorrogou a votação até 19h: disse que ela causou dificuldades operacionais e o maior acúmulo de boletins de urna já registrado, mas não alterou o resultado.</t>
  </si>
  <si>
    <t xml:space="preserve">Não há processo contra ele nas fontes que li.</t>
  </si>
  <si>
    <t xml:space="preserve">Acervo a verdade.: o PDF original diz que ele “recebeu R$ 427 mi”. A CNN fala em contrato de advocacia de até R$ 427 mi, condicionado a êxito, o que não comprova recebimento pessoal. Ele nega.</t>
  </si>
  <si>
    <t xml:space="preserve">Gazeta do Povo https://www.gazetadopovo.com.br/republica/filho-nunes-marques-teria-recebido-500-mil-master-aponta-pf/ | Times Brasil https://timesbrasil.com.br/brasil/deputados-pedem-investigacao-sobre-nunes-marques-e-master/ | Agência Brasil https://agenciabrasil.ebc.com.br/justica/noticia/2026-04/nunes-marques-e-eleito-presidente-do-tse | O voto de Nunes Marques no caso Alcídia (noticias.uol.com.br) https://noticias.uol.com.br/colunas/a-hora/2026/10/04/kassio-se-declarou-impedido-voltou-atras-e-deu-ganho-bilionario-ao-master.htm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 | Relatos do ex-sócio sobre festas, relógio e lobby (brasildefato.com.br) https://www.brasildefato.com.br/2026/09/29/ex-socio-de-flavio-bolsonaro-cita-festas-com-garotas-de-programa-rolex-de-r-305-mil-e-lobby-com-nunes-marques-diz-site/#google_vignette | TSE 25/10/2026 (resultado do 2º turno) https://www.tse.jus.br/comunicacao/noticias/2026/Outubro/presidente-do-tse-anuncia-reeleicao-de-lula-e-faz-balanco-do-2o-turno-das-eleicoes-2026 | Metrópoles 25/10/2026 (Nunes Marques sobre a decisão de Zanin) https://www.metropoles.com/brasil/nunes-marques-diz-que-decisao-de-zanin-nao-alterou-resultado-da-eleicao</t>
  </si>
  <si>
    <t xml:space="preserve">Presidente do TSE confirmado (eleito em 14/04/2026). 21/10/2026: importado do acervo a verdade. (bolsomaster.site). 26/10/2026: atuação como presidente do TSE no 2º turno (25/10).</t>
  </si>
  <si>
    <t xml:space="preserve">nunes.jpg</t>
  </si>
  <si>
    <t xml:space="preserve">Secom/TSE · domínio público</t>
  </si>
  <si>
    <t xml:space="preserve">https://commons.wikimedia.org/wiki/File:Nunes_Marques,_February_2025_(cropped).jpg</t>
  </si>
  <si>
    <t xml:space="preserve">kevin</t>
  </si>
  <si>
    <t xml:space="preserve">Kevin Marques</t>
  </si>
  <si>
    <t xml:space="preserve">Advogado, filho de Nunes Marques. Mensagens do celular de Vorcaro sugerem pagamento mensal de R$ 500 mil (planilha enviada por Luiz Rennó em out/2024; reaviso em jul/2025). Ele nega ter prestado serviço ao Master; a defesa diz que recebeu R$ 281,6 mil da Consult por advocacia tributária.</t>
  </si>
  <si>
    <t xml:space="preserve">As fontes não mostram indiciamento nem denúncia.</t>
  </si>
  <si>
    <t xml:space="preserve">Planilha diz "~R$ 300 mil": as fontes trazem R$ 500 mil/mês (suspeita da PF) e R$ 281,6 mil (versão da defesa).</t>
  </si>
  <si>
    <t xml:space="preserve">Gazeta do Povo (link acima)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t>
  </si>
  <si>
    <t xml:space="preserve">ramagem</t>
  </si>
  <si>
    <t xml:space="preserve">Alexandre Ramagem</t>
  </si>
  <si>
    <t xml:space="preserve">Nascido em 08/05/1972, Rio de Janeiro. Delegado da PF, diretor-geral da Abin (2019–2022), deputado federal pelo PL (mandato terminou em dez/2025 após a condenação). Condenado pela 1ª Turma do STF em 11/09/2025 (4 a 1) a 16 anos, 1 mês e 15 dias por tentativa de golpe, organização criminosa armada e outros crimes. Prisão preventiva decretada em 21/11/2025. Fugiu via Roraima/Guiana e chegou aos EUA em 11/09/2025.</t>
  </si>
  <si>
    <t xml:space="preserve">Estados Unidos (Flórida); em 05/07/2026 estava em Nova Jersey para um jogo do Brasil. Paradeiro atual não informado</t>
  </si>
  <si>
    <t xml:space="preserve">Foragido da Justiça brasileira. Em 13/04/2026 foi preso pelo ICE em Orlando e solto dois dias depois, sem fiança; o pedido de asilo aguarda análise. Em 05/07/2026 disse à CNN que a extradição "não vai acontecer" e ligou seu retorno ao Brasil às eleições com Flávio candidato. A CNN afirma que um processo de extradição pedido pelo Brasil tramita em paralelo.</t>
  </si>
  <si>
    <t xml:space="preserve">Divergência entre fontes resolvida: a CNN (jul/2026) confirma processo de extradição; a Pública (29/09) apenas não menciona.</t>
  </si>
  <si>
    <t xml:space="preserve">Agência Pública 29/09/2026 https://apublica.org/2026/09/familia-de-condenado-por-garimpo-na-terra-yanomami-bancou-vida-de-ramagem-nos-eua/ | Wikipedia en https://en.wikipedia.org/wiki/Alexandre_Ramagem | CNN Brasil 05/07/2026 https://www.cnnbrasil.com.br/politica/nos-eua-ramagem-diz-que-extradicao-nao-acontecera-e-cita-volta-ao-brasil/ | O áudio de Bolsonaro e Ramagem sobre Flávio (valor.globo.com) https://valor.globo.com/politica/noticia/2024/07/11/audio-mostra-bolsonaro-e-ramagem-discutindo-como-blindar-flavio-no-caso-das-rachadinhas-segundo-pf.ghtml</t>
  </si>
  <si>
    <t xml:space="preserve">Entrevista de 05/07/2026; asilo pendente; processo de extradição em paralelo. 21/10/2026: importado do acervo a verdade. (bolsomaster.site).</t>
  </si>
  <si>
    <t xml:space="preserve">ramagem.jpg</t>
  </si>
  <si>
    <t xml:space="preserve">Câmara dos Deputados · CC BY 3.0</t>
  </si>
  <si>
    <t xml:space="preserve">https://commons.wikimedia.org/wiki/File:Delegado_Ramagem_(PL_-_RJ)_(cropped).jpg</t>
  </si>
  <si>
    <t xml:space="preserve">heleno</t>
  </si>
  <si>
    <t xml:space="preserve">Augusto Heleno</t>
  </si>
  <si>
    <t xml:space="preserve">General do Exército, ex-ministro-chefe do GSI de Bolsonaro, 78 anos. Condenado a 21 anos em regime fechado (organização criminosa armada e tentativa de golpe). Em 22/12/2025 Moraes concedeu prisão domiciliar humanitária: perícia da PF apontou demência mista (Alzheimer e vascular), em estágio inicial mas de rápida progressão.</t>
  </si>
  <si>
    <t xml:space="preserve">Brasília (DF) para atendimento médico; cidade da domiciliar não confirmada</t>
  </si>
  <si>
    <t xml:space="preserve">Vivo (confirmado em 16/10/2026)</t>
  </si>
  <si>
    <t xml:space="preserve">Condenado a 21 anos; em domiciliar humanitária desde 22/12/2025. Em 14–16/10/2026 Moraes autorizou visitas médicas diárias, uma saída em 22/10 para o Hospital das Forças Armadas e internação urgente sem nova decisão. A perícia da PF aponta demência mista (Alzheimer e vascular), "progressiva e irreversível", além de osteoartrose avançada e risco de queda.</t>
  </si>
  <si>
    <t xml:space="preserve">Conjur 22/12/2025 https://www.conjur.com.br/2025-dez-22/alexandre-de-moraes-concede-prisao-domiciliar-humanitaria-a-augusto-heleno//?print=1 | Tribuna do Sertão 16/10/2026 https://www.tribunadosertao.com.br/poder-e-governo/2026/10/16/998671-moraes-autoriza-que-heleno-deixe-prisao-domiciliar-para-atendimento-medico-em-brasilia</t>
  </si>
  <si>
    <t xml:space="preserve">Saúde e autorizações de Moraes em 14–16/10/2026.</t>
  </si>
  <si>
    <t xml:space="preserve">heleno.jpg</t>
  </si>
  <si>
    <t xml:space="preserve">https://commons.wikimedia.org/wiki/File:Augusto_Heleno_(cropped).jpg</t>
  </si>
  <si>
    <t xml:space="preserve">moro</t>
  </si>
  <si>
    <t xml:space="preserve">Sérgio Fernando Moro</t>
  </si>
  <si>
    <t xml:space="preserve">Nascido em 01/08/1972, Maringá (PR). Juiz federal por mais de 20 anos (Lava Jato, 13ª Vara de Curitiba); condenou Lula em 2017. Em 2021 o STF reconheceu sua suspeição naquele caso. Ministro da Justiça de Bolsonaro (jan/2019–abr/2020) e senador pelo PR desde 2023. Deixou o Senado para disputar o governo do Paraná pelo PL e foi eleito governador no 1º turno em 04/10/2026.</t>
  </si>
  <si>
    <t xml:space="preserve">Curitiba/Paraná (PR), governador eleito</t>
  </si>
  <si>
    <t xml:space="preserve">Sem condenação criminal nas fontes que li.</t>
  </si>
  <si>
    <t xml:space="preserve">NSC Total https://www.nsctotal.com.br/politica/eleicoes-2026-quem-e-sergio-moro-candidato-do-pl-ao-governo-do-parana | Congresso em Foco https://www.congressoemfoco.com.br/noticia/122688/sergio-moro-e-eleito-governador-do-parana | Tribuna do Sertão 04/10/2026 https://tribunadosertao.com.br/politica/2026/10/04/990712-sergio-moro-e-eleito-governador-do-parana-no-1o-turno | A saída de Moro e a acusação de interferência na PF (g1.globo.com) https://g1.globo.com/politica/noticia/2020/04/24/moro-anuncia-demissao-do-ministerio-da-justica-e-deixa-o-governo-bolsonaro.ghtml</t>
  </si>
  <si>
    <t xml:space="preserve">Eleito governador do Paraná no 1º turno (04/10/2026). 21/10/2026: importado do acervo a verdade. (bolsomaster.site). 23/10/2026: campo de resposta do citado incluído.</t>
  </si>
  <si>
    <t xml:space="preserve">moro.jpg</t>
  </si>
  <si>
    <t xml:space="preserve">Domínio público</t>
  </si>
  <si>
    <t xml:space="preserve">https://commons.wikimedia.org/wiki/File:Senador_da_República_Sérgio_Moro.jpg</t>
  </si>
  <si>
    <t xml:space="preserve">ciro</t>
  </si>
  <si>
    <t xml:space="preserve">Ciro Nogueira</t>
  </si>
  <si>
    <t xml:space="preserve">Senador (PP-PI) e presidente nacional do Progressistas. Não se reelegeu: ficou em 3º na disputa ao Senado no Piauí em 04/10/2026 (24,67% com 90% das urnas apuradas; as vagas ficaram com Marcelo Castro e Júlio César). Alvo da 5ª fase da Operação Compliance Zero (maio/2026, ordem de Mendonça): suposta ponte entre Vorcaro e o Congresso, com participação societária avaliada em ~R$ 13 mi comprada por R$ 1 mi e mesada de R$ 300 mil (relatos falam em R$ 500 mil). Proibido de contato com investigados; o irmão deve usar tornozeleira.</t>
  </si>
  <si>
    <t xml:space="preserve">Piauí (PI); mandato em Brasília</t>
  </si>
  <si>
    <t xml:space="preserve">Alvo de operação, sem denúncia. A defesa nega qualquer participação em atividades ilícitas.</t>
  </si>
  <si>
    <t xml:space="preserve">Identificação confirmada: o "Círio Nogueira" da transcrição é o senador Ciro Nogueira, investigado no caso Master (busca em 07/05/2026). A aba Notes original ainda diz "inferida". Contato no celular de Vorcaro (piauí, 19/10/2026): Não respondeu à piauí. Os números de contato (piauí/InterSecLab, base 18/11/2025) medem volume de contato individual (WhatsApp e ligações), não conteúdo; mensagens expiradas ou apagadas não são recuperáveis.</t>
  </si>
  <si>
    <t xml:space="preserve">Correio da Manhã 07/05/2026 https://www.correiodamanha.com.br/politica/2026/05/283952-ciro-nogueira-receberia-mesada-do-master-diz-investigacao.html | Wikipedia (Banco Master scandal) https://en.wikipedia.org/wiki/Banco_Master_scandal | Supostos pagamentos mensais a Ciro Nogueira (agenciabrasil.ebc.com.br) https://agenciabrasil.ebc.com.br/justica/noticia/2026-05/mesada-e-viagens-internacionais-veja-o-que-pf-diz-sobre-ciro-nogueira | Viagens de Ciro e a suspeita de contrapartida política (g1.globo.com) https://g1.globo.com/jornal-nacional/noticia/2026/05/08/pf-suspeita-que-vorcaro-pagou-ao-menos-3-viagens-internacionais-do-senador-ciro-nogueira-do-pp.ghtml | Ciro na Operação Compliance Zero (agenciabrasil.ebc.com.br) https://agenciabrasil.ebc.com.br/justica/noticia/2026-05/policia-federal-deflagra-5a-fase-da-operacao-compliance-zero | Imagens de Ciro e Vorcaro nos Alpes (cnnbrasil.com.br) https://www.cnnbrasil.com.br/blogs/debora-bergamasco/politica/imagens-obtidas-pela-pf-mostram-ciro-nogueira-e-vorcaro-nos-alpes-franceses/ | O custeio da viagem a Courchevel (piaui.uol.com.br) https://piaui.uol.com.br/web/ciro-nogueira-daniel-vorcaro-alpes-franceses-imagens/ | Piauí: 71% das interações de Vorcaro com políticos eram do governo Bolsonaro (piaui.uol.com.br) https://piaui.uol.com.br/web/mais-de-70-das-interacoes-do-celular-de-vorcaro-com-politicos-eram-com-membros-do-governo-bolsonaro/ | Metrópoles 04/10/2026 (Ciro perde eleição ao Senado) https://www.metropoles.com/brasil/ciro-nogueira-perde-eleicao-para-o-senado-no-piaui</t>
  </si>
  <si>
    <t xml:space="preserve">Identificação tratada como confirmada (antes: inferida); busca em 07/05/2026. 21/10/2026: importado do acervo a verdade. (bolsomaster.site). 23/10/2026: contato no celular de Vorcaro (piauí/InterSecLab) e resposta à reportagem. 26/10/2026: derrota na eleição ao Senado (04/10/2026), que faltava no perfil.</t>
  </si>
  <si>
    <t xml:space="preserve">ciro.jpg</t>
  </si>
  <si>
    <t xml:space="preserve">Wikimedia Commons · CC BY-SA 4.0</t>
  </si>
  <si>
    <t xml:space="preserve">https://commons.wikimedia.org/wiki/File:Senador739.jpg</t>
  </si>
  <si>
    <t xml:space="preserve">mendonca</t>
  </si>
  <si>
    <t xml:space="preserve">André Mendonça</t>
  </si>
  <si>
    <t xml:space="preserve">Ministro do STF indicado por Jair Bolsonaro; ex-AGU e ex-ministro da Justiça. Relator do caso Master desde fev/2026, um mês após o instituto que fundou (ITER) receber R$ 5,2 mi de empresa de sócio de Vorcaro. Mensagens mostram o advogado de Vorcaro articulando encontros com ele em fev e mar/2025. Em set/2026 afastou o diretor-geral da PF e revogou a prisão do filho do Careca do INSS. Em 12/09/2026 o presidente do STF, Fachin, levou à Presidência os autos dos casos Master e INSS e os paralisou; Mendonça segue relator formal, mas sem os autos. Em 20/10/2026 pediu por ofício a Fachin que decida se os casos voltam ao gabinete dele.</t>
  </si>
  <si>
    <t xml:space="preserve">Moraes pediu ao STF que ele fosse investigado por abuso de autoridade nos casos Master e INSS, com base em relatórios da PF. Em 19/10/2026 a PGR disse não ver elementos de abuso de autoridade e se manifestou contra abrir a investigação; a decisão final cabe ao plenário. Não há processo aberto contra ele nas fontes.</t>
  </si>
  <si>
    <t xml:space="preserve">Dados do acervo a verdade.; fontes não reverificadas uma a uma. Os levantamentos de contratos do ITER (52 contratos e R$ 8,2 mi; 55 contratos e R$ 10,8 mi) são recortes diferentes e não se somam. Resposta do citado: não localizada nas fontes consultadas (checagem de 23/10/2026). Pedidos de correção ou resposta: ver “Sobre este mapa”.</t>
  </si>
  <si>
    <t xml:space="preserve">A visita à alfaiataria com o advogado de Vorcaro (iclnoticias.com.br) https://iclnoticias.com.br/vaza-mendonca-mensagens-e-audios-ineditos/ | Encomendas, recibos e pagamentos na alfaiataria (oglobo.globo.com) https://oglobo.globo.com/politica/noticia/2026/09/03/alfaiataria-visitada-por-mendonca-e-advogado-de-vorcaro-nao-esclarece-encomenda-nem-mostra-recibos-ternos-sob-medida-custam-a-partir-de-r-219-mil.ghtml | Encomendas, recibos e pagamentos na alfaiataria (paulomotoryn.substack.com) https://paulomotoryn.substack.com/p/exclusivo-vorcaro-gastou-r-500-mil | Encomendas, recibos e pagamentos na alfaiataria (metro1.com.br) https://www.metro1.com.br/noticias/politica/187938,notas-de-mendonca-em-alfaiataria-frequentada-por-vorcaro-registravam-sem-pagamento | Mensagens para agendar encontro com Mendonça (iclnoticias.com.br) https://iclnoticias.com.br/vaza-mendonca-mensagens-e-audios-ineditos/ | O convite a Bruno Bianco para a reunião (iclnoticias.com.br) https://iclnoticias.com.br/vaza-mendonca-mensagens-e-audios-ineditos/ | A reunião de fevereiro de 2025 (iclnoticias.com.br) https://iclnoticias.com.br/vaza-mendonca-mensagens-e-audios-ineditos/ | Encontro com Vorcaro na sede do ITER (iclnoticias.com.br) https://iclnoticias.com.br/vaza-mendonca-mensagens-e-audios-ineditos/ | Pedido de vista no julgamento sobre cemitérios (valor.globo.com) https://valor.globo.com/politica/noticia/2026/09/15/stf-em-ao-sobre-cemitrios-em-sp-dino-pede-nova-investigao-de-mendona.ghtml | Convites para coquetéis do instituto (iclnoticias.com.br) https://iclnoticias.com.br/vorcaro-foi-chamado-a-coquetel-de-mendonca/ | A viagem de helicóptero de Mendonça (noticias.uol.com.br) https://noticias.uol.com.br/colunas/daniela-lima/2026/09/22/mendonca-voou-em-aeronave-de-ex-parceiro-de-negocios-de-vorcaro.htm | Aporte de R$ 5,2 milhões ao ITER (noticias.uol.com.br) https://noticias.uol.com.br/ultimas-noticias/redacao/2026/09/17/ex-parceiro-de-vorcaro-pos-r-5-milhoes-em-instituto-de-mendonca.htm | Depoimento de Vorcaro sem a Polícia Federal (iclnoticias.com.br) https://iclnoticias.com.br/gabinete-mendonca-ouviu-vorcaro-horario-pf/ | O afastamento de um diretor da PF (cnnbrasil.com.br) https://www.cnnbrasil.com.br/blogs/teo-cury/politica/mendonca-ordenou-afastamento-de-diretor-geral-da-pf-sem-ouvir-pgr/ | A atuação do diretor afastado nos casos Master e INSS (iclnoticias.com.br) https://iclnoticias.com.br/diretor-da-pf-afastado-mendonca-prendeu-vorcaro/ | Revogação da prisão do filho do Careca do INSS (iclnoticias.com.br) https://iclnoticias.com.br/andre-mendonca-revoga-prisao-do-filho-do-careca/ | A contestação da AGU ao afastamento na PF (iclnoticias.com.br) https://iclnoticias.com.br/agu-mendonca-usurpou-competencia-fachin/ | A cronologia entre a operação de Dino e o afastamento (iclnoticias.com.br) https://iclnoticias.com.br/mendonca-cesinha-madureira-vorcaro-dino/ | Financiamento da campanha de Cezinha de Madureira (iclnoticias.com.br) https://iclnoticias.com.br/tarcisio-campanha-deputado-mendonca-vorcaro/ | A proximidade entre Cezinha e Mendonça (iclnoticias.com.br) https://iclnoticias.com.br/cezinha-de-madureira-tinha-porta-retrato-com-mendonca-na-sala-de-casa/ | 52 contratos do ITER com órgãos públicos (apublica.org) https://apublica.org/nota/instituto-de-andre-mendonca-e-alvo-de-representacoes-para-investigar-irregularidades/ | Outro levantamento: 55 contratos do instituto (iclnoticias.com.br) https://iclnoticias.com.br/instituto-de-andre-mendonca-faturou/ | A promoção do irmão de Mendonça (iclnoticias.com.br) https://iclnoticias.com.br/irmao-de-mendonca-foi-promovido-por-nunes/ | Votos relativos a Castro e contratos no Rio (iclnoticias.com.br) https://iclnoticias.com.br/mendonca-votou-a-favor-de-castro-4-vezes/ | Prazos diferentes para decisões sobre políticos (cnnbrasil.com.br) https://www.cnnbrasil.com.br/politica/mendonca-demora-9-dias-para-despachar-sobre-wagner-e-75-sobre-castro/ | O contraste nos prazos apontado pela PF (iclnoticias.com.br) https://iclnoticias.com.br/pf-aponta-diferenca-8-x-no-tempo-mendonca/ | A declaração de Gilmar sobre acesso a dados (iclnoticias.com.br) https://iclnoticias.com.br/gilmar-stf-dados-maste-ministros-mendonca/ | O pedido para rastrear o dinheiro do Master (iclnoticias.com.br) https://iclnoticias.com.br/pf-espera-ha-seis-meses-decisao-mendonca/ | A recomendação de sigilo sobre o celular de Vorcaro (iclnoticias.com.br) https://iclnoticias.com.br/contra-transparencia-mendonca-recomenda-manter/ | Tratamento de ministros em relatório da PF (iclnoticias.com.br) https://iclnoticias.com.br/relatorio-pf-mendonca-poupou-toffoli-kassio/ | O pedido de nulidade apresentado por Gonet (iclnoticias.com.br) https://iclnoticias.com.br/gonet-diz-que-mendonca-investigou-moraes/ | Gazeta do Povo 21/10/2026 (caso Master parado com Fachin) https://www.gazetadopovo.com.br/republica/caso-master-esta-travado-ha-mais-de-um-mes-nas-maos-de-fachin-no-stf/ | Jornal Opção 19/10/2026 (PGR rejeita investigação de Mendonça) https://www.jornalopcao.com.br/ultimas-noticias/pgr-nao-ve-abuso-de-autoridade-de-mendonca-em-caso-master-e-rejeita-abertura-de-investigacao-880421/ | Rádio Caiçara 20/10/2026 (ofício de Mendonça a Fachin) https://www.radiocaicara.com.br/ministro-andre-mendonca-pede-ao-presidente-do-supremo-que-decida-se-casos-master-e-inss-voltarao-para-o-seu-gabinete/</t>
  </si>
  <si>
    <t xml:space="preserve">21/10/2026: importado do acervo a verdade. (bolsomaster.site) (perfil novo). 22/10/2026: foto adicionada. 23/10/2026: campo de resposta do citado incluído. 26/10/2026: autos dos casos Master e INSS com Fachin; pedido de Moraes e parecer contrário da PGR (19/10); ofício a Fachin (20/10).</t>
  </si>
  <si>
    <t xml:space="preserve">mendonca.jpg</t>
  </si>
  <si>
    <t xml:space="preserve">Luis Macedo/Câmara dos Deputados · CC BY 3.0</t>
  </si>
  <si>
    <t xml:space="preserve">https://commons.wikimedia.org/wiki/File:Andr%C3%A9_Luiz_de_Almeida_Mendon%C3%A7a_(cropped).jpg</t>
  </si>
  <si>
    <t xml:space="preserve">faria</t>
  </si>
  <si>
    <t xml:space="preserve">Fábio Faria</t>
  </si>
  <si>
    <t xml:space="preserve">Ex-ministro das Comunicações de Jair Bolsonaro. Mensagens recuperadas pela PF o apontam como intermediário de Vorcaro com autoridades em Brasília e com ministros de tribunais superiores, inclusive na organização de festas. Empresa ligada a Vorcaro pagou R$ 67,5 mi por um projeto dele.</t>
  </si>
  <si>
    <t xml:space="preserve">O acervo não informa se ele é formalmente investigado.</t>
  </si>
  <si>
    <t xml:space="preserve">Dados do acervo a verdade.; fontes não reverificadas uma a uma. Contato no celular de Vorcaro (piauí, 19/10/2026): Respondeu à piauí que deixou o setor público em dez/2022 e conheceu Vorcaro no fim de 2023. Os números de contato (piauí/InterSecLab, base 18/11/2025) medem volume de contato individual (WhatsApp e ligações), não conteúdo; mensagens expiradas ou apagadas não são recuperáveis. Resposta do citado: ele defende o valor do projeto eólico (piauí); demais pontos sem resposta localizada nas fontes consultadas (checagem de 23/10/2026). Pedidos de correção ou resposta: ver “Sobre este mapa”.</t>
  </si>
  <si>
    <t xml:space="preserve">Fábio Faria como interlocutor de Vorcaro (piaui.uol.com.br) https://piaui.uol.com.br/web/fabio-faria-daniel-vorcaro-lobby/ | R$ 67,5 milhões por projeto de Fábio Faria (tab.uol.com.br) https://tab.uol.com.br/noticias/redacao/2026/01/29/vorcaro-pagou-r-675-mi-em-projeto-eolico-de-fabio-faria-ex-ministro.htm | Convites a autoridades para festas e encontros (piaui.uol.com.br) https://piaui.uol.com.br/web/festa-suicas-vorcaro-fabio-faria/ | O grupo com Hugo Motta, Ciro e Fábio Faria (gazetadopovo.com.br) https://www.gazetadopovo.com.br/republica/vorcaro-grupo-motta-ciro-nogueira-fabio-faria-organizar-encontros/ | A intermediação de contatos com Moraes (g1.globo.com) https://g1.globo.com/politica/noticia/2026/09/01/ex-ministro-fabio-faria-atuou-para-intermediar-contatos-entre-vorcaro-e-moraes-aponta-pf.ghtml | Piauí: 71% das interações de Vorcaro com políticos eram do governo Bolsonaro (piaui.uol.com.br) https://piaui.uol.com.br/web/mais-de-70-das-interacoes-do-celular-de-vorcaro-com-politicos-eram-com-membros-do-governo-bolsonaro/</t>
  </si>
  <si>
    <t xml:space="preserve">21/10/2026: importado do acervo a verdade. (bolsomaster.site) (perfil novo). 22/10/2026: foto adicionada. 23/10/2026: contato no celular de Vorcaro (piauí/InterSecLab) e resposta à reportagem. 23/10/2026: campo de resposta do citado incluído.</t>
  </si>
  <si>
    <t xml:space="preserve">faria.jpg</t>
  </si>
  <si>
    <t xml:space="preserve">https://commons.wikimedia.org/wiki/File:F%C3%A1bio_Faria_(cropped).jpg</t>
  </si>
  <si>
    <t xml:space="preserve">frias</t>
  </si>
  <si>
    <t xml:space="preserve">Mario Frias</t>
  </si>
  <si>
    <t xml:space="preserve">Deputado federal (PL-SP), reeleito em 04/10/2026 com 91.403 votos. Ex-secretário especial de Cultura de Jair Bolsonaro e produtor-executivo do filme Dark Horse. Áudio divulgado pelo Intercept mostra ele agradecendo Vorcaro pelo financiamento do filme.</t>
  </si>
  <si>
    <t xml:space="preserve">São Paulo (SP); mandato em Brasília</t>
  </si>
  <si>
    <t xml:space="preserve">Investigado na PET 16.669 (STF), sobre suposto desvio de emendas ligado ao filme Dark Horse. Em 13/09/2026 o ministro Flávio Dino apontou Frias como possível figura central da estrutura investigada, como linha de investigação e não conclusão; a PF o chama de “agente central”. Alvo da Operação Make Up (10/09/2026). Sem denúncia nem condenação. Ele nega irregularidades, chama o caso de “cortina de fumaça” e diz que vai colaborar.</t>
  </si>
  <si>
    <t xml:space="preserve">Situação de investigado reverificada em 26/10/2026 (decisão de Dino, set/2026). Contato no celular de Vorcaro (piauí, 19/10/2026): A reportagem da piauí não reproduz a resposta dele. Os números de contato (piauí/InterSecLab, base 18/11/2025) medem volume de contato individual (WhatsApp e ligações), não conteúdo; mensagens expiradas ou apagadas não são recuperáveis. Resposta do citado: ver Situação jurídica (Congresso em Foco, 13/09/2026). Pedidos de correção ou resposta: ver “Sobre este mapa”.</t>
  </si>
  <si>
    <t xml:space="preserve">Mario Frias e a produção de Dark Horse (intercept.com.br) https://www.intercept.com.br/2026/05/19/audio-mario-frias-daniel-vorcaro/ | Piauí: 71% das interações de Vorcaro com políticos eram do governo Bolsonaro (piaui.uol.com.br) https://piaui.uol.com.br/web/mais-de-70-das-interacoes-do-celular-de-vorcaro-com-politicos-eram-com-membros-do-governo-bolsonaro/ | Congresso em Foco 13/09/2026 (decisão de Dino na PET 16.669) https://www.congressoemfoco.com.br/noticia/122209/mario-frias-seria-peca-central-em-esquema-de-dark-horse-aponta-dino | A Crítica 2026 (Frias reeleito com 91.403 votos) https://acritica.net/entretenimento/famosos-eleitos-2026-thammy-mario-frias-datena-caneta-azul/</t>
  </si>
  <si>
    <t xml:space="preserve">21/10/2026: importado do acervo a verdade. (bolsomaster.site) (perfil novo). 22/10/2026: foto adicionada. 23/10/2026: contato no celular de Vorcaro (piauí/InterSecLab) e resposta à reportagem. 23/10/2026: campo de resposta do citado incluído. 26/10/2026: situação de investigado reverificada (Dino, PET 16.669) com a resposta dele; reeleito deputado federal.</t>
  </si>
  <si>
    <t xml:space="preserve">frias.jpg</t>
  </si>
  <si>
    <t xml:space="preserve">Isac Nóbrega/PR · CC BY 2.0</t>
  </si>
  <si>
    <t xml:space="preserve">https://commons.wikimedia.org/wiki/File:M%C3%A1rio_Frias_em_2020.jpg</t>
  </si>
  <si>
    <t xml:space="preserve">gaspar</t>
  </si>
  <si>
    <t xml:space="preserve">Alfredo Gaspar</t>
  </si>
  <si>
    <t xml:space="preserve">Deputado federal por Alagoas (eleito em 2022 pelo União Brasil; no PL desde mar/2026). Vice na chapa de Flávio Bolsonaro, derrotada no 2º turno em 25/10/2026. Como não disputou outro cargo, fica sem mandato a partir de fev/2027.</t>
  </si>
  <si>
    <t xml:space="preserve">Sem processo ou investigação em andamento nas fontes consultadas.</t>
  </si>
  <si>
    <t xml:space="preserve">Perfil limitado ao papel na chapa. Em 23/10/2026 retirei a menção a pedido de investigação já arquivado: não é uma conexão com os demais nós.</t>
  </si>
  <si>
    <t xml:space="preserve">Alfredo Gaspar, vice na chapa de Flávio (folha.uol.com.br) https://www1.folha.uol.com.br/poder/2026/10/gilmar-arquiva-pedido-de-investigacao-contra-vice-de-flavio-bolsonaro-por-suspeita-de-estupro.shtml | Alfredo Gaspar, vice na chapa de Flávio (noticias.uol.com.br) https://noticias.uol.com.br/eleicoes/2026/10/06/gilmar-mendes-arquiva-stf-suspeita-estupro-alfredo-gaspar-vice-flavio.ghtm | Alfredo Gaspar, vice na chapa de Flávio (dgabc.com.br) https://www.dgabc.com.br/Noticia/4351319/gilmar-arquiva-pedido-de-investigacao-por-suspeita-de-estupro-contra-vice-de-flavio | Tribuna do Agreste 26/10/2026 (Gaspar sem mandato a partir de 2027) https://www.tribunadoagreste.com.br/politica/2026/10/26/1006199-derrota-de-flavio-bolsonaro-deixa-alfredo-gaspar-sem-mandato-eletivo-a-partir-de-2027</t>
  </si>
  <si>
    <t xml:space="preserve">23/10/2026: retirada a menção a pedido de investigação arquivado (revisão editorial). 26/10/2026: chapa derrotada no 2º turno; cargo atual e fim do mandato.</t>
  </si>
  <si>
    <t xml:space="preserve">gaspar.jpg</t>
  </si>
  <si>
    <t xml:space="preserve">Kayo Magalhães/Câmara dos Deputados · CC BY 3.0</t>
  </si>
  <si>
    <t xml:space="preserve">https://commons.wikimedia.org/wiki/File:Alfredo_Gaspar_Deputado_Federal_(cropped).jpg</t>
  </si>
  <si>
    <t xml:space="preserve">weverton</t>
  </si>
  <si>
    <t xml:space="preserve">Weverton Rocha</t>
  </si>
  <si>
    <t xml:space="preserve">Senador pelo Maranhão (PDT) e vice-líder do governo Lula no Senado. Investigado na Operação Sem Desconto (caso INSS): a PF diz que ele formulava demandas e cobrava pagamentos numa estrutura ligada a Willer Tomaz, que mora numa casa de R$ 6 mi registrada na WT e que a mulher dele, Samya Rocha, recebeu mais de R$ 11 mi de empresas de Willer. Buscas em 04/08/2026, autorizadas por André Mendonça.</t>
  </si>
  <si>
    <t xml:space="preserve">Maranhão (MA); mandato em Brasília</t>
  </si>
  <si>
    <t xml:space="preserve">Investigado, sem denúncia. Diz que as movimentações vêm de atividades profissionais declaradas à Receita e que é alvo por suas posições políticas. Willer diz que os repasses a Samya são honorários de advogada associada.</t>
  </si>
  <si>
    <t xml:space="preserve">“Braço direito” é expressão do UOL News; a PF descreve a estrutura de Willer como “hub financeiro, patrimonial e logístico” do senador.</t>
  </si>
  <si>
    <t xml:space="preserve">Poder360 04/08/2026 https://www.poder360.com.br/poder-justica/pf-investiga-advogado-amigo-de-flavio-em-operacao-sobre-o-inss/ | O Povo 04/08/2026 https://www.opovo.com.br/noticias/politica/2026/08/04/pf-investiga-senador-weverton-rocha-por-suspeita-de-desvios-no-inss.html</t>
  </si>
  <si>
    <t xml:space="preserve">22/10/2026</t>
  </si>
  <si>
    <t xml:space="preserve">22/10/2026: rodada UOL News (bets, Loterj, hangar, Weverton). Perfil novo. 22/10/2026: foto adicionada.</t>
  </si>
  <si>
    <t xml:space="preserve">weverton.jpg</t>
  </si>
  <si>
    <t xml:space="preserve">Rodrigo Viana/Senado Federal · CC BY 2.0</t>
  </si>
  <si>
    <t xml:space="preserve">https://commons.wikimedia.org/wiki/File:Senadores_da_56%C2%AA_Legislatura_-_Weverton_Rocha_(32121443327).jpg</t>
  </si>
  <si>
    <t xml:space="preserve">pf</t>
  </si>
  <si>
    <t xml:space="preserve">Polícia Federal</t>
  </si>
  <si>
    <t xml:space="preserve">Polícia judiciária da União. Conduz as duas frentes centrais do mapa: a Operação Compliance Zero (Banco Master; prendeu Daniel Vorcaro em 17/11/2025 e teve várias fases em 2026) e a Operação Sem Desconto (descontos ilegais em aposentadorias do INSS; deflagrada com a CGU em abr/2025, com nova fase em 04/08/2026 contra Willer Tomaz e familiares de Weverton Rocha). Em out/2026 enviou ao STF um segundo inquérito sobre Flávio Bolsonaro, por suspeita de lavagem ligada a Willer.</t>
  </si>
  <si>
    <t xml:space="preserve">Sede em Brasília (DF); atuação nacional</t>
  </si>
  <si>
    <t xml:space="preserve">Em 08/09/2026 o ministro André Mendonça afastou o diretor-geral Andrei Rodrigues e o diretor de Inteligência, sem ouvir a PGR; a AGU contestou a decisão.</t>
  </si>
  <si>
    <t xml:space="preserve">Órgão público</t>
  </si>
  <si>
    <t xml:space="preserve">Entenda a operação que prendeu Vorcaro (cnnbrasil.com.br) https://www.cnnbrasil.com.br/economia/mercado/entenda-operacao-que-prendeu-daniel-vorcaro-dono-do-banco-master/ | Nova fase da Sem Desconto mira Weverton e Willer (congressoemfoco.com.br) https://www.congressoemfoco.com.br/noticia/120986/fraudes-no-inss-pf-mira-weverton-rocha-e-advogado-willer-tomaz | Afastamento do diretor-geral da PF (cnnbrasil.com.br) https://www.cnnbrasil.com.br/blogs/teo-cury/politica/mendonca-ordenou-afastamento-de-diretor-geral-da-pf-sem-ouvir-pgr/ | Segundo inquérito contra Flávio no STF (oliberal.com) https://www.oliberal.com/politica/flavio-e-investigado-em-2-inquerito-no-stf-para-apurar-suspeitas-de-lavagem-com-advogado-1.1183991</t>
  </si>
  <si>
    <t xml:space="preserve">22/10/2026: rodada contexto e imagens (perfil novo).</t>
  </si>
  <si>
    <t xml:space="preserve">pf.jpg</t>
  </si>
  <si>
    <t xml:space="preserve">https://commons.wikimedia.org/wiki/File:Sede_da_Pol%C3%ADcia_Federal_(52830107256).jpg</t>
  </si>
  <si>
    <t xml:space="preserve">angra</t>
  </si>
  <si>
    <t xml:space="preserve">Mansão em Angra dos Reis</t>
  </si>
  <si>
    <t xml:space="preserve">Mansão na Ilha Comprida, em Angra dos Reis, avaliada em cerca de R$ 10 mi. Foi comprada em 2020 pela empresa de Richarlison e de seu empresário; em 2022 a posse foi transferida na Justiça à WT Administração de Imóveis, de Willer Tomaz, que diz ter pago pendências da antiga dona (M Locadora) por sub-rogação. O processo terminou em 2025, favorável a Willer. A Prime You, de que Vorcaro era sócio, administrou o imóvel, e Flávio fez lá o aniversário da filha.</t>
  </si>
  <si>
    <t xml:space="preserve">Ilha Comprida, Angra dos Reis (RJ)</t>
  </si>
  <si>
    <t xml:space="preserve">Disputa civil encerrada em favor da WT. Em out/2026 Richarlison pediu à PF que investigue o caso; não há inquérito específico sobre o imóvel nas fontes.</t>
  </si>
  <si>
    <t xml:space="preserve">Bem citado</t>
  </si>
  <si>
    <t xml:space="preserve">Flávio diz não ter relação com o imóvel e chamou a associação de "factualmente infundada e eleitoralmente motivada". Willer chama os antigos ocupantes de "invasores".</t>
  </si>
  <si>
    <t xml:space="preserve">Richarlison disputa imóvel com amigo de Flávio (poder360.com.br) https://www.poder360.com.br/justica/richarlison-briga-na-justica-com-amigo-de-flavio-bolsonaro/ | Richarlison pede apuração à PF (sbtnews.sbt.com.br) https://sbtnews.sbt.com.br/noticia/brasil/richarlison-apuracao-pf-disputa-ilha-flavio-bolsonaro | Empresas e imóveis em nome de Lídia Mazelli (iclnoticias.com.br) https://iclnoticias.com.br/domestica-preside-empresas-fraude-flavio/</t>
  </si>
  <si>
    <t xml:space="preserve">master</t>
  </si>
  <si>
    <t xml:space="preserve">Banco Master</t>
  </si>
  <si>
    <t xml:space="preserve">Banco de Daniel Vorcaro. Cresceu vendendo CDBs com rendimento acima do mercado, apoiados na garantia do FGC. O Banco Central decretou a liquidação extrajudicial em 18/11/2025, no dia da Operação Compliance Zero (Vorcaro foi preso na noite anterior, em Guarulhos), que apura gestão fraudulenta e venda de carteiras de crédito sem lastro. O BRB, banco público do DF, pôs cerca de R$ 12 bi no Master comprando carteiras que a investigação aponta como fraudulentas.</t>
  </si>
  <si>
    <t xml:space="preserve">São Paulo (SP)</t>
  </si>
  <si>
    <t xml:space="preserve">Em liquidação extrajudicial pelo BC desde nov/2025. Ex-dirigentes investigados no STF (relator André Mendonça); Vorcaro preso.</t>
  </si>
  <si>
    <t xml:space="preserve">Banco Master tem liquidação decretada (bloomberglinea.com.br) https://www.bloomberglinea.com.br/negocios/banco-master-tem-liquidacao-decretada-e-daniel-vorcaro-e-preso-pela-policia-federal/ | Entenda a operação que prendeu Vorcaro (cnnbrasil.com.br) https://www.cnnbrasil.com.br/economia/mercado/entenda-operacao-que-prendeu-daniel-vorcaro-dono-do-banco-master/ | PF prende ex-presidente do BRB (timesbrasil.com.br) https://timesbrasil.com.br/brasil/operacoes-da-pf/pf-prende-paulo-henrique-costa-ex-presidente-do-brb-em-nova-fase-da-compliance-zero/</t>
  </si>
  <si>
    <t xml:space="preserve">22/10/2026: rodada contexto e imagens (perfil novo). 23/10/2026: campo de resposta do citado incluído.</t>
  </si>
  <si>
    <t xml:space="preserve">master.png</t>
  </si>
  <si>
    <t xml:space="preserve">Banco Master · domínio público (logo simples, sem direito autoral)</t>
  </si>
  <si>
    <t xml:space="preserve">https://commons.wikimedia.org/wiki/File:Logotipo_do_Banco_Master.svg</t>
  </si>
  <si>
    <t xml:space="preserve">coaf</t>
  </si>
  <si>
    <t xml:space="preserve">Caso rachadinha / COAF</t>
  </si>
  <si>
    <t xml:space="preserve">Investigação do MP-RJ sobre devolução de salários ("rachadinha") no gabinete de Flávio na Alerj. Começou com relatório do Coaf de 2018 que apontou R$ 1,2 mi em movimentações atípicas de Fabrício Queiroz. Em nov/2020 Flávio foi denunciado por peculato, lavagem e organização criminosa (desvio estimado em cerca de R$ 6 mi). O STJ anulou quebras de sigilo em fev/2021, e em 30/11/2021 a Segunda Turma do STF anulou quatro relatórios do Coaf (3 a 1, com voto de Nunes Marques).</t>
  </si>
  <si>
    <t xml:space="preserve">Rio de Janeiro (RJ)</t>
  </si>
  <si>
    <t xml:space="preserve">Com as anulações, a denúncia original ficou sem efeito e o caso voltou praticamente à estaca zero. Flávio sempre negou irregularidades.</t>
  </si>
  <si>
    <t xml:space="preserve">Caso</t>
  </si>
  <si>
    <t xml:space="preserve">O primeiro relatório do Coaf, sobre Queiroz, foi mantido; os anulados são os posteriores.</t>
  </si>
  <si>
    <t xml:space="preserve">STF anula 4 relatórios do Coaf (poder360.com.br) https://www.poder360.com.br/justica/stf-anula-4-relatorios-do-coaf-que-miravam-flavio-no-caso-das-rachadinhas/ | Segunda Turma anula provas contra Flávio (correiobraziliense.com.br) https://www.correiobraziliense.com.br/politica/2021/11/4967209-segunda-turma-anula-provas-contra-flavio-bolsonaro-no-inquerito-das-rachadinhas.html</t>
  </si>
  <si>
    <t xml:space="preserve">jato</t>
  </si>
  <si>
    <t xml:space="preserve">Jato (3 cotistas)</t>
  </si>
  <si>
    <t xml:space="preserve">Embraer Legacy 650, prefixo PP-NLR, dividido em três cotas: Alcazar Holdings (de Willer Tomaz), Prime You (de que Vorcaro era sócio) e Laerte Cosentino. Flávio voou nele com Willer em jan/2025, entre Brasília e a Flórida, segundo a piauí. Segundo O Globo, Alexandre de Moraes e a esposa também desembarcaram desse jato em ago/2025.</t>
  </si>
  <si>
    <t xml:space="preserve">Base no Brasil (DF/SP)</t>
  </si>
  <si>
    <t xml:space="preserve">O jato aparece em inquéritos da PF sobre Willer e Flávio; não há processo sobre a aeronave em si.</t>
  </si>
  <si>
    <t xml:space="preserve">As fontes divergem sobre o registro: uma cita a Fraction 024 Administração de Bem Próprio, outra a Prime Aviation. Flávio diz que voou de carona, por amizade; Willer diz que não sabia que a Prime You era de Vorcaro.</t>
  </si>
  <si>
    <t xml:space="preserve">Flávio era usuário master de conta de offshore sócia do jato (maisgoias.com.br) https://www.maisgoias.com.br/brasil/flavio-bolsonaro-era-usuario-master-de-conta-de-offshore-socia-do-jato-usado-por-vorcaro/ | Moraes flagrado desembarcando do PP-NLR (diariodepernambuco.com.br) https://www.diariodepernambuco.com.br/politica/2026/09/11724483-alexandre-de-moraes-foi-flagrado-desembarcando-de-jatinho-de-vorcaro.html</t>
  </si>
  <si>
    <t xml:space="preserve">primeu</t>
  </si>
  <si>
    <t xml:space="preserve">Prime U</t>
  </si>
  <si>
    <t xml:space="preserve">Prime You: empresa de compartilhamento e gestão de bens de alto padrão (cotas de aviões, barcos, casas e carros). Vorcaro foi sócio até set/2025, quando a participação passou a um fundo. Administra mansões, um hotel em Campos do Jordão e jatos; era cotista do jato usado por Flávio e administrou a mansão de Angra. Segundo o Valor, pagou em 2025 um voo de R$ 1,17 mi usado por Pablo Marçal.</t>
  </si>
  <si>
    <t xml:space="preserve">Sem acusação formal contra a empresa nas fontes.</t>
  </si>
  <si>
    <t xml:space="preserve">A empresa diz que administrar um bem "não implica necessariamente propriedade direta" de Vorcaro.</t>
  </si>
  <si>
    <t xml:space="preserve">Mansões, hotel e jatos administrados pela Prime You (jornalgrandebahia.com.br) https://jornalgrandebahia.com.br/2026/03/ex-banqueiro-daniel-vorcaro-tem-mansoes-hotel-de-luxo-e-jatos-administrados-pela-prime-you-empresa-da-qual-foi-socio/ | Empresa de Vorcaro pagou voo de Marçal (gp1.com.br) https://www.gp1.com.br/brasil/noticia/2026/10/2/empresa-ligada-a-daniel-vorcaro-pagou-voo-de-r-117-milhao-usado-por-pablo-marcal-633016.html</t>
  </si>
  <si>
    <t xml:space="preserve">alcazar</t>
  </si>
  <si>
    <t xml:space="preserve">Alcazar Holdings</t>
  </si>
  <si>
    <t xml:space="preserve">Offshore registrada na Ilha da Madeira (Portugal) em 2023, que tem Willer Tomaz como único sócio. É cotista do jato PP-NLR e tinha conta no Santander em que, segundo a PF, Flávio aparecia como "usuário master"; a conta teria movimentado cerca de R$ 130 mi entre mar e mai/2025. Divide dono, administrador e endereço no Funchal com a Cathedral Holdings, dona da Best Bet.</t>
  </si>
  <si>
    <t xml:space="preserve">Funchal, Ilha da Madeira (Portugal)</t>
  </si>
  <si>
    <t xml:space="preserve">Citada no inquérito da PF enviado ao STF em out/2026 (relator Alexandre de Moraes) sobre suspeita de lavagem envolvendo Flávio e Willer.</t>
  </si>
  <si>
    <t xml:space="preserve">Willer atribui o vínculo de Flávio à conta a um erro cadastral do Santander, já corrigido. Flávio nega ter tido conta com Willer.</t>
  </si>
  <si>
    <t xml:space="preserve">Flávio era usuário master de conta de offshore (maisgoias.com.br) https://www.maisgoias.com.br/brasil/flavio-bolsonaro-era-usuario-master-de-conta-de-offshore-socia-do-jato-usado-por-vorcaro/ | Offshore ligada a Flávio e o mercado de bets (jornalopcao.com.br) https://www.jornalopcao.com.br/ultimas-noticias/offshore-ligada-a-flavio-bolsonaro-reune-conexoes-com-o-mercado-de-bets-879306/ | Segundo inquérito contra Flávio no STF (oliberal.com) https://www.oliberal.com/politica/flavio-e-investigado-em-2-inquerito-no-stf-para-apurar-suspeitas-de-lavagem-com-advogado-1.1183991</t>
  </si>
  <si>
    <t xml:space="preserve">wt</t>
  </si>
  <si>
    <t xml:space="preserve">WT (e outras 13 empresas)</t>
  </si>
  <si>
    <t xml:space="preserve">WT Administração de Imóveis e Bens, empresa de Willer Tomaz. Ficou com a mansão de Angra e comprou de Fabiano Zettel um apartamento em SP. É uma de cerca de 14 empresas ligadas a Willer (Jet Line, Ícaro Aviation, Friponor, RioPag/Capital Pretium, Alcazar etc.) que tiveram Lídia Mazelli como diretora; a WT até jul/2024. A PF diz que Weverton Rocha mora numa casa de R$ 6 mi registrada na WT.</t>
  </si>
  <si>
    <t xml:space="preserve">Citada na Operação Sem Desconto (ago/2026). Willer diz que os negócios da imobiliária são regulares.</t>
  </si>
  <si>
    <t xml:space="preserve">A reportagem do ICL fala em 14 empresas, mas nomeia 13.</t>
  </si>
  <si>
    <t xml:space="preserve">Doméstica preside no papel empresas de Willer (iclnoticias.com.br) https://iclnoticias.com.br/domestica-preside-empresas-fraude-flavio/ | Apartamento usado por Flávio foi vendido à WT (diariodocomercio.com.br) https://diariodocomercio.com.br/politica/flavio-bolsonaro-apartamento-pf/ | Nova fase da Sem Desconto (congressoemfoco.com.br) https://www.congressoemfoco.com.br/noticia/120986/fraudes-no-inss-pf-mira-weverton-rocha-e-advogado-willer-tomaz</t>
  </si>
  <si>
    <t xml:space="preserve">iter</t>
  </si>
  <si>
    <t xml:space="preserve">Instituto ITER</t>
  </si>
  <si>
    <t xml:space="preserve">Instituto de ensino jurídico em São Paulo de que André Mendonça era sócio. Recebeu ao menos 52 contratos sem licitação de prefeituras, estados e tribunais (R$ 8,2 mi em dois anos, segundo a Revista Fórum), entre eles o governo de SP (R$ 1,6 mi), a Prefeitura de SP (R$ 380 mil) e o governo do RJ (R$ 518 mil). Em jan/2026 recebeu R$ 5,2 mi de empresa de um ex-parceiro de negócios de Vorcaro. Mendonça recebeu Vorcaro na sede do instituto em 14/03/2025.</t>
  </si>
  <si>
    <t xml:space="preserve">Alvo de representações de parlamentares do PSOL ao TCM-SP, ao TCE-SP e ao MP-SP (set/2026). Mendonça anunciou que deixaria a sociedade.</t>
  </si>
  <si>
    <t xml:space="preserve">Os levantamentos de contratos (52 e R$ 8,2 mi; 55 e R$ 10,8 mi) são recortes diferentes e não se somam.</t>
  </si>
  <si>
    <t xml:space="preserve">Instituto de Mendonça é alvo de representações (apublica.org) https://apublica.org/nota/instituto-de-andre-mendonca-e-alvo-de-representacoes-para-investigar-irregularidades/ | Ex-parceiro de Vorcaro pôs R$ 5 mi no instituto (noticias.uol.com.br) https://noticias.uol.com.br/ultimas-noticias/redacao/2026/09/17/ex-parceiro-de-vorcaro-pos-r-5-milhoes-em-instituto-de-mendonca.htm | Mendonça diz que deixará sociedade (dgabc.com.br) https://www.dgabc.com.br/Noticia/4344940/mendonca-diz-que-deixara-sociedade-no-instituto-iter</t>
  </si>
  <si>
    <t xml:space="preserve">triplex</t>
  </si>
  <si>
    <t xml:space="preserve">Triplex de Vorcaro</t>
  </si>
  <si>
    <t xml:space="preserve">Triplex no Itaim Bibi, em São Paulo, ligado a Daniel Vorcaro; em fev/2025 o imóvel pertencia à Super Empreendimentos e Participações, empresa que teve o pastor Fabiano Zettel entre os diretores (levantamento do ICL em cartório). Segundo a piauí, com base em ~125 mensagens do celular de Vorcaro e relatos de funcionários, recebia festas fechadas com garotas de programa.</t>
  </si>
  <si>
    <t xml:space="preserve">Itaim Bibi, São Paulo (SP)</t>
  </si>
  <si>
    <t xml:space="preserve">Não há processo sobre o imóvel nas fontes. As festas aparecem em mensagens do celular de Vorcaro apreendido pela PF e em reportagens (piauí, UOL, Metrópoles).</t>
  </si>
  <si>
    <t xml:space="preserve">Os relatos não foram verificados de forma independente pela imprensa que os reproduziu. Em 23/10/2026 foram retiradas as menções a frequentadores nomeados, por falta de confirmação nas mensagens. Link da reportagem original da piauí não localizado; ela é citada via Agenda do Poder.</t>
  </si>
  <si>
    <t xml:space="preserve">A semana de festas fechadas de Vorcaro (diariodepernambuco.com.br) https://www.diariodepernambuco.com.br/politica/2026/10/11725610-terca-no-bar-quarta-e-quinta-no-triplex-a-semana-de-festas-fechadas-de-vorcaro.html | Festas no triplex de Vorcaro, diz revista (Agenda do Poder, 16/10/2026, reproduz a piauí) https://agendadopoder.com.br/vorcaro-promoveu-festa-com-garotas-de-programa-para-kassio-nunes-marques-diz-revista/</t>
  </si>
  <si>
    <t xml:space="preserve">22/10/2026: rodada contexto e imagens (perfil novo). 23/10/2026: retiradas menções a frequentadores nomeados.</t>
  </si>
  <si>
    <t xml:space="preserve">tarcisio</t>
  </si>
  <si>
    <t xml:space="preserve">Tarcísio de Freitas</t>
  </si>
  <si>
    <t xml:space="preserve">Governador de São Paulo (Republicanos) desde 2023 e ex-ministro da Infraestrutura de Jair Bolsonaro. Na campanha de 2022 recebeu R$ 2 mi de Fabiano Zettel, cunhado de Vorcaro, a maior doação de pessoa física. O governo dele contratou o Instituto ITER, de Mendonça, sem licitação (R$ 1,6 mi), e ele financiou 24% da campanha do deputado Cezinha de Madureira.</t>
  </si>
  <si>
    <t xml:space="preserve">Não há investigação contra ele nas fontes.</t>
  </si>
  <si>
    <t xml:space="preserve">O governo de SP diz que a campanha seguiu a lei, teve mais de 600 doadores e contas aprovadas, e que Tarcísio não tem vínculo com Zettel.</t>
  </si>
  <si>
    <t xml:space="preserve">Alvo da PF doou R$ 5 mi a Bolsonaro e Tarcísio (cnnbrasil.com.br) https://www.cnnbrasil.com.br/politica/alvo-da-pf-doou-r-5-mi-para-campanhas-de-bolsonaro-e-tarcisio-em-2022/ | Contratos do ITER com governos (apublica.org) https://apublica.org/nota/instituto-de-andre-mendonca-e-alvo-de-representacoes-para-investigar-irregularidades/ | Financiamento da campanha de Cezinha (iclnoticias.com.br) https://iclnoticias.com.br/tarcisio-campanha-deputado-mendonca-vorcaro/</t>
  </si>
  <si>
    <t xml:space="preserve">tarcisio.jpg</t>
  </si>
  <si>
    <t xml:space="preserve">Ciete Silvério/Governo do Estado de SP · CC BY 2.0</t>
  </si>
  <si>
    <t xml:space="preserve">https://commons.wikimedia.org/wiki/File:Governador_do_Estado_de_S%C3%A3o_Paulo,_Tarc%C3%ADsio_de_Freitas_-_Foto_Oficial.jpg</t>
  </si>
  <si>
    <t xml:space="preserve">castro</t>
  </si>
  <si>
    <t xml:space="preserve">Cláudio Castro</t>
  </si>
  <si>
    <t xml:space="preserve">Ex-governador do Rio de Janeiro (PL), no cargo de 2021 a mar/2026. O governo dele contratou o ITER, de Mendonça (R$ 518 mil), e nomeou Hazenclever Cançado para a Loterj, que licenciou a Best Bet e contratou a RioPag. Renunciou em 23/03/2026 e foi tornado inelegível pelo TSE no dia seguinte. Em mai/2026 desistiu de concorrer ao Senado, depois de ser citado em fase da Operação Compliance Zero sobre aportes do Rio Previdência no Master.</t>
  </si>
  <si>
    <t xml:space="preserve">Inelegível até 2030 por abuso de poder político e econômico na eleição de 2022 (TSE, 5 a 2, 24/03/2026); disse que recorreria. Mendonça escreveu que há indícios, "em tese", de vínculo próximo dele com Vorcaro.</t>
  </si>
  <si>
    <t xml:space="preserve">Contato no celular de Vorcaro (piauí, 19/10/2026): A reportagem da piauí não reproduz a resposta dele. Os números de contato (piauí/InterSecLab, base 18/11/2025) medem volume de contato individual (WhatsApp e ligações), não conteúdo; mensagens expiradas ou apagadas não são recuperáveis.</t>
  </si>
  <si>
    <t xml:space="preserve">TSE torna Castro inelegível (jovempan.com.br) https://jovempan.com.br/politica/tse-forma-maioria-para-tornar-castro-inelegivel-por-8-anos/ | Castro desiste do Senado após operações (oantagonista.com.br) https://oantagonista.com.br/brasil/claudio-castro-comunica-ao-pl-desistencia-de-candidatura-ao-senado-apos-operacoes/ | Mendonça votou a favor de Castro 4 vezes (iclnoticias.com.br) https://iclnoticias.com.br/mendonca-votou-a-favor-de-castro-4-vezes/ | Piauí: 71% das interações de Vorcaro com políticos eram do governo Bolsonaro (piaui.uol.com.br) https://piaui.uol.com.br/web/mais-de-70-das-interacoes-do-celular-de-vorcaro-com-politicos-eram-com-membros-do-governo-bolsonaro/</t>
  </si>
  <si>
    <t xml:space="preserve">22/10/2026: rodada contexto e imagens (perfil novo). 23/10/2026: contato no celular de Vorcaro (piauí/InterSecLab) e resposta à reportagem.</t>
  </si>
  <si>
    <t xml:space="preserve">castro.jpg</t>
  </si>
  <si>
    <t xml:space="preserve">Alan Santos/PR · CC BY 2.0</t>
  </si>
  <si>
    <t xml:space="preserve">https://commons.wikimedia.org/wiki/File:Cl%C3%A1udio_Castro,_governador_do_Rio_de_Janeiro.jpg</t>
  </si>
  <si>
    <t xml:space="preserve">moraes</t>
  </si>
  <si>
    <t xml:space="preserve">Alexandre de Moraes</t>
  </si>
  <si>
    <t xml:space="preserve">Ministro do STF desde 2017 e ex-presidente do TSE. É relator do segundo inquérito da PF contra Flávio Bolsonaro, sobre suspeita de lavagem com Willer Tomaz (out/2026). Segundo O Globo, ele e a esposa, a advogada Viviane Barci, desembarcaram em ago/2025 do jato PP-NLR, o mesmo usado por Flávio. O escritório dela tinha contratos com o Banco Master. A PF diz que Fábio Faria intermediou contatos entre Vorcaro e Moraes.</t>
  </si>
  <si>
    <t xml:space="preserve">Não é investigado nas fontes. O PGR Paulo Gonet sustenta que Mendonça o investigou antes de aval do plenário.</t>
  </si>
  <si>
    <t xml:space="preserve">Moraes tinha dito que nunca viajou em aviões de Vorcaro e nega que tenha existido o acordo de pagamento em cotas de jato citado pela PF.</t>
  </si>
  <si>
    <t xml:space="preserve">Moraes flagrado desembarcando de jatinho de Vorcaro (diariodepernambuco.com.br) https://www.diariodepernambuco.com.br/politica/2026/09/11724483-alexandre-de-moraes-foi-flagrado-desembarcando-de-jatinho-de-vorcaro.html | Segundo inquérito contra Flávio no STF (oliberal.com) https://www.oliberal.com/politica/flavio-e-investigado-em-2-inquerito-no-stf-para-apurar-suspeitas-de-lavagem-com-advogado-1.1183991 | Gonet diz que Mendonça investigou Moraes (iclnoticias.com.br) https://iclnoticias.com.br/gonet-diz-que-mendonca-investigou-moraes/</t>
  </si>
  <si>
    <t xml:space="preserve">moraes.jpg</t>
  </si>
  <si>
    <t xml:space="preserve">Isac Nóbrega · CC BY 2.0</t>
  </si>
  <si>
    <t xml:space="preserve">https://commons.wikimedia.org/wiki/File:Ministro_Alexandre_de_Moraes_como_presidente_do_TSE.jpg</t>
  </si>
  <si>
    <t xml:space="preserve">rnunes</t>
  </si>
  <si>
    <t xml:space="preserve">Ricardo Nunes</t>
  </si>
  <si>
    <t xml:space="preserve">Prefeito de São Paulo (MDB) desde 2021, reeleito em 2024. A prefeitura contratou o ITER, de Mendonça (R$ 380 mil). Segundo o ICL, o irmão do ministro, Alexandre de Almeida Mendonça, chegou a secretário-executivo da SP Regula em jun/2026, por portaria de Nunes, depois de Mendonça votar na direção defendida pela prefeitura no caso das concessões funerárias no STF.</t>
  </si>
  <si>
    <t xml:space="preserve">A prefeitura diz que não houve promoção (mesmo nível, mesma remuneração), que a mudança veio mais de um ano após o voto e chama a insinuação de "irresponsável e sem fundamento".</t>
  </si>
  <si>
    <t xml:space="preserve">Irmão de Mendonça foi promovido por Nunes (iclnoticias.com.br) https://iclnoticias.com.br/irmao-de-mendonca-foi-promovido-por-nunes/ | Contratos do ITER (apublica.org) https://apublica.org/nota/instituto-de-andre-mendonca-e-alvo-de-representacoes-para-investigar-irregularidades/</t>
  </si>
  <si>
    <t xml:space="preserve">rnunes.jpg</t>
  </si>
  <si>
    <t xml:space="preserve">Celso Silva/Governo do Estado de SP · CC BY 2.0</t>
  </si>
  <si>
    <t xml:space="preserve">https://commons.wikimedia.org/wiki/File:Ricardo_Nunes,_December_2024.jpg</t>
  </si>
  <si>
    <t xml:space="preserve">cezinha</t>
  </si>
  <si>
    <t xml:space="preserve">Cezinha de Madureira</t>
  </si>
  <si>
    <t xml:space="preserve">Deputado federal por São Paulo, no terceiro mandato, e liderança da Assembleia de Deus Ministério de Madureira. Mensagens obtidas pela PF mostram que ele e o advogado Ciro Rocha Soares articularam os encontros de Vorcaro com Mendonça em fev e mar/2025; em 13/03/2025 marcou a reunião do dia seguinte, na sede do ITER. Tarcísio financiou 24% da campanha dele.</t>
  </si>
  <si>
    <t xml:space="preserve">Alvo de operação autorizada pelo ministro Flávio Dino (2026). Sem denúncia nas fontes.</t>
  </si>
  <si>
    <t xml:space="preserve">As reportagens não trazem resposta dele. Contato no celular de Vorcaro (piauí, 19/10/2026): Não respondeu à piauí. Os números de contato (piauí/InterSecLab, base 18/11/2025) medem volume de contato individual (WhatsApp e ligações), não conteúdo; mensagens expiradas ou apagadas não são recuperáveis. Resposta do citado: não localizada nas fontes consultadas (checagem de 23/10/2026). Pedidos de correção ou resposta: ver “Sobre este mapa”.</t>
  </si>
  <si>
    <t xml:space="preserve">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 | Operação de Dino e afastamento na PF (iclnoticias.com.br) https://iclnoticias.com.br/mendonca-cesinha-madureira-vorcaro-dino/ | Piauí: 71% das interações de Vorcaro com políticos eram do governo Bolsonaro (piaui.uol.com.br) https://piaui.uol.com.br/web/mais-de-70-das-interacoes-do-celular-de-vorcaro-com-politicos-eram-com-membros-do-governo-bolsonaro/</t>
  </si>
  <si>
    <t xml:space="preserve">22/10/2026: rodada contexto e imagens (perfil novo). 23/10/2026: contato no celular de Vorcaro (piauí/InterSecLab) e resposta à reportagem. 23/10/2026: campo de resposta do citado incluído.</t>
  </si>
  <si>
    <t xml:space="preserve">cezinha.jpg</t>
  </si>
  <si>
    <t xml:space="preserve">Câmara dos Deputados · CC BY-SA 4.0</t>
  </si>
  <si>
    <t xml:space="preserve">https://commons.wikimedia.org/wiki/File:Cezinha_de_Madureira.jpg</t>
  </si>
  <si>
    <t xml:space="preserve">cancado</t>
  </si>
  <si>
    <t xml:space="preserve">Hazenclever Cançado</t>
  </si>
  <si>
    <t xml:space="preserve">Hazenclever Lopes Cançado, advogado e servidor federal, ex-assessor do senador Magno Malta. Foi nomeado presidente da Loterj por Cláudio Castro em jul/2022 e, nessa função, assinou em 25/05/2023 a licença da Rede Loto (Best Bet), a primeira bet autorizada pelo estado.</t>
  </si>
  <si>
    <t xml:space="preserve">A indicação dele por Flávio é atribuída à Folha ("teria"). Ele não comentou até a publicação das reportagens. Resposta do citado: não localizada nas fontes consultadas (checagem de 23/10/2026). Pedidos de correção ou resposta: ver “Sobre este mapa”.</t>
  </si>
  <si>
    <t xml:space="preserve">Loterj tem novo presidente (bnldata.com.br) https://bnldata.com.br/?p=105308 | Bet de investigado pagou voos de Flávio (diariodepernambuco.com.br) https://www.diariodepernambuco.com.br/politica/2026/10/11726788-bet-de-investigado-por-fraude-no-inss-pagou-voos-de-flavio-bolsonaro-na-europa-aponta-pf.html</t>
  </si>
  <si>
    <t xml:space="preserve">motta</t>
  </si>
  <si>
    <t xml:space="preserve">Hugo Motta</t>
  </si>
  <si>
    <t xml:space="preserve">Deputado federal pela Paraíba (Republicanos) e presidente da Câmara desde fev/2025. Integrava com Vorcaro, Ciro Nogueira e Fábio Faria um grupo de mensagens criado em abr/2024 para combinar jantares, viagens e encontros; as últimas mensagens são da noite da prisão de Vorcaro (17/11/2025). Segundo a reportagem, Ciro o apresentou a Vorcaro para uma possível sociedade num terreno em João Pessoa.</t>
  </si>
  <si>
    <t xml:space="preserve">Paraíba (PB); mandato em Brasília</t>
  </si>
  <si>
    <t xml:space="preserve">Não é investigado nas fontes.</t>
  </si>
  <si>
    <t xml:space="preserve">A assessoria de Motta disse que não se pronunciaria. Contato no celular de Vorcaro (piauí, 19/10/2026): Não respondeu à piauí. Os números de contato (piauí/InterSecLab, base 18/11/2025) medem volume de contato individual (WhatsApp e ligações), não conteúdo; mensagens expiradas ou apagadas não são recuperáveis.</t>
  </si>
  <si>
    <t xml:space="preserve">Grupo com Motta, Ciro e Faria organizava encontros (gazetadopovo.com.br) https://www.gazetadopovo.com.br/republica/vorcaro-grupo-motta-ciro-nogueira-fabio-faria-organizar-encontros/ | Vorcaro cita encontros com Hugo Motta (poder360.com.br) https://www.poder360.com.br/poder-economia/vorcaro-cita-encontros-com-hugo-motta-e-elogia-emenda-de-ciro-nogueira/ | Piauí: 71% das interações de Vorcaro com políticos eram do governo Bolsonaro (piaui.uol.com.br) https://piaui.uol.com.br/web/mais-de-70-das-interacoes-do-celular-de-vorcaro-com-politicos-eram-com-membros-do-governo-bolsonaro/</t>
  </si>
  <si>
    <t xml:space="preserve">motta.jpg</t>
  </si>
  <si>
    <t xml:space="preserve">Gilclécio Lucena · CC BY 4.0</t>
  </si>
  <si>
    <t xml:space="preserve">https://commons.wikimedia.org/wiki/File:Deputado_Federal_Hugo_Motta_(cropped).jpg</t>
  </si>
  <si>
    <t xml:space="preserve">marcal</t>
  </si>
  <si>
    <t xml:space="preserve">Pablo Marçal</t>
  </si>
  <si>
    <t xml:space="preserve">Empresário e influenciador, ex-coach; foi candidato a prefeito de São Paulo em 2024. Segundo o Valor, com base em mensagens do celular de Vorcaro, a Prime You pagou um voo de R$ 1,17 mi de São Paulo a Nova York usado por ele entre mai e jun/2025.</t>
  </si>
  <si>
    <t xml:space="preserve">Não é investigado no caso Master nas fontes.</t>
  </si>
  <si>
    <t xml:space="preserve">Marçal confirmou o voo e disse que se ofereceu para pagar; segundo ele, Vorcaro sugeriu que testasse o avião antes de comprar um parecido. Contato no celular de Vorcaro (piauí, 19/10/2026): Não respondeu à piauí. Os números de contato (piauí/InterSecLab, base 18/11/2025) medem volume de contato individual (WhatsApp e ligações), não conteúdo; mensagens expiradas ou apagadas não são recuperáveis.</t>
  </si>
  <si>
    <t xml:space="preserve">Empresa de Vorcaro pagou voo de Marçal (gp1.com.br) https://www.gp1.com.br/brasil/noticia/2026/10/2/empresa-ligada-a-daniel-vorcaro-pagou-voo-de-r-117-milhao-usado-por-pablo-marcal-633016.html | Vorcaro bancou voo e mandou ocultar valor (revistaforum.com.br) https://revistaforum.com.br/politica/vorcaro-voo-pablo-marcal/ | Piauí: 71% das interações de Vorcaro com políticos eram do governo Bolsonaro (piaui.uol.com.br) https://piaui.uol.com.br/web/mais-de-70-das-interacoes-do-celular-de-vorcaro-com-politicos-eram-com-membros-do-governo-bolsonaro/</t>
  </si>
  <si>
    <t xml:space="preserve">marcal.jpg</t>
  </si>
  <si>
    <t xml:space="preserve">TV Brasil Central · CC BY 3.0</t>
  </si>
  <si>
    <t xml:space="preserve">https://commons.wikimedia.org/wiki/File:Pablo_Mar%C3%A7al_(cropped).png</t>
  </si>
  <si>
    <t xml:space="preserve">bianco</t>
  </si>
  <si>
    <t xml:space="preserve">Bruno Bianco Leal</t>
  </si>
  <si>
    <t xml:space="preserve">Advogado-geral da União de ago/2021 a jan/2023, sucessor de Mendonça no governo Jair Bolsonaro. Depois atuou na iniciativa privada ligado ao Banco Master e passou a integrar a defesa de Vorcaro. Mensagens mostram o advogado Ciro Rocha Soares pedindo que ele fosse convidado para a reunião com Mendonça de 19/02/2025.</t>
  </si>
  <si>
    <t xml:space="preserve">As mensagens mostram o convite, mas não se ele compareceu. Contato no celular de Vorcaro (piauí, 19/10/2026): Respondeu à piauí que é advogado, que só conheceu Vorcaro mais de um ano após deixar o serviço público e que as interações foram profissionais. Os números de contato (piauí/InterSecLab, base 18/11/2025) medem volume de contato individual (WhatsApp e ligações), não conteúdo; mensagens expiradas ou apagadas não são recuperáveis.</t>
  </si>
  <si>
    <t xml:space="preserve">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 | Piauí: 71% das interações de Vorcaro com políticos eram do governo Bolsonaro (piaui.uol.com.br) https://piaui.uol.com.br/web/mais-de-70-das-interacoes-do-celular-de-vorcaro-com-politicos-eram-com-membros-do-governo-bolsonaro/</t>
  </si>
  <si>
    <t xml:space="preserve">bianco.jpg</t>
  </si>
  <si>
    <t xml:space="preserve">Marcos Corrêa/PR · CC BY 2.0</t>
  </si>
  <si>
    <t xml:space="preserve">https://commons.wikimedia.org/wiki/File:Bruno_Bianco.jpg</t>
  </si>
  <si>
    <t xml:space="preserve">jbcarvalho</t>
  </si>
  <si>
    <t xml:space="preserve">Bispo JB Carvalho</t>
  </si>
  <si>
    <t xml:space="preserve">João Batista Araújo Carvalho Lima, bispo fundador da Comunidade das Nações, igreja com mais de 50 unidades no Brasil, nos EUA e em Portugal. Flávio e a mulher, Fernanda, foram batizados na igreja, em Brasília, em jan/2024. Em livro de 2001 ele defendeu tirar de Nossa Senhora Aparecida o título de padroeira; os trechos voltaram a circular em set/2026.</t>
  </si>
  <si>
    <t xml:space="preserve">Não há processo contra ele nas fontes. Uma associação pediu à Justiça Federal a retirada do livro.</t>
  </si>
  <si>
    <t xml:space="preserve">As reportagens não trazem resposta dele. Resposta do citado: não localizada nas fontes consultadas (checagem de 23/10/2026). Pedidos de correção ou resposta: ver “Sobre este mapa”.</t>
  </si>
  <si>
    <t xml:space="preserve">A ligação de Flávio com o bispo (tvtnews.com.br) https://tvtnews.com.br/?p=804749 | Bispo que batizou Flávio criticou Nossa Senhora (poder360.com.br) https://www.poder360.com.br/poder-gente/bispo-que-batizou-flavio-criticou-nossa-senhora-em-livro/</t>
  </si>
  <si>
    <t xml:space="preserve">jbcarvalho.jpg</t>
  </si>
  <si>
    <t xml:space="preserve">Povoselinguas · CC BY 3.0</t>
  </si>
  <si>
    <t xml:space="preserve">https://commons.wikimedia.org/wiki/File:JB_Carvalho_(3x4_cropped).webp</t>
  </si>
  <si>
    <t xml:space="preserve">stf</t>
  </si>
  <si>
    <t xml:space="preserve">STF</t>
  </si>
  <si>
    <t xml:space="preserve">Supremo Tribunal Federal. Concentra os casos do mapa que envolvem autoridades com foro: o caso Master (relator André Mendonça desde fev/2026), o inquérito sobre o dinheiro de Vorcaro para o filme Dark Horse (Mendonça) e o inquérito sobre suspeita de lavagem de Flávio com Willer Tomaz (Alexandre de Moraes, out/2026). Em 2021 a Segunda Turma anulou relatórios do Coaf do caso da rachadinha.</t>
  </si>
  <si>
    <t xml:space="preserve">STF anula 4 relatórios do Coaf (poder360.com.br) https://www.poder360.com.br/justica/stf-anula-4-relatorios-do-coaf-que-miravam-flavio-no-caso-das-rachadinhas/ | Segundo inquérito contra Flávio no STF (oliberal.com) https://www.oliberal.com/politica/flavio-e-investigado-em-2-inquerito-no-stf-para-apurar-suspeitas-de-lavagem-com-advogado-1.1183991</t>
  </si>
  <si>
    <t xml:space="preserve">stf.jpg</t>
  </si>
  <si>
    <t xml:space="preserve">Daderot · CC0 (domínio público)</t>
  </si>
  <si>
    <t xml:space="preserve">https://commons.wikimedia.org/wiki/File:Supremo_Tribunal_Federal_building_in_Brasilia_-_DSC00288.JPG</t>
  </si>
  <si>
    <t xml:space="preserve">abin</t>
  </si>
  <si>
    <t xml:space="preserve">Abin</t>
  </si>
  <si>
    <t xml:space="preserve">Agência Brasileira de Inteligência. Na investigação da "Abin paralela", a PF achou o áudio de uma reunião de 25/08/2020 entre Jair Bolsonaro, Augusto Heleno e o então diretor Alexandre Ramagem, possivelmente com uma advogada de Flávio, em que Ramagem sugere processos contra auditores da Receita para blindar Flávio no caso da rachadinha.</t>
  </si>
  <si>
    <t xml:space="preserve">O episódio faz parte do inquérito sobre uso ilegal do sistema First Mile por servidores da Abin.</t>
  </si>
  <si>
    <t xml:space="preserve">Flávio diz não ter "nenhuma relação" com a Abin.</t>
  </si>
  <si>
    <t xml:space="preserve">Áudio de Ramagem sugere investigar auditores (poder360.com.br) https://www.poder360.com.br/poder-justica/audio-de-ramagem-sugere-investigar-auditores-para-blindar-flavio/ | PF investiga se Abin ajudou defesa de Flávio (congressoemfoco.com.br) https://congressoemfoco.com.br/noticia/7623/pf-investiga-se-abin-ajudou-defesa-de-flavio-bolsonaro-senador-nega</t>
  </si>
  <si>
    <t xml:space="preserve">abin.jpg</t>
  </si>
  <si>
    <t xml:space="preserve">Antonio Cruz/Agência Brasil · CC BY 3.0 BR</t>
  </si>
  <si>
    <t xml:space="preserve">https://commons.wikimedia.org/wiki/File:Pr%C3%A9dio_da_Abin.jpg</t>
  </si>
  <si>
    <t xml:space="preserve">cpi</t>
  </si>
  <si>
    <t xml:space="preserve">CPI da pandemia (Covaxin)</t>
  </si>
  <si>
    <t xml:space="preserve">CPI da Pandemia do Senado (abr a out/2021), relatada por Renan Calheiros. Investigou, entre outros pontos, a compra da vacina Covaxin pelo Ministério da Saúde. Flávio, então senador do Patriota, atuou na comissão como defensor do governo do pai.</t>
  </si>
  <si>
    <t xml:space="preserve">Senado Federal, Brasília (DF)</t>
  </si>
  <si>
    <t xml:space="preserve">O relatório final pediu indiciamentos; a CPI foi encerrada em out/2021.</t>
  </si>
  <si>
    <t xml:space="preserve">A citação de Willer Tomaz no caso Covaxin e o cancelamento da quebra do sigilo dele vêm do vídeo de origem e não foram reverificados nesta rodada.</t>
  </si>
  <si>
    <t xml:space="preserve">Flávio Bolsonaro na CPI da Pandemia (congressoemfoco.com.br) https://congressoemfoco.com.br/artigo/14228/flavio-bolsonaro-na-cpi-da-pandemia | CPI aprova convocações e quebras de sigilo (senado.leg.br) https://www12.senado.leg.br/radio/1/noticia/2021/06/23/cpi-da-pandemia-aprovou-novas-convocacoes-quebras-de-sigilos-e-pedidos-de-informacoes</t>
  </si>
  <si>
    <t xml:space="preserve">cpi.jpg</t>
  </si>
  <si>
    <t xml:space="preserve">https://commons.wikimedia.org/wiki/File:CPIPANDEMIA_-_Comiss%C3%A3o_Parlamentar_de_Inqu%C3%A9rito_da_Pandemia_(1).jpg</t>
  </si>
  <si>
    <t xml:space="preserve">loterj</t>
  </si>
  <si>
    <t xml:space="preserve">Loterj</t>
  </si>
  <si>
    <t xml:space="preserve">Loteria do Estado do Rio de Janeiro, autarquia estadual. Em mai/2023, sob a presidência de Hazenclever Cançado, licenciou a Rede Loto (Best Bet), a primeira bet autorizada no país, sem exigir a identificação dos beneficiários finais. Em 2023 contratou a RioPag para intermediar os pagamentos das bets; a empresa faturou R$ 187,8 mi em taxas entre jun/2023 e ago/2026.</t>
  </si>
  <si>
    <t xml:space="preserve">Rescindiu o contrato da RioPag em 22/09/2026 e cobra R$ 9,4 mi; uma liminar suspendeu a rescisão.</t>
  </si>
  <si>
    <t xml:space="preserve">Loterj licencia a Rede Loto (lotterydaily.com) https://lotterydaily.com/2023/06/06/retail/rios-loterj-achieves-2023-betting-ambitions-with-rede-loto-contract/ | Bet de investigado pagou voos de Flávio (diariodepernambuco.com.br) https://www.diariodepernambuco.com.br/politica/2026/10/11726788-bet-de-investigado-por-fraude-no-inss-pagou-voos-de-flavio-bolsonaro-na-europa-aponta-pf.html | Loterj rescinde contrato com a RioPag (bnldata.com.br) https://bnldata.com.br/loterj-rescinde-contrato-com-riopag-e-cobra-r-94-mi-da-empresa/</t>
  </si>
  <si>
    <t xml:space="preserve">pgr</t>
  </si>
  <si>
    <t xml:space="preserve">Procuradoria-Geral (PGR)</t>
  </si>
  <si>
    <t xml:space="preserve">Procuradoria-Geral da República, chefiada por Paulo Gonet. Cabe a ela denunciar autoridades com foro no STF, como os investigados do caso Master. Em 2026 negociava com a PF a delação de Vorcaro e sustentou que Mendonça investigou Alexandre de Moraes sem aval do plenário. Não foi ouvida antes do afastamento do diretor-geral da PF.</t>
  </si>
  <si>
    <t xml:space="preserve">Afastamento do diretor-geral da PF sem ouvir a PGR (cnnbrasil.com.br) https://www.cnnbrasil.com.br/blogs/teo-cury/politica/mendonca-ordenou-afastamento-de-diretor-geral-da-pf-sem-ouvir-pgr/ | Gonet diz que Mendonça investigou Moraes (iclnoticias.com.br) https://iclnoticias.com.br/gonet-diz-que-mendonca-investigou-moraes/ | Delação de Vorcaro em negociação (timesbrasil.com.br) https://timesbrasil.com.br/brasil/operacoes-da-pf/pf-prende-paulo-henrique-costa-ex-presidente-do-brb-em-nova-fase-da-compliance-zero/</t>
  </si>
  <si>
    <t xml:space="preserve">pgr.jpg</t>
  </si>
  <si>
    <t xml:space="preserve">Webysther · CC BY-SA 4.0</t>
  </si>
  <si>
    <t xml:space="preserve">https://commons.wikimedia.org/wiki/File:Webysther_20180212174501_-_PGR_-_Procuradoria_Geral_da_Rep%C3%BAblica.jpg</t>
  </si>
  <si>
    <t xml:space="preserve">receita</t>
  </si>
  <si>
    <t xml:space="preserve">Receita Federal</t>
  </si>
  <si>
    <t xml:space="preserve">Receita Federal. O secretário José Barroso Tostes Neto teve três reuniões com Flávio em ago e set/2020, a pedido do senador e com a advogada dele no caso Queiroz; a última teria sido na casa de Flávio. Os temas declarados foram a situação fiscal de pessoas e empresas ligadas a ele e supostas condutas irregulares de servidores do órgão.</t>
  </si>
  <si>
    <t xml:space="preserve">O local da última reunião é relatado com "teria".</t>
  </si>
  <si>
    <t xml:space="preserve">Receita confirma visita de secretário a Flávio (poder360.com.br) https://www.poder360.com.br/governo/receita-federal-confirma-visita-de-secretario-do-fisco-a-flavio-bolsonaro/ | Chefe da Receita foi à casa de Flávio (infomoney.com.br) https://www.infomoney.com.br/?p=2535322</t>
  </si>
  <si>
    <t xml:space="preserve">receita.jpg</t>
  </si>
  <si>
    <t xml:space="preserve">Academia de Letras de Campo Maior · CC BY-SA 4.0</t>
  </si>
  <si>
    <t xml:space="preserve">https://commons.wikimedia.org/wiki/File:Ag%C3%AAncia_da_Receita_Federal_de_Campo_Maior,_Piau%C3%AD,_Brasil.JPG</t>
  </si>
  <si>
    <t xml:space="preserve">tse</t>
  </si>
  <si>
    <t xml:space="preserve">TSE</t>
  </si>
  <si>
    <t xml:space="preserve">Tribunal Superior Eleitoral. Kassio Nunes Marques assumiu a presidência em mai/2026 e conduz as eleições de 2026. Em mar/2026 o tribunal tornou Cláudio Castro inelegível; Nunes Marques votou pela absolvição.</t>
  </si>
  <si>
    <t xml:space="preserve">Nunes Marques assume a presidência do TSE (poder360.com.br) https://www.poder360.com.br/brasil/nunes-marques-assume-presidencia-do-tse/ | TSE torna Castro inelegível (jovempan.com.br) https://jovempan.com.br/politica/tse-forma-maioria-para-tornar-castro-inelegivel-por-8-anos/</t>
  </si>
  <si>
    <t xml:space="preserve">tse.jpg</t>
  </si>
  <si>
    <t xml:space="preserve">Alexandresena · CC BY-SA 4.0</t>
  </si>
  <si>
    <t xml:space="preserve">https://commons.wikimedia.org/wiki/File:Sede_do_Tribunal_Superior_Eleitoral,_em_Bras%C3%ADlia.jpg</t>
  </si>
  <si>
    <t xml:space="preserve">brb</t>
  </si>
  <si>
    <t xml:space="preserve">BRB (Banco de Brasília)</t>
  </si>
  <si>
    <t xml:space="preserve">Banco de Brasília, banco público controlado pelo governo do DF. Pôs cerca de R$ 12 bi no Master comprando carteiras de crédito consignado que a investigação aponta como fraudulentas, e tentou comprar o próprio Master em 2025. O ex-presidente Paulo Henrique Costa foi afastado em nov/2025 e preso em 16/04/2026 na Compliance Zero. Em 2021 financiou R$ 3,1 mi da mansão de Flávio em Brasília.</t>
  </si>
  <si>
    <t xml:space="preserve">Ex-dirigentes investigados no inquérito do caso Master. A PF também apura as condições do empréstimo a Flávio.</t>
  </si>
  <si>
    <t xml:space="preserve">PF prende ex-presidente do BRB (timesbrasil.com.br) https://timesbrasil.com.br/brasil/operacoes-da-pf/pf-prende-paulo-henrique-costa-ex-presidente-do-brb-em-nova-fase-da-compliance-zero/ | PF apura financiamento do BRB a Flávio (diariodepernambuco.com.br) https://www.diariodepernambuco.com.br/politica/2026/10/11725606-pf-apura-condicoes-de-financiamento-do-brb-a-flavio-bolsonaro-para-mansao-de-rs-6-milhoes.html</t>
  </si>
  <si>
    <t xml:space="preserve">brb.png</t>
  </si>
  <si>
    <t xml:space="preserve">Banco de Brasília · domínio público (logo simples, sem direito autoral)</t>
  </si>
  <si>
    <t xml:space="preserve">https://commons.wikimedia.org/wiki/File:Logotipo_do_Banco_de_Bras%C3%ADlia.svg</t>
  </si>
  <si>
    <t xml:space="preserve">govlula</t>
  </si>
  <si>
    <t xml:space="preserve">Governo Lula (Haddad, Gleisi, Mercadante)</t>
  </si>
  <si>
    <t xml:space="preserve">Ministros do governo Lula citados em mensagens do celular de Vorcaro. Em 29/10/2025, enquanto a compra do Master pelo BRB estava em análise no Banco Central, Vorcaro escreveu que Fernando Haddad era "um dos meus maiores opositores". A planilha também registra pedido de ajuda para "bloquear" Gleisi Hoffmann e Aloizio Mercadante.</t>
  </si>
  <si>
    <t xml:space="preserve">Nenhum dos ministros é investigado nas fontes.</t>
  </si>
  <si>
    <t xml:space="preserve">Haddad diz que nunca recebeu Vorcaro e que recusou "diversas vezes" encontrá-lo. O trecho sobre Gleisi e Mercadante não foi reverificado nesta rodada.</t>
  </si>
  <si>
    <t xml:space="preserve">Vorcaro sobre Haddad: um de meus maiores opositores (em.com.br) https://www.em.com.br/politica/2026/10/7513704-vorcaro-sobre-haddad-um-de-meus-maiores-opositores.html | Haddad nega ter recebido Vorcaro (dgabc.com.br) https://www.dgabc.com.br/Noticia/4346805/haddad-nega-ter-recebido-vorcaro-ou-estado-no-mesmo-ambiente-que-ele</t>
  </si>
  <si>
    <t xml:space="preserve">adriano</t>
  </si>
  <si>
    <t xml:space="preserve">Adriano da Nóbrega</t>
  </si>
  <si>
    <t xml:space="preserve">Adriano Magalhães da Nóbrega, ex-capitão do Bope apontado pelo MP-RJ como chefe do Escritório do Crime e da milícia de Rio das Pedras. Flávio o homenageou com moção de louvor em 2003 e com a Medalha Tiradentes em jun/2005, quando ele estava preso por homicídio (depois absolvido, em 2007). A mãe e a mulher dele trabalharam no gabinete de Flávio na Alerj.</t>
  </si>
  <si>
    <t xml:space="preserve">Morto (fev/2020)</t>
  </si>
  <si>
    <t xml:space="preserve">Foragido desde a Operação Os Intocáveis (jan/2019); morto pela polícia na Bahia em fev/2020.</t>
  </si>
  <si>
    <t xml:space="preserve">Apontado pelo MP-RJ como chefe da milícia de Rio das Pedras e do Escritório do Crime.</t>
  </si>
  <si>
    <t xml:space="preserve">Mesmo sendo uma figura notória, fica sem foto porque não era pessoa pública por escolha.</t>
  </si>
  <si>
    <t xml:space="preserve">Ex-PM estava preso quando Flávio o homenageou (agazeta.com.br) https://www.agazeta.com.br/brasil/ex-pm-estava-preso-por-homicidio-quando-flavio-bolsonaro-o-homenageou-0119 | Miliciano ligado a Flávio é morto (congressoemfoco.com.br) https://www.congressoemfoco.com.br/governo/miliciano-ligado-a-flavio-bolsonaro-e-morto-durante-operacao/ | Entre medalhas e milícias (vermelho.org.br) https://vermelho.org.br/?p=740865</t>
  </si>
  <si>
    <t xml:space="preserve">ronald</t>
  </si>
  <si>
    <t xml:space="preserve">Ronald Paulo Alves Pereira</t>
  </si>
  <si>
    <t xml:space="preserve">Major da PM do Rio. Flávio apresentou em 2004 uma moção de louvor a ele na Alerj. Foi preso em jan/2019 na Operação Os Intocáveis, contra a milícia de Rio das Pedras, e em fev/2026 condenado pela Primeira Turma do STF a 56 anos de prisão no caso Marielle Franco e Anderson Gomes.</t>
  </si>
  <si>
    <t xml:space="preserve">Cumpre pena na Penitenciária Federal de Brasília (DF)</t>
  </si>
  <si>
    <t xml:space="preserve">Condenado pelo STF (56 anos); trânsito em julgado declarado em 13/07/2026.</t>
  </si>
  <si>
    <t xml:space="preserve">Preso na operação contra a milícia de Rio das Pedras e Muzema.</t>
  </si>
  <si>
    <t xml:space="preserve">Moraes determina cumprimento das penas no caso Marielle (agenciabrasil.ebc.com.br) https://agenciabrasil.ebc.com.br/justica/noticia/2026-07/caso-marielle-moraes-determina-cumprimento-imediato-de-penas | Flávio homenageou em 2004 suspeito do caso Marielle (jb.com.br) https://www.jb.com.br/rio/2019/01/974171-flavio-bolsonaro-homenageou-em-2004-suspeito-de-participar-da-morte-de-marielle.html</t>
  </si>
  <si>
    <t xml:space="preserve">peixe</t>
  </si>
  <si>
    <t xml:space="preserve">Robson Calixto (“Peixe”)</t>
  </si>
  <si>
    <t xml:space="preserve">Robson Calixto da Fonseca, PM da reserva e ex-assessor de Domingos Brazão na Alerj e no TCE-RJ. Em fev/2026 o STF o condenou a 9 anos por integrar organização criminosa armada ligada ao assassinato de Marielle Franco; não foi condenado pelos homicídios. Segundo a PF, em out/2023 pediu a uma assessora de Flávio uma emenda de R$ 199 mil para o Instituto Ifop, paga em nov/2023.</t>
  </si>
  <si>
    <t xml:space="preserve">Condenado pelo STF a 9 anos (organização criminosa armada); trânsito em julgado em jul/2026. A PF apura a emenda.</t>
  </si>
  <si>
    <t xml:space="preserve">A PGR o descreveu como operador e intermediário dos irmãos Brazão.</t>
  </si>
  <si>
    <t xml:space="preserve">Flávio diz que a emenda seguiu critérios técnicos e que a execução cabe ao beneficiário.</t>
  </si>
  <si>
    <t xml:space="preserve">Quem é Peixe (tvtnews.com.br) https://tvtnews.com.br/?p=804271 | PF apura emenda de Flávio para ONG dos Brazão (infomoney.com.br) https://www.infomoney.com.br/politica/pf-apura-emenda-de-flavio-para-ong-suspeita-de-integrar-esquema-dos-irmaos-brazao/ | Penas do caso Marielle (agenciabrasil.ebc.com.br) https://agenciabrasil.ebc.com.br/justica/noticia/2026-07/caso-marielle-moraes-determina-cumprimento-imediato-de-penas</t>
  </si>
  <si>
    <t xml:space="preserve">pms16</t>
  </si>
  <si>
    <t xml:space="preserve">16 PMs denunciados</t>
  </si>
  <si>
    <t xml:space="preserve">Grupo de policiais militares que receberam homenagens de Flávio e Carlos Bolsonaro e depois foram denunciados por organização criminosa ou ligação com milícias. Entre os casos documentados estão quatro PMs da Operação Quarto Elemento, denunciados por extorsão de comerciantes e mototaxistas. Os nomes individuais não são listados aqui.</t>
  </si>
  <si>
    <t xml:space="preserve">Denunciados pelo MP-RJ; a situação varia caso a caso.</t>
  </si>
  <si>
    <t xml:space="preserve">Parte do grupo é ligada a milícias, segundo o MP-RJ.</t>
  </si>
  <si>
    <t xml:space="preserve">O total de 16 vem do vídeo de origem. A fonte reverificada nomeia seis homenageados denunciados e não confirma o total. Resposta do citado: não localizada nas fontes consultadas (checagem de 23/10/2026). Pedidos de correção ou resposta: ver “Sobre este mapa”.</t>
  </si>
  <si>
    <t xml:space="preserve">Entre medalhas e milícias (vermelho.org.br) https://vermelho.org.br/?p=740865 | Milicianos presos foram homenageados por Flávio na Alerj (istoe.com.br) https://istoe.com.br/milicianos-presos-no-rio-foram-homenageados-por-flavio-bolsonaro-na-alerj/</t>
  </si>
  <si>
    <t xml:space="preserve">pmacusado</t>
  </si>
  <si>
    <t xml:space="preserve">PM acusado de matar menina de 5 anos</t>
  </si>
  <si>
    <t xml:space="preserve">Policial militar denunciado pelo MP-RJ por um disparo de fuzil que matou uma criança de 5 anos durante patrulha em Niterói, em fev/2021. Flávio integrou a defesa e assinou um recurso ao STJ em 2024 para evitar o júri popular. O STJ negou o recurso, e o PM aguarda o júri.</t>
  </si>
  <si>
    <t xml:space="preserve">Niterói (RJ)</t>
  </si>
  <si>
    <t xml:space="preserve">Réu; pronunciado a júri popular, sem mais recursos. A prisão preventiva foi revogada em nov/2021.</t>
  </si>
  <si>
    <t xml:space="preserve">Por envolver uma criança, o mapa não traz o nome da vítima. A defesa do PM diz que ele reagiu a um ataque; o MP-RJ diz que não houve confronto.</t>
  </si>
  <si>
    <t xml:space="preserve">Flávio atuou na defesa de PM acusado (iclnoticias.com.br) https://iclnoticias.com.br/flavio-bolsonaro-defesa-pm-acusado-matar-menina/ | Flávio advogou para PM (eshoje.com.br) https://eshoje.com.br/brasil/2026/10/flavio-advogou-para-pm/</t>
  </si>
  <si>
    <t xml:space="preserve">cirorocha</t>
  </si>
  <si>
    <t xml:space="preserve">Ciro Rocha Soares</t>
  </si>
  <si>
    <t xml:space="preserve">Advogado baiano, sócio da Rocha Soares Advogados Associados (Salvador) e ex-ouvidor do Ministério do Turismo (2016-2017). Em mensagens obtidas pela PF aparece articulando, com Cezinha de Madureira, a aproximação de Vorcaro com Mendonça: em 08/02/2025 mandou foto e áudio dizendo que levara o ministro a uma alfaiataria "trabalhando por você".</t>
  </si>
  <si>
    <t xml:space="preserve">Salvador (BA)</t>
  </si>
  <si>
    <t xml:space="preserve">Não há acusação contra ele nas fontes.</t>
  </si>
  <si>
    <t xml:space="preserve">Ele diz que não há irregularidade em pedir conversas com magistrados e que Vorcaro não era investigado em fev/2025.</t>
  </si>
  <si>
    <t xml:space="preserve">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t>
  </si>
  <si>
    <t xml:space="preserve">ong</t>
  </si>
  <si>
    <t xml:space="preserve">ONG e produtora do filme</t>
  </si>
  <si>
    <t xml:space="preserve">Entidades ligadas a Karina Ferreira da Gama, sócia da GoUp, produtora do filme Dark Horse, sobre Jair Bolsonaro: o Instituto Conhecer Brasil e a Associação (ou Academia) Nacional de Cultura. Receberam emendas de deputados paulistas. Segundo o Intercept, houve negociação de US$ 24 mi de Vorcaro para o filme; Flávio admitiu ter recebido mais de US$ 12 mi, que chama de "patrocínio".</t>
  </si>
  <si>
    <t xml:space="preserve">Av. Paulista, São Paulo (SP)</t>
  </si>
  <si>
    <t xml:space="preserve">Flávio é investigado no STF pelo dinheiro do filme (relator André Mendonça). A Prefeitura de SP pediu explicações a uma das entidades sobre despesas.</t>
  </si>
  <si>
    <t xml:space="preserve">Karina diz que Vorcaro foi intermediário e que o dinheiro veio do fundo Heavengate, do Texas. O papel de tesoureiro de fachada atribuído ao eletricista vem do vídeo e não foi reverificado.</t>
  </si>
  <si>
    <t xml:space="preserve">Produtora diz que filme já custou R$ 65,7 mi (oliberal.com) https://www.oliberal.com/politica/produtora-diz-que-filme-de-bolsonaro-ja-custou-r-65-7-milhoes-vorcaro-bancou-90-do-custo-1.1123519 | Deputados indicaram R$ 700 mil a entidades da produtora (cnnbrasil.com.br) https://www.cnnbrasil.com.br/politica/deputados-de-sp-indicaram-r-700-mil-a-entidades-da-produtora-de-dark-horse/ | Prefeitura pede explicações a ONG ligada a Dark Horse (dgabc.com.br) https://www.dgabc.com.br/Noticia/4334231/prefeitura-de-sp-pede-explicacoes-a-ong-ligada-a-dark-horse-por-despesas-de-rs-13-4-milhoes</t>
  </si>
  <si>
    <t xml:space="preserve">bestbet</t>
  </si>
  <si>
    <t xml:space="preserve">Best Bet (Rede Loto)</t>
  </si>
  <si>
    <t xml:space="preserve">Nome fantasia da Rede Loto, registrada em SP em fev/2023 e licenciada pela Loterj em 25/05/2023, a primeira bet autorizada no país. A única acionista é a Cathedral Holdings, de Willer Tomaz e sócios. A PF apura se Willer controla a empresa de fato e encontrou canhotos de voos de Flávio na Europa (2025) pagos via Cathedral.</t>
  </si>
  <si>
    <t xml:space="preserve">Citada no inquérito enviado ao STF em out/2026 (relator Moraes).</t>
  </si>
  <si>
    <t xml:space="preserve">A defesa diz que a bet nunca chegou a operar e que os voos foram pagos por Willer, como passeios entre famílias.</t>
  </si>
  <si>
    <t xml:space="preserve">Bet de investigado pagou voos de Flávio (diariodepernambuco.com.br) https://www.diariodepernambuco.com.br/politica/2026/10/11726788-bet-de-investigado-por-fraude-no-inss-pagou-voos-de-flavio-bolsonaro-na-europa-aponta-pf.html | Segundo inquérito contra Flávio no STF (oliberal.com) https://www.oliberal.com/politica/flavio-e-investigado-em-2-inquerito-no-stf-para-apurar-suspeitas-de-lavagem-com-advogado-1.1183991</t>
  </si>
  <si>
    <t xml:space="preserve">cathedral</t>
  </si>
  <si>
    <t xml:space="preserve">Cathedral Holdings</t>
  </si>
  <si>
    <t xml:space="preserve">Cathedral Holdings S.A., aberta na Ilha da Madeira (Portugal) em jan/2023 só com sócios brasileiros: Willer Tomaz, a mulher e a irmã dele, Jorge Barbosa Dias e um parente de Dias. É a única acionista da Rede Loto (Best Bet). Segundo a PF, pagou voos de Flávio e da mulher entre Lisboa, Cascais, Nice e Paris em abr e mai/2025.</t>
  </si>
  <si>
    <t xml:space="preserve">Citada no inquérito da PF sobre Flávio e Willer (STF, out/2026).</t>
  </si>
  <si>
    <t xml:space="preserve">Dias foi processado por jogo ilegal e lavagem em 2022 e absolvido em 2023. A defesa diz que os voos foram pagos por Willer.</t>
  </si>
  <si>
    <t xml:space="preserve">Bet de investigado pagou voos de Flávio (diariodepernambuco.com.br) https://www.diariodepernambuco.com.br/politica/2026/10/11726788-bet-de-investigado-por-fraude-no-inss-pagou-voos-de-flavio-bolsonaro-na-europa-aponta-pf.html | Bet de investigado pagou voos de Flávio, aponta PF (bahianoticias.com.br) https://www.bahianoticias.com.br/folha/noticia/412847-bet-de-investigado-por-fraude-do-inss-pagou-voos-de-flavio-bolsonaro-na-europa</t>
  </si>
  <si>
    <t xml:space="preserve">bravo</t>
  </si>
  <si>
    <t xml:space="preserve">Bravo Grafeno</t>
  </si>
  <si>
    <t xml:space="preserve">Fábrica de capacetes aberta em jun/2024, com capital de R$ 100 mil, que tem como sócios Flávio e Carlos Bolsonaro (Jair já foi sócio e é garoto-propaganda). Está registrada na sala 2601 de um edifício em Águas Claras (DF), mesmo endereço de ao menos 16 empresas ligadas ao Careca do INSS, e usa o mesmo contador, Alexandre Caetano dos Reis.</t>
  </si>
  <si>
    <t xml:space="preserve">Águas Claras (DF)</t>
  </si>
  <si>
    <t xml:space="preserve">Não há acusação contra a empresa nas fontes.</t>
  </si>
  <si>
    <t xml:space="preserve">O escritório do contador diz que a sala é um coworking de outra empresa. Flávio nega envolvimento com o caso INSS.</t>
  </si>
  <si>
    <t xml:space="preserve">Empresas de Flávio e do Careca dividem a mesma sala (brasildefato.com.br) https://www.brasildefato.com.br/2026/09/11/empresas-de-flavio-bolsonaro-e-careca-do-inss-dividem-a-mesma-sala-em-brasilia/ | Mesma sala e mesmo contador (bahianoticias.com.br) https://www.bahianoticias.com.br/noticia/321055-empresas-de-flavio-bolsonaro-e-do-careca-do-inss-dividem-a-mesma-sala-e-possuem-o-mesmo-contador</t>
  </si>
  <si>
    <t xml:space="preserve">escf</t>
  </si>
  <si>
    <t xml:space="preserve">Escritório de advocacia de Flávio</t>
  </si>
  <si>
    <t xml:space="preserve">Banca de advocacia de Flávio, ativa desde 2021 e com sede na casa do senador, em Brasília. É administrada à distância por Letícia Caetano dos Reis, e a contabilidade é feita pelo escritório do irmão dela, Alexandre. Em abr/2025 emitiu nota de R$ 500 mil por "assessoria jurídica" a uma empresa ligada a uma consultoria que recebeu R$ 58 mi do Master.</t>
  </si>
  <si>
    <t xml:space="preserve">Não há acusação contra o escritório nas fontes. Figura em ao menos 18 processos.</t>
  </si>
  <si>
    <t xml:space="preserve">Flávio alega sigilo profissional e não revela os clientes.</t>
  </si>
  <si>
    <t xml:space="preserve">Escritório de Flávio que emitiu nota de R$ 500 mil (tribunadosertao.com.br) https://www.tribunadosertao.com.br/poder-e-governo/2026/07/26/946935-escritorio-de-advocacia-de-flavio-que-emitiu-nota-de-r-500-mil-tem-atuacao-discreta-e-gestao-a-distancia | Firma de advocacia de Flávio (apublica.org) https://apublica.org/2022/06/firma-de-advocacia-de-flavio-bolsonaro-tem-contratos-consideraveis-diz-administradora/</t>
  </si>
  <si>
    <t xml:space="preserve">consult</t>
  </si>
  <si>
    <t xml:space="preserve">Consultoria do amigo de Nunes</t>
  </si>
  <si>
    <t xml:space="preserve">Consult Inteligência Tributária. Segundo relatório do Coaf, recebeu R$ 6,6 mi do Banco Master e R$ 11,3 mi da JBS entre 2024 e 2025, e repassou R$ 281,6 mil, em 11 parcelas, ao escritório de Kevin Marques, filho do ministro Nunes Marques.</t>
  </si>
  <si>
    <t xml:space="preserve">Aparece em relatório do Coaf sobre movimentações atípicas; sem acusação formal nas fontes.</t>
  </si>
  <si>
    <t xml:space="preserve">As reportagens não nomeiam o dono, e a ligação "amigo de Nunes" vem do vídeo de origem, sem confirmação. A defesa de Kevin diz que ele prestou serviços tributários e nunca recebeu direto das empresas. A JBS diz que contrata consultorias pela complexidade tributária.</t>
  </si>
  <si>
    <t xml:space="preserve">Quem é Kevin Nunes Marques (istoe.com.br) https://istoe.com.br/quem-e-kelvin-nunes-marques-filho-do-ministro-do-stf-que-diz | Consultoria ligada ao Master e à JBS contratou filho de Nunes Marques (metropoles.com) https://www.metropoles.com/brasil/consultoria-ligada-ao-master-e-a-jbs-contratou-filho-de-nunes-marques</t>
  </si>
  <si>
    <t xml:space="preserve">riopag</t>
  </si>
  <si>
    <t xml:space="preserve">Rio Pag</t>
  </si>
  <si>
    <t xml:space="preserve">Intermediadora de pagamentos (depósitos e saques) das bets licenciadas pela Loterj, contratada em 2023. Faturou R$ 187,8 mi em taxas entre jun/2023 e ago/2026. A única acionista é a Capital Pretium, representada por Lídia Mazelli. Em e-mail achado pela PF, Willer se apresentou como sócio.</t>
  </si>
  <si>
    <t xml:space="preserve">A Loterj rescindiu o contrato em 22/09/2026 e cobra R$ 9,4 mi, acusando a empresa de reter R$ 20,9 mi; três dias depois uma liminar suspendeu a rescisão.</t>
  </si>
  <si>
    <t xml:space="preserve">Willer nega ser sócio ou gestor e diz que a relação é só de advogado. Antes dizia não ter participação; depois admitiu participação indireta (O Globo).</t>
  </si>
  <si>
    <t xml:space="preserve">Empresa ligada a amigo de Flávio faturou R$ 187,8 mi (ncnews.com.br) https://ncnews.com.br/?p=55340 | Loterj rescinde contrato com a RioPag (bnldata.com.br) https://bnldata.com.br/loterj-rescinde-contrato-com-riopag-e-cobra-r-94-mi-da-empresa/</t>
  </si>
  <si>
    <t xml:space="preserve">luri</t>
  </si>
  <si>
    <t xml:space="preserve">Allure Eventos</t>
  </si>
  <si>
    <t xml:space="preserve">Allure Eventos, agência de eventos de Felipe Nisti Cataldo. Segundo o UOL, recrutava mulheres, inclusive estrangeiras, para festas privadas de Vorcaro no Brasil e no exterior. Mensagens indicam Vorcaro como sócio oculto, e um contrato de dez/2023 previa a compra de 50% da agência por R$ 1,5 mi.</t>
  </si>
  <si>
    <t xml:space="preserve">A PF abriu inquérito em mai/2026 sobre a contratação das estrangeiras.</t>
  </si>
  <si>
    <t xml:space="preserve">O dono confirma o interesse de Vorcaro, mas nega que a compra tenha avançado e contesta a versão das mensagens. Uma das reportagens não afirma explicitamente que a Allure é a agência usada no recrutamento.</t>
  </si>
  <si>
    <t xml:space="preserve">Mensagens apontam Vorcaro como sócio de agência (maisgoias.com.br) https://www.maisgoias.com.br/brasil/justica/mensagens-apontam-vorcaro-como-socio-de-agencia-que-recrutava-refugiadas-para-prostituicao/ | Mensagens ligam Vorcaro a recrutamento (jornalopcao.com.br) https://www.jornalopcao.com.br/ultimas-noticias/daniel-vorcaro-esquema-prostituicao-878361/ | Mensagens ligam Vorcaro a esquema de recrutamento (acritica.net) https://acritica.net/policia/mensagens-ligam-daniel-vorcaro-a-esquema-de-prostituicao-e-recrutamento-de-refugiadas/</t>
  </si>
  <si>
    <t xml:space="preserve">ongbrazao</t>
  </si>
  <si>
    <t xml:space="preserve">ONG ligada aos irmãos Brazão</t>
  </si>
  <si>
    <t xml:space="preserve">Instituto de Formação Profissional José Carlos Procópio (Ifop), numa sala comercial em Taquara, Zona Oeste do Rio, área de influência dos Brazão. Recebeu R$ 199 mil de emenda de Flávio em 29/11/2023 para um projeto de futebol infantil. A PF apura se o repasse fez parte de um esquema de desvio de verbas de entidades ligadas aos Brazão, que teriam recebido R$ 268 mi entre 2020 e 2024.</t>
  </si>
  <si>
    <t xml:space="preserve">Taquara, Rio de Janeiro (RJ)</t>
  </si>
  <si>
    <t xml:space="preserve">Investigação da PF em andamento; sem denúncia nas fontes.</t>
  </si>
  <si>
    <t xml:space="preserve">O Ifop nega relação com Peixe ou com os Brazão e diz que prestou contas ao Ministério do Esporte e devolveu o que sobrou.</t>
  </si>
  <si>
    <t xml:space="preserve">PF apura emenda de Flávio para ONG dos Brazão (infomoney.com.br) https://www.infomoney.com.br/politica/pf-apura-emenda-de-flavio-para-ong-suspeita-de-integrar-esquema-dos-irmaos-brazao/ | Quem é Peixe (tvtnews.com.br) https://tvtnews.com.br/?p=804271</t>
  </si>
  <si>
    <t xml:space="preserve">kopenhagen</t>
  </si>
  <si>
    <t xml:space="preserve">Loja Kopenhagen de Flávio</t>
  </si>
  <si>
    <t xml:space="preserve">Franquia de chocolates no Shopping Via Parque (Barra da Tijuca), da empresa Bolsotini Chocolates e Café, de Flávio e do sócio Alexandre Santini, comprada entre 2014 e 2015. O MP-RJ suspeitou que a loja servia para lavar dinheiro da rachadinha, com até R$ 2,1 mi "legalizados" e depósitos em espécie desproporcionais ao faturamento. A operação foi repassada ao grupo CRM em fev/2021.</t>
  </si>
  <si>
    <t xml:space="preserve">Barra da Tijuca, Rio de Janeiro (RJ)</t>
  </si>
  <si>
    <t xml:space="preserve">Fazia parte da denúncia da rachadinha, que perdeu efeito com as anulações de provas.</t>
  </si>
  <si>
    <t xml:space="preserve">Flávio nega crime e diz que as operações da loja eram legais. A marca Kopenhagen não é parte do caso; por isso o nó fica sem logo.</t>
  </si>
  <si>
    <t xml:space="preserve">Flávio entrega loja investigada pelo MP (poder360.com.br) https://www.poder360.com.br/brasil/flavio-bolsonaro-entrega-loja-de-chocolates-investigada-pelo-mp/ | Investigação apura se loja lavou R$ 2,1 mi (opovo.com.br) https://www.opovo.com.br/noticias/politica/2020/08/20/investigacao-apura-se-loja-de-flavio-bolsonaro--lavou--r--2-1-milhoes.html</t>
  </si>
  <si>
    <t xml:space="preserve">santander</t>
  </si>
  <si>
    <t xml:space="preserve">Santander</t>
  </si>
  <si>
    <t xml:space="preserve">Banco onde a Alcazar Holdings, de Willer Tomaz, mantinha conta. Segundo a PF e a piauí, Flávio aparecia como "usuário master" dessa conta, e um e-mail da secretária de Willer em 22/05/2025 pediu ao banco a exclusão dele, confirmada no mesmo dia.</t>
  </si>
  <si>
    <t xml:space="preserve">O banco não é investigado; a conta é citada no inquérito sobre Flávio e Willer.</t>
  </si>
  <si>
    <t xml:space="preserve">Willer atribui o vínculo a um erro cadastral do banco. Resposta do citado: não localizada nas fontes consultadas (checagem de 23/10/2026). Pedidos de correção ou resposta: ver “Sobre este mapa”.</t>
  </si>
  <si>
    <t xml:space="preserve">Flávio era usuário master de conta de offshore (maisgoias.com.br) https://www.maisgoias.com.br/brasil/flavio-bolsonaro-era-usuario-master-de-conta-de-offshore-socia-do-jato-usado-por-vorcaro/ | Offshore ligada a Flávio (jornalopcao.com.br) https://www.jornalopcao.com.br/ultimas-noticias/offshore-ligada-a-flavio-bolsonaro-reune-conexoes-com-o-mercado-de-bets-879306/</t>
  </si>
  <si>
    <t xml:space="preserve">santander.png</t>
  </si>
  <si>
    <t xml:space="preserve">Interbrand · domínio público (logo simples, sem direito autoral)</t>
  </si>
  <si>
    <t xml:space="preserve">https://commons.wikimedia.org/wiki/File:Banco_Santander_Logotipo.svg</t>
  </si>
  <si>
    <t xml:space="preserve">bets</t>
  </si>
  <si>
    <t xml:space="preserve">Blaze e sites de apostas</t>
  </si>
  <si>
    <t xml:space="preserve">Plataforma de apostas Blaze. Segundo o Metrópoles, Willer Tomaz movimentou cerca de R$ 5 bi em apostas de cassino on-line nela em 2025, com prejuízo líquido de R$ 163 mi. Ele foi à Justiça de SP alegando vício e cobrando a plataforma. A PF abriu frente de investigação sobre possível lavagem por apostas.</t>
  </si>
  <si>
    <t xml:space="preserve">A plataforma não é acusada nas fontes. A Justiça de SP negou o pedido de ressarcimento de Willer.</t>
  </si>
  <si>
    <t xml:space="preserve">Willer nega lavagem e diz que tudo passou pela própria conta, de forma rastreável. As fontes divergem sobre o valor cobrado na ação (R$ 20 mi ou R$ 163 mi).</t>
  </si>
  <si>
    <t xml:space="preserve">Willer movimenta R$ 5 bi em apostas (bahianoticias.com.br) https://www.bahianoticias.com.br/noticia/321709-advogado-willer-tomaz-movimenta-r-5-bi-em-apostas-e-registra-prejuizo-de-r-163-mi | Justiça de SP nega ressarcimento a Willer (bnldata.com.br) https://bnldata.com.br/?p=189317</t>
  </si>
  <si>
    <t xml:space="preserve">bets.png</t>
  </si>
  <si>
    <t xml:space="preserve">blaze.com · domínio público (logo simples, sem direito autoral)</t>
  </si>
  <si>
    <t xml:space="preserve">https://commons.wikimedia.org/wiki/File:Blaze_apostas_logo.png</t>
  </si>
  <si>
    <t xml:space="preserve">aptosp</t>
  </si>
  <si>
    <t xml:space="preserve">Apartamento de luxo em SP</t>
  </si>
  <si>
    <t xml:space="preserve">Apartamento de 159 m² em São Paulo. Fabiano Zettel, cunhado de Vorcaro, comprou em abr/2025 por R$ 5,5 mi e vendeu em fev/2026 à WT, de Willer, por R$ 3,5 mi. Segundo a piauí, Flávio ficou lá por vários dias em ago/2026, onde se reuniu com a equipe e gravou vídeos de campanha.</t>
  </si>
  <si>
    <t xml:space="preserve">Não há processo sobre o imóvel nas fontes.</t>
  </si>
  <si>
    <t xml:space="preserve">Flávio disse à piauí que só se hospedou em hotéis da região. Willer diz não conhecer Zettel nem Vorcaro.</t>
  </si>
  <si>
    <t xml:space="preserve">Flávio usou em campanha imóvel de advogado alvo da PF (diariodocomercio.com.br) https://diariodocomercio.com.br/politica/flavio-bolsonaro-apartamento-pf/ | Apartamento pertenceu a cunhado de Vorcaro (timesbrasil.com.br) https://timesbrasil.com.br/brasil/apartamento-usado-por-flavio-bolsonaro-durante-campanha-eleitoral-pertenceu-a-cunhado-de-daniel-vorcaro/</t>
  </si>
  <si>
    <t xml:space="preserve">atibaia</t>
  </si>
  <si>
    <t xml:space="preserve">Casa de Wassef em Atibaia</t>
  </si>
  <si>
    <t xml:space="preserve">Casa do advogado Frederick Wassef, que defendia Flávio e Jair Bolsonaro, em Atibaia (SP). Fabrício Queiroz foi preso lá em 18/06/2020, na Operação Anjo, desdobramento da Furna da Onça.</t>
  </si>
  <si>
    <t xml:space="preserve">Atibaia (SP)</t>
  </si>
  <si>
    <t xml:space="preserve">Não há processo sobre o imóvel.</t>
  </si>
  <si>
    <t xml:space="preserve">Wassef negou ter escondido Queiroz.</t>
  </si>
  <si>
    <t xml:space="preserve">Queiroz é preso em Atibaia (poder360.com.br) https://www.poder360.com.br/justica/fabricio-queiroz-ex-assessor-de-flavio-bolsonaro-e-preso/ | Advogado de Bolsonaro diz que não escondeu Queiroz (poder360.com.br) https://poder360.com.br/justica/advogado-de-bolsonaro-diz-que-nao-escondeu-queiroz-e-nega-ser-o-anjo/</t>
  </si>
  <si>
    <t xml:space="preserve">mansaobsb</t>
  </si>
  <si>
    <t xml:space="preserve">Mansão de Flávio em Brasília</t>
  </si>
  <si>
    <t xml:space="preserve">Casa comprada por Flávio em 2021 por R$ 6 mi, num terreno de 2.400 m² no Setor de Mansões Dom Bosco (Lago Sul). Foram R$ 2,87 mi de entrada e R$ 3,1 mi financiados pelo BRB a 3,71% ao ano, abaixo da média do banco; ele quitou em cerca de três anos. Também abriga o escritório de advocacia dele.</t>
  </si>
  <si>
    <t xml:space="preserve">Lago Sul, Brasília (DF)</t>
  </si>
  <si>
    <t xml:space="preserve">A PF apura as condições do empréstimo dentro do inquérito BRB-Master.</t>
  </si>
  <si>
    <t xml:space="preserve">Flávio diz que a compra foi legal, paga com a venda de outro imóvel e da loja de chocolates.</t>
  </si>
  <si>
    <t xml:space="preserve">PF apura financiamento do BRB a Flávio (diariodepernambuco.com.br) https://www.diariodepernambuco.com.br/politica/2026/10/11725606-pf-apura-condicoes-de-financiamento-do-brb-a-flavio-bolsonaro-para-mansao-de-rs-6-milhoes.html | PF investiga financiamento de mansão de Flávio (jb.com.br) https://www.jb.com.br/brasil/policia/2026/10/1061098-pf-investiga-financiamento-de-mansao-de-flavio-bolsonaro-em-brasilia.html</t>
  </si>
  <si>
    <t xml:space="preserve">hangar</t>
  </si>
  <si>
    <t xml:space="preserve">Hangares de Willer (Aeroporto de Brasília)</t>
  </si>
  <si>
    <t xml:space="preserve">Hangares 36 e 37 do Aeroporto de Brasília, operados por empresas de aviação de Willer Tomaz (Ícaro Aviation e Jet Line). Na busca de ago/2026 da Operação Sem Desconto, a PF encontrou uma sala oculta, máquina de contar e malas vazias, sem dinheiro.</t>
  </si>
  <si>
    <t xml:space="preserve">Aeroporto de Brasília (DF)</t>
  </si>
  <si>
    <t xml:space="preserve">Alvo de busca na Operação Sem Desconto (ago/2026).</t>
  </si>
  <si>
    <t xml:space="preserve">Willer nega uso irregular e diz que o espaço atende transporte de valores.</t>
  </si>
  <si>
    <t xml:space="preserve">Empresas e hangar de Willer (iclnoticias.com.br) https://iclnoticias.com.br/domestica-preside-empresas-fraude-flavio/ | PF mira advogado camaleão de Brasília (opovo.com.br) https://www.opovo.com.br/noticias/economia/2026/08/04/fraudes-do-inss-pf-mira-advogado-camaleao-de-brasilia-por-suspeita-de-lavagem-para-senador.html</t>
  </si>
  <si>
    <t xml:space="preserve">sala</t>
  </si>
  <si>
    <t xml:space="preserve">Sala em Águas Claras (DF)</t>
  </si>
  <si>
    <t xml:space="preserve">Sala 2601 de um edifício comercial em Águas Claras (DF). É o endereço de ao menos 16 empresas ligadas ao Careca do INSS, oito delas abertas no mesmo dia (05/10/2023), e da Bravo Grafeno, de Flávio e Carlos. Uma das empresas do Careca, a Prospect, recebeu R$ 204,2 mi de entidades, segundo a CPMI do INSS.</t>
  </si>
  <si>
    <t xml:space="preserve">Várias empresas do endereço são investigadas no caso INSS; algumas foram baixadas.</t>
  </si>
  <si>
    <t xml:space="preserve">O escritório do contador diz que a sala é um coworking de outra empresa.</t>
  </si>
  <si>
    <t xml:space="preserve">escw</t>
  </si>
  <si>
    <t xml:space="preserve">Escritório de Willer</t>
  </si>
  <si>
    <t xml:space="preserve">Escritório de advocacia de Willer Tomaz em Brasília. Foi alvo de busca da PF em 04/08/2026, na nova fase da Operação Sem Desconto, quando os agentes encontraram uma máquina de contar cédulas.</t>
  </si>
  <si>
    <t xml:space="preserve">Alvo de busca e apreensão autorizada por André Mendonça.</t>
  </si>
  <si>
    <t xml:space="preserve">O dinheiro escondido em livros-cofre vem do vídeo de origem; as reportagens reverificadas citam a máquina de contar, mas não os livros-cofre. A defesa diz que a busca se deve ao empréstimo pessoal do avião a Weverton.</t>
  </si>
  <si>
    <t xml:space="preserve">PF acha máquina de contar cédulas (metropoles.com) https://www.metropoles.com/colunas/mirelle-pinheiro/fraude-no-inss-pf-acha-maquina-de-contar-cedulas-e-pilhas-de-dinheiro | Uma máquina de dinheiro no escritório do advogado (oantagonista.com.br) https://oantagonista.com.br/brasil/uma-maquina-de-dinheiro-no-escritorio-do-advogado-ligado-a-weverton-rocha/</t>
  </si>
  <si>
    <t xml:space="preserve">assoc</t>
  </si>
  <si>
    <t xml:space="preserve">Associações de aposentados</t>
  </si>
  <si>
    <t xml:space="preserve">Entidades que descontavam mensalidades direto de aposentadorias e pensões do INSS. PF e CGU estimam R$ 6,3 bi descontados entre 2019 e 2024; em pesquisa da CGU, 97% dos beneficiários ouvidos disseram não ter autorizado. A Operação Sem Desconto (abr/2025) derrubou o presidente do INSS, e o dinheiro passava pelo esquema atribuído ao Careca do INSS.</t>
  </si>
  <si>
    <t xml:space="preserve">Nacional</t>
  </si>
  <si>
    <t xml:space="preserve">Convênios suspensos; o governo prometeu ressarcir os aposentados.</t>
  </si>
  <si>
    <t xml:space="preserve">Nem todo o valor é ilegal: parte dos segurados autorizou os descontos.</t>
  </si>
  <si>
    <t xml:space="preserve">Como funcionava o esquema de fraude no INSS (opovo.com.br) https://www.opovo.com.br/noticias/brasil/2025/04/30/como-funcionava-o-esquema-bilionario-de-fraude-no-inss.html | Crise no INSS (congressoemfoco.com.br) https://www.congressoemfoco.com.br/noticia/108221/crise-no-inss-entenda-escandalo-que-derrubou-ministro-da-previdencia</t>
  </si>
  <si>
    <t xml:space="preserve">rueda</t>
  </si>
  <si>
    <t xml:space="preserve">Antonio Rueda</t>
  </si>
  <si>
    <t xml:space="preserve">Presidente do União Brasil desde 2024. Admitiu à piauí ter prestado serviços de advocacia ao Master (“dezenas de pareceres e centenas de reuniões”). Aparece com 2.712 interações no celular de Vorcaro (nov/2023 a set/2025), o 4º maior volume entre os 56 políticos; 64% delas expiraram ou foram apagadas, quase todas depois de 12/07/2024, data em que a planilha registra um temporizador de 1 dia.</t>
  </si>
  <si>
    <t xml:space="preserve">As fontes lidas não informam se ele é formalmente investigado. Vorcaro o cita em proposta de delação rejeitada pela PF e pela PGR (UOL, set/2026); ele nega irregularidades.</t>
  </si>
  <si>
    <t xml:space="preserve">Diz ter apenas “contatos sociais eventuais” com Vorcaro e que atuou como advogado do banco (“Prezado, eu era advogado do banco. Obrigado.”, à piauí). Nega irregularidades e disse ao UOL ter dificuldade em comentar documento ao qual não teve acesso. A piauí cita 2.636 interações (sem as 76 ligações do iPhone); aqui vale o total da planilha. Os números de contato são do levantamento piauí/InterSecLab sobre o celular de Vorcaro (base 18/11/2025): medem volume de contato individual (WhatsApp e ligações), não conteúdo; mensagens expiradas ou apagadas não são recuperáveis.</t>
  </si>
  <si>
    <t xml:space="preserve">Piauí: 71% das interações de Vorcaro com políticos eram do governo Bolsonaro (piaui.uol.com.br) https://piaui.uol.com.br/web/mais-de-70-das-interacoes-do-celular-de-vorcaro-com-politicos-eram-com-membros-do-governo-bolsonaro/ | Rueda admite que advogou para o Master (infomoney.com.br) https://www.infomoney.com.br/politica/rueda-admite-que-advogou-para-o-master-apos-alegar-relacao-social-com-vorcaro/ | ACM Neto e Rueda recebiam 10% de aportes, diz Vorcaro em proposta de delação (bahianoticias.com.br) https://www.bahianoticias.com.br/noticia/320957-acm-neto-e-rueda-recebiam-10-de-aportes-de-previdencias-do-banco-master-diz-vorcaro-em-proposta-de-delacao</t>
  </si>
  <si>
    <t xml:space="preserve">23/10/2026: perfil novo (base piauí/InterSecLab, rodada de verificação).</t>
  </si>
  <si>
    <t xml:space="preserve">wajngarten</t>
  </si>
  <si>
    <t xml:space="preserve">Fabio Wajngarten</t>
  </si>
  <si>
    <t xml:space="preserve">Ex-secretário especial de Comunicação Social do governo Bolsonaro. Integra a defesa de Vorcaro na área de comunicação desde o 1º semestre de 2025. Segundo a Folha (documentos da Receita enviados à CPI do Crime), a WF Comunicação, empresa dele, recebeu do Banco Master ao menos R$ 3,8 mi em 2025. A piauí cita mensagem de 28/04/2025 com dados para pagamento de R$ 3,2 mi à WF. Aparece com 1.151 interações no celular de Vorcaro (mar a nov/2025), o 6º maior volume; 93% expiraram.</t>
  </si>
  <si>
    <t xml:space="preserve">As fontes lidas não informam se ele é formalmente investigado.</t>
  </si>
  <si>
    <t xml:space="preserve">Diz à piauí que atuou como “agregador de notícias”, distribuindo notícias a mais de 200 contatos; segundo a Folha, afirma que o contrato é confidencial e que não é mais politicamente exposto. Os R$ 3,2 mi (mensagem de 28/04/2025, piauí) e os R$ 3,8 mi (Receita, via Folha) são dados distintos: não somar nem igualar. Os números de contato são do levantamento piauí/InterSecLab sobre o celular de Vorcaro (base 18/11/2025): medem volume de contato individual (WhatsApp e ligações), não conteúdo; mensagens expiradas ou apagadas não são recuperáveis.</t>
  </si>
  <si>
    <t xml:space="preserve">Piauí: 71% das interações de Vorcaro com políticos eram do governo Bolsonaro (piaui.uol.com.br) https://piaui.uol.com.br/web/mais-de-70-das-interacoes-do-celular-de-vorcaro-com-politicos-eram-com-membros-do-governo-bolsonaro/ | Braço direito de Bolsonaro recebe R$ 3 milhões para defender Vorcaro (atarde.com.br) https://atarde.com.br/politica/braco-direito-de-bolsonaro-recebe-r-3-milhoes-para-defender-vorcaro-1385380 | Ex-secretário de Bolsonaro recebeu R$ 3,8 milhões para defender Vorcaro (portaltela.com) https://www.portaltela.com/noticias/politica/2026/04/09/ex-secretario-de-bolsonaro-recebeu-38-milhoes-para-defender-vorcaro/</t>
  </si>
  <si>
    <t xml:space="preserve">mantega</t>
  </si>
  <si>
    <t xml:space="preserve">Guido Mantega</t>
  </si>
  <si>
    <t xml:space="preserve">Ex-ministro da Fazenda (PT). Disse à piauí ter sido contratado pelo Master entre 2024 e 2025 para consultoria econômica. Aparece com 323 interações no celular de Vorcaro (jun/2024 a nov/2025); 94% expiraram e as 19 ligações não ficaram registradas. Mensagens divulgadas pelo Estadão mostram Vorcaro e um advogado tentando levá-lo a Lula em 2025.</t>
  </si>
  <si>
    <t xml:space="preserve">O Planalto diz que Lula recebeu Vorcaro uma única vez (04/12/2024), acompanhado de Mantega, e que não houve outro contato. A matéria da Gazeta do Povo não traz manifestação de Mantega sobre as mensagens. Os números de contato são do levantamento piauí/InterSecLab sobre o celular de Vorcaro (base 18/11/2025): medem volume de contato individual (WhatsApp e ligações), não conteúdo; mensagens expiradas ou apagadas não são recuperáveis.</t>
  </si>
  <si>
    <t xml:space="preserve">Piauí: 71% das interações de Vorcaro com políticos eram do governo Bolsonaro (piaui.uol.com.br) https://piaui.uol.com.br/web/mais-de-70-das-interacoes-do-celular-de-vorcaro-com-politicos-eram-com-membros-do-governo-bolsonaro/ | Vorcaro acionou Mantega e buscou nova reunião com Lula em 2025 (gazetadopovo.com.br) https://www.gazetadopovo.com.br/republica/vorcaro-acionou-mantega-e-buscou-nova-reuniao-com-lula-em-2025/</t>
  </si>
  <si>
    <t xml:space="preserve">doria</t>
  </si>
  <si>
    <t xml:space="preserve">João Doria</t>
  </si>
  <si>
    <t xml:space="preserve">Ex-governador de São Paulo e fundador do Grupo Lide. Aparece com 2.309 interações no celular de Vorcaro (abr/2022 a nov/2025), o 5º maior volume; 99,7% ainda legíveis. Em mensagem de maio/2025, disse estar “preocupado” com Vorcaro e propôs uma conversa reservada; um print no processo indica que Vorcaro retornou a ligação.</t>
  </si>
  <si>
    <t xml:space="preserve">A assessoria dele confirma o diálogo, diz que a mensagem foi enviada em maio/2025, antes de qualquer tema público grave sobre o Master, e que foi “apenas um gesto cordial”. O texto da piauí não comenta o caso dele. Os números de contato são do levantamento piauí/InterSecLab sobre o celular de Vorcaro (base 18/11/2025): medem volume de contato individual (WhatsApp e ligações), não conteúdo; mensagens expiradas ou apagadas não são recuperáveis.</t>
  </si>
  <si>
    <t xml:space="preserve">Piauí: 71% das interações de Vorcaro com políticos eram do governo Bolsonaro (piaui.uol.com.br) https://piaui.uol.com.br/web/mais-de-70-das-interacoes-do-celular-de-vorcaro-com-politicos-eram-com-membros-do-governo-bolsonaro/ | “Foi apenas um gesto cordial”, diz Doria (poder360.com.br) https://www.poder360.com.br/poder-gente/foi-apenas-um-gesto-cordial-diz-doria-sobre-mensagem-a-vorcaro/ | Em mensagem, Doria se diz preocupado com Vorcaro (cnnbrasil.com.br) https://www.cnnbrasil.com.br/blogs/gustavo-uribe/politica/em-mensagem-doria-se-diz-preocupado-com-vorcaro-e-pede-conversa-reservada/</t>
  </si>
  <si>
    <t xml:space="preserve">bacelar</t>
  </si>
  <si>
    <t xml:space="preserve">João Carlos Bacelar</t>
  </si>
  <si>
    <t xml:space="preserve">Deputado federal (PL-BA). A PF encontrou, em endereço ligado a Vorcaro, uma pasta com o nome dele e um termo de opção de compra de um terreno de ~892 mil m² em Trancoso (BA), avaliado em ~R$ 250 mi, em nome da empresa dele (Costa Esmeralda). O documento não cita Vorcaro nem o Master; a defesa de Vorcaro pediu a remessa do caso ao STF e Toffoli aceitou em 03/12/2025. Aparece com 597 interações no celular de Vorcaro (jul/2024 a nov/2025); 98% ainda legíveis.</t>
  </si>
  <si>
    <t xml:space="preserve">Bahia (BA); mandato em Brasília</t>
  </si>
  <si>
    <t xml:space="preserve">Em 01/12/2025 a PF ainda não havia analisado se há indícios de irregularidade no documento (Estadão). O caso foi enviado ao STF por decisão de Toffoli.</t>
  </si>
  <si>
    <t xml:space="preserve">Bacelar diz que ajudou a montar um fundo para um empreendimento em Trancoso, que Vorcaro o consultou sobre o imóvel, que o negócio “não se concretizou” e que o documento deu a Vorcaro a opção de compra. Questionado sobre a ausência do nome de Vorcaro no papel, não respondeu. Os números de contato são do levantamento piauí/InterSecLab sobre o celular de Vorcaro (base 18/11/2025): medem volume de contato individual (WhatsApp e ligações), não conteúdo; mensagens expiradas ou apagadas não são recuperáveis.</t>
  </si>
  <si>
    <t xml:space="preserve">Piauí: 71% das interações de Vorcaro com políticos eram do governo Bolsonaro (piaui.uol.com.br) https://piaui.uol.com.br/web/mais-de-70-das-interacoes-do-celular-de-vorcaro-com-politicos-eram-com-membros-do-governo-bolsonaro/ | PF encontra documentos sobre negócio imobiliário entre Vorcaro e Bacelar (bahianoticias.com.br) https://www.bahianoticias.com.br/noticia/311096-pf-encontra-documentos-sobre-negocio-imobiliario-entre-vorcaro-e-deputado-jonga-bacelar-durante-investigacao-do-banco-master | Documento com Vorcaro previa compra de terreno de R$ 250 milhões por deputado (timesbrasil.com.br) https://timesbrasil.com.br/brasil/documento-com-vorcaro-previa-compra-de-casa-de-r-250-milhoes-por-deputado-e-levou-caso-ao-stf/</t>
  </si>
  <si>
    <t xml:space="preserve">feitosa</t>
  </si>
  <si>
    <t xml:space="preserve">Chiquinho Feitosa</t>
  </si>
  <si>
    <t xml:space="preserve">Ex-senador e presidente do Republicanos no Ceará; à época cunhado do ministro do STF Gilmar Mendes. Mensagens obtidas pela PF indicam que foi apresentado a Vorcaro em abr/2024 e se ofereceu como ponte com Gilmar em temas de interesse do Master, como um processo de precatórios do setor sucroalcooleiro. Aparece com 446 interações no celular de Vorcaro (abr/2024 a mai/2025); 85% ainda legíveis.</t>
  </si>
  <si>
    <t xml:space="preserve">Ceará (CE)</t>
  </si>
  <si>
    <t xml:space="preserve">Não respondeu à piauí nem aos veículos citados. Gilmar Mendes nega que o jantar citado nas mensagens tenha ocorrido, diz que elas foram trocadas por terceiros e que votou contra pagamentos desse tipo. O advogado citado nas mensagens diz que não houve irregularidade. Os números de contato são do levantamento piauí/InterSecLab sobre o celular de Vorcaro (base 18/11/2025): medem volume de contato individual (WhatsApp e ligações), não conteúdo; mensagens expiradas ou apagadas não são recuperáveis.</t>
  </si>
  <si>
    <t xml:space="preserve">Piauí: 71% das interações de Vorcaro com políticos eram do governo Bolsonaro (piaui.uol.com.br) https://piaui.uol.com.br/web/mais-de-70-das-interacoes-do-celular-de-vorcaro-com-politicos-eram-com-membros-do-governo-bolsonaro/ | Chiquinho Feitosa teria atuado como ponte entre Vorcaro e Gilmar (mais.opovo.com.br) https://mais.opovo.com.br/jornal/politica/2026/09/19/chiquinho-feitosa-teria-atuado-como-ponte-entre-vorcaro-e-ex-mulher-de-ministro-aponta-pf.html | Mensagens apontam tentativa de aproximar Vorcaro e Gilmar (timesbrasil.com.br) https://timesbrasil.com.br/brasil/mensagens-apontam-tentativa-de-aproximar-vorcaro-e-gilmar/</t>
  </si>
  <si>
    <t xml:space="preserve">Label</t>
  </si>
  <si>
    <t xml:space="preserve">Type</t>
  </si>
  <si>
    <t xml:space="preserve">Group</t>
  </si>
  <si>
    <t xml:space="preserve">Description</t>
  </si>
  <si>
    <t xml:space="preserve">Degree</t>
  </si>
  <si>
    <t xml:space="preserve">Nota da foto (opcional)</t>
  </si>
  <si>
    <t xml:space="preserve">Instituição ou caso</t>
  </si>
  <si>
    <t xml:space="preserve">Descontos sem autorização: mais de R$ 6 bi em 5 anos</t>
  </si>
  <si>
    <t xml:space="preserve">Careca do INSS</t>
  </si>
  <si>
    <t xml:space="preserve">Pessoa</t>
  </si>
  <si>
    <t xml:space="preserve">Lobista Antônio C. Camilo Antunes; preso; apontado pela PF como centro do esquema</t>
  </si>
  <si>
    <t xml:space="preserve">Contador do Careca e do escritório de Flávio; preso</t>
  </si>
  <si>
    <t xml:space="preserve">Irmã do contador; administradora registrada do escritório de Flávio</t>
  </si>
  <si>
    <t xml:space="preserve">Lulinha</t>
  </si>
  <si>
    <t xml:space="preserve">3 inquéritos no STF; nega; sem indiciamento</t>
  </si>
  <si>
    <t xml:space="preserve">Roberta (lobista)</t>
  </si>
  <si>
    <t xml:space="preserve">Amiga de Lulinha; segundo o Correio da Manhã, teria recebido R$ 1,5 mi do Careca; ela nega irregularidades</t>
  </si>
  <si>
    <t xml:space="preserve">Casa ou ativo</t>
  </si>
  <si>
    <t xml:space="preserve">Endereço de Bravo Grafeno e de 16 empresas do Careca</t>
  </si>
  <si>
    <t xml:space="preserve">Empresa</t>
  </si>
  <si>
    <t xml:space="preserve">Fábrica de capacetes de Flávio e Carlos</t>
  </si>
  <si>
    <t xml:space="preserve">Advogado em Brasília; investigado por lavagem; nega</t>
  </si>
  <si>
    <t xml:space="preserve">PF achou máquina de contar e dinheiro em livros-cofre</t>
  </si>
  <si>
    <t xml:space="preserve">~R$ 5 bi movimentados em 2025; PF vê possível lavagem</t>
  </si>
  <si>
    <t xml:space="preserve">Lídia Mazelli</t>
  </si>
  <si>
    <t xml:space="preserve">Apontada como administradora de empresas de Willer (Agência Pública); diz que respondeu "doméstica" por medo (ICL)</t>
  </si>
  <si>
    <t xml:space="preserve">Empresa da “doméstica”; dona de mansão e apartamento</t>
  </si>
  <si>
    <t xml:space="preserve">Empresa ligada a Willer; conta no Santander</t>
  </si>
  <si>
    <t xml:space="preserve">Conta da Alcazar com Flávio como “usuário master”</t>
  </si>
  <si>
    <t xml:space="preserve">Quebra de sigilo de Willer pedida e depois cancelada</t>
  </si>
  <si>
    <t xml:space="preserve">Relator da CPI; pediu a quebra de sigilo</t>
  </si>
  <si>
    <t xml:space="preserve">Senador e candidato a presidente; nega irregularidades</t>
  </si>
  <si>
    <t xml:space="preserve">Passageiros do jato em jan/2025</t>
  </si>
  <si>
    <t xml:space="preserve">Irmão; sócio na Bravo Grafeno</t>
  </si>
  <si>
    <t xml:space="preserve">Aberto em 2021</t>
  </si>
  <si>
    <t xml:space="preserve">Filme sobre Jair; ~US$ 24 mi negociados com Vorcaro</t>
  </si>
  <si>
    <t xml:space="preserve">Tesoureiro no papel; diz que só emprestou o nome</t>
  </si>
  <si>
    <t xml:space="preserve">Jair Bolsonaro</t>
  </si>
  <si>
    <t xml:space="preserve">Pai; ex-presidente; hoje preso</t>
  </si>
  <si>
    <t xml:space="preserve">Advogado da família Bolsonaro</t>
  </si>
  <si>
    <t xml:space="preserve">Fabrício Queiroz</t>
  </si>
  <si>
    <t xml:space="preserve">Operador da rachadinha; 19 meses sem depor</t>
  </si>
  <si>
    <t xml:space="preserve">Na reunião de 2020 no Planalto sobre como derrubar a investigação</t>
  </si>
  <si>
    <t xml:space="preserve">Dono do Banco Master; preso</t>
  </si>
  <si>
    <t xml:space="preserve">Pagou R$ 6,6 mi à consultoria do amigo de Nunes</t>
  </si>
  <si>
    <t xml:space="preserve">Fabiano Zettel</t>
  </si>
  <si>
    <t xml:space="preserve">Cunhado de Vorcaro; preso</t>
  </si>
  <si>
    <t xml:space="preserve">Mandou o placar do voto ao Vorcaro: “Dominado aqui”</t>
  </si>
  <si>
    <t xml:space="preserve">Bens de luxo; Vorcaro sócio; pagou passagens das mulheres</t>
  </si>
  <si>
    <t xml:space="preserve">Agência que recrutava as mulheres das festas</t>
  </si>
  <si>
    <t xml:space="preserve">Levava as mulheres às festas; valor mensal citado na transcrição é impreciso (~R$ 60 mil)</t>
  </si>
  <si>
    <t xml:space="preserve">Mandava mensagens a Vorcaro sobre as festas</t>
  </si>
  <si>
    <t xml:space="preserve">Agenciadas para as festas</t>
  </si>
  <si>
    <t xml:space="preserve">Era do Richarlison; hoje da WT; festa da filha de Flávio</t>
  </si>
  <si>
    <t xml:space="preserve">Zetel vendeu à WT com R$ 2 mi de prejuízo; Flávio usou na campanha</t>
  </si>
  <si>
    <t xml:space="preserve">Palco das festas (segundo a piauí)</t>
  </si>
  <si>
    <t xml:space="preserve">Três donos: Alcazar, Prime U e um terceiro não nomeado no vídeo; Flávio voou em jan/2025</t>
  </si>
  <si>
    <t xml:space="preserve">Onde Queiroz foi achado escondido (jun/2020)</t>
  </si>
  <si>
    <t xml:space="preserve">Jogador; investiu ~R$ 10 mi na casa e perdeu</t>
  </si>
  <si>
    <t xml:space="preserve">Ex-possuidor da mansão; testemunha segundo as fontes</t>
  </si>
  <si>
    <t xml:space="preserve">Ministro do STF; preside o TSE; nega irregularidades</t>
  </si>
  <si>
    <t xml:space="preserve">Filho de Nunes; ~R$ 300 mil via consultoria</t>
  </si>
  <si>
    <t xml:space="preserve">Recebeu R$ 6,6 mi do Master</t>
  </si>
  <si>
    <t xml:space="preserve">Relatórios anulados pelo STF (nov/2021)</t>
  </si>
  <si>
    <t xml:space="preserve">Ex-chefe da Abin; condenado a 16 anos; foragido na Flórida</t>
  </si>
  <si>
    <t xml:space="preserve">General Heleno</t>
  </si>
  <si>
    <t xml:space="preserve">Na reunião de 2020 sobre a rachadinha</t>
  </si>
  <si>
    <t xml:space="preserve">Sérgio Moro</t>
  </si>
  <si>
    <t xml:space="preserve">Deixou o Ministério da Justiça (abr/2020)</t>
  </si>
  <si>
    <t xml:space="preserve">Relatórios para “defender FB”</t>
  </si>
  <si>
    <t xml:space="preserve">Chefe foi pessoalmente à casa de Flávio</t>
  </si>
  <si>
    <t xml:space="preserve">Investiga Willer e o Careca; diretor é indicado pelo presidente</t>
  </si>
  <si>
    <t xml:space="preserve">Decide se denuncia Vorcaro; chefe indicado pelo presidente</t>
  </si>
  <si>
    <t xml:space="preserve">Teria influenciado a escolha de Nunes Marques com Flávio (Folha, set/2020). A transcrição grafa “Círio Nogueira”; identificação inferida</t>
  </si>
  <si>
    <t xml:space="preserve">Nunes é ministro; anulou provas da rachadinha; abriu 3 inquéritos de Lulinha; investiga Flávio no caso do filme</t>
  </si>
  <si>
    <t xml:space="preserve">Presidido por Nunes; suspendeu propaganda sobre o dinheiro do Master</t>
  </si>
  <si>
    <t xml:space="preserve">Ministro do STF indicado por Jair; relator do caso Master desde fev/2026</t>
  </si>
  <si>
    <t xml:space="preserve">Fundado por Mendonça; contratos públicos sem licitação; aporte de empresa de sócio de Vorcaro</t>
  </si>
  <si>
    <t xml:space="preserve">Advogado de Vorcaro; mensagens o mostram aproximando o banqueiro de Mendonça</t>
  </si>
  <si>
    <t xml:space="preserve">Deputado federal; ajudou a articular a reunião Mendonça–Vorcaro de mar/2025; alvo de operação autorizada por Dino</t>
  </si>
  <si>
    <t xml:space="preserve">Ex-AGU do governo Jair; convidado para a reunião com Vorcaro</t>
  </si>
  <si>
    <t xml:space="preserve">Governador de SP; recebeu R$ 2 mi de Zettel em 2022; governo dele contratou o ITER</t>
  </si>
  <si>
    <t xml:space="preserve">Prefeito de SP; prefeitura contratou o ITER</t>
  </si>
  <si>
    <t xml:space="preserve">Governo dele no RJ contratou o ITER</t>
  </si>
  <si>
    <t xml:space="preserve">Ministro do STF</t>
  </si>
  <si>
    <t xml:space="preserve">Ex-ministro das Comunicações de Jair; PF o aponta como articulador de Vorcaro em Brasília</t>
  </si>
  <si>
    <t xml:space="preserve">Presidente da Câmara; em grupo de mensagens com Vorcaro</t>
  </si>
  <si>
    <t xml:space="preserve">Ex-secretário de Cultura de Jair; produtor-executivo de Dark Horse</t>
  </si>
  <si>
    <t xml:space="preserve">Ex-coach; voo de R$ 1,17 mi pago pela Prime You, de que Vorcaro era sócio; confirmou o uso</t>
  </si>
  <si>
    <t xml:space="preserve">Mensagens: Vorcaro via Haddad como opositor e tentou “bloquear” Gleisi e Mercadante</t>
  </si>
  <si>
    <t xml:space="preserve">Banco público do DF, citado no caso Master; financiou a mansão de Flávio</t>
  </si>
  <si>
    <t xml:space="preserve">R$ 6 mi, 2.400 m², Setor de Mansões Dom Bosco; R$ 3,1 mi financiados pelo BRB</t>
  </si>
  <si>
    <t xml:space="preserve">Franquia no Via Parque (RJ), já vendida; MP suspeitou de lavagem da rachadinha</t>
  </si>
  <si>
    <t xml:space="preserve">Ex-capitão do Bope, apontado como chefe do Escritório do Crime; morto em fev/2020</t>
  </si>
  <si>
    <t xml:space="preserve">Apontado como liderança de milícia no Rio; homenageado por Flávio em 2004</t>
  </si>
  <si>
    <t xml:space="preserve">Condecorados por Flávio e Carlos; denunciados como integrantes de organizações criminosas</t>
  </si>
  <si>
    <t xml:space="preserve">PM da reserva condenado no caso Marielle (organização criminosa); PF diz que intermediou emenda de Flávio</t>
  </si>
  <si>
    <t xml:space="preserve">Instituto Ifop (Taquara, RJ); PF suspeita de ligação com os Brazão; a ONG nega</t>
  </si>
  <si>
    <t xml:space="preserve">Vice na chapa de Flávio</t>
  </si>
  <si>
    <t xml:space="preserve">Bispo da Comunidade das Nações; defendeu em livro retirar o título de padroeira de N. Sra. Aparecida</t>
  </si>
  <si>
    <t xml:space="preserve">Preso em flagrante no RJ; Flávio atuou como advogado dele no STJ</t>
  </si>
  <si>
    <t xml:space="preserve">Offshore na Ilha da Madeira criada por Willer em jan/2023; única acionista da Rede Loto</t>
  </si>
  <si>
    <t xml:space="preserve">Bet licenciada pela Loterj em mai/2023; a defesa diz que nunca chegou a operar</t>
  </si>
  <si>
    <t xml:space="preserve">Processava pagamentos das bets da Loterj; o estado rescindiu em set/2026 e cobra R$ 9,4 mi (liminar suspendeu)</t>
  </si>
  <si>
    <t xml:space="preserve">Loteria do Estado do RJ; licenciou a Best Bet e contratou a Rio Pag em 2023</t>
  </si>
  <si>
    <t xml:space="preserve">Ex-presidente da Loterj; assinou a licença da Best Bet</t>
  </si>
  <si>
    <t xml:space="preserve">Hangares 36 e 37; PF achou sala oculta e máquina de contar, sem dinheiro; Willer diz que atende transporte de valores</t>
  </si>
  <si>
    <t xml:space="preserve">Senador (PDT-MA), vice-líder do governo Lula; investigado na Operação Sem Desconto; nega</t>
  </si>
  <si>
    <t xml:space="preserve">Presidente do União Brasil; admitiu ter advogado para o Master; 4º maior volume de interações no celular de Vorcaro</t>
  </si>
  <si>
    <t xml:space="preserve">Ex-secretário de Comunicação de Bolsonaro; integra a defesa de Vorcaro na comunicação; 6º maior volume no celular dele</t>
  </si>
  <si>
    <t xml:space="preserve">Ex-ministro da Fazenda (PT); diz ter feito consultoria para o Master em 2024–25; aparece em mensagens sobre aproximação com Lula</t>
  </si>
  <si>
    <t xml:space="preserve">Ex-governador de SP; 5º maior volume no celular de Vorcaro; mensagem de maio/2025 sobre “preocupação” com o banco</t>
  </si>
  <si>
    <t xml:space="preserve">Deputado federal (PL-BA); PF achou documento com seu nome sobre opção de compra de terreno em Trancoso (BA)</t>
  </si>
  <si>
    <t xml:space="preserve">Ex-senador (Republicanos-CE); mensagens da PF indicam que se ofereceu como ponte entre Vorcaro e o ministro Gilmar Mendes</t>
  </si>
  <si>
    <t xml:space="preserve">Source</t>
  </si>
  <si>
    <t xml:space="preserve">Target</t>
  </si>
  <si>
    <t xml:space="preserve">Status</t>
  </si>
  <si>
    <t xml:space="preserve">Source name</t>
  </si>
  <si>
    <t xml:space="preserve">Target name</t>
  </si>
  <si>
    <t xml:space="preserve">Dinheiro dos descontos passa pelo esquema que a PF atribui a ele</t>
  </si>
  <si>
    <t xml:space="preserve">Reportado</t>
  </si>
  <si>
    <t xml:space="preserve">Contador dele</t>
  </si>
  <si>
    <t xml:space="preserve">Irmãos</t>
  </si>
  <si>
    <t xml:space="preserve">Administra desde 2021</t>
  </si>
  <si>
    <t xml:space="preserve">Faz a contabilidade</t>
  </si>
  <si>
    <t xml:space="preserve">Ela diz que veio por indicação dele; Willer diz à Pública que não a conhece</t>
  </si>
  <si>
    <t xml:space="preserve">Alegado ou contestado</t>
  </si>
  <si>
    <t xml:space="preserve">É o advogado de defesa</t>
  </si>
  <si>
    <t xml:space="preserve">Investigado no mesmo esquema do INSS</t>
  </si>
  <si>
    <t xml:space="preserve">Investiga</t>
  </si>
  <si>
    <t xml:space="preserve">Inquéritos por tráfico de influência a favor do Careca</t>
  </si>
  <si>
    <t xml:space="preserve">Amiga; PF diz que ela podia agir em nome dele</t>
  </si>
  <si>
    <t xml:space="preserve">Recebeu ~R$ 1 mi de empresa de fachada</t>
  </si>
  <si>
    <t xml:space="preserve">16 empresas dele no endereço</t>
  </si>
  <si>
    <t xml:space="preserve">Registrada no mesmo endereço</t>
  </si>
  <si>
    <t xml:space="preserve">Fábrica dele e do irmão</t>
  </si>
  <si>
    <t xml:space="preserve">Sócios</t>
  </si>
  <si>
    <t xml:space="preserve">PF fez buscas e achou dinheiro em livros-cofre</t>
  </si>
  <si>
    <t xml:space="preserve">Movimentou ~R$ 5 bi em apostas</t>
  </si>
  <si>
    <t xml:space="preserve">Ela comanda 14 empresas ligadas a ele</t>
  </si>
  <si>
    <t xml:space="preserve">Aparece à frente da WT</t>
  </si>
  <si>
    <t xml:space="preserve">Empresa ligada a ele</t>
  </si>
  <si>
    <t xml:space="preserve">Conta bancária</t>
  </si>
  <si>
    <t xml:space="preserve">PF/piauí: Flávio era “usuário master” da conta da Alcazar; e-mail de 22/05/2025 pediu a exclusão dele. Ele nega ter tido acesso</t>
  </si>
  <si>
    <t xml:space="preserve">PF levanta hipótese de sócio de fato; ele nega</t>
  </si>
  <si>
    <t xml:space="preserve">Amigo; viagens juntos; PF vê algo além da amizade</t>
  </si>
  <si>
    <t xml:space="preserve">Citado na Covaxin; quebra de sigilo cancelada</t>
  </si>
  <si>
    <t xml:space="preserve">Relator</t>
  </si>
  <si>
    <t xml:space="preserve">Reagiu contra a quebra do sigilo</t>
  </si>
  <si>
    <t xml:space="preserve">Trio “WWF” com Flávio</t>
  </si>
  <si>
    <t xml:space="preserve">Advogado da família; trio “WWF”</t>
  </si>
  <si>
    <t xml:space="preserve">Teria respaldado a indicação ao STF (2020)</t>
  </si>
  <si>
    <t xml:space="preserve">Teria sugerido o nome ao presidente (Folha, 2020); Nunes nega participação do trio</t>
  </si>
  <si>
    <t xml:space="preserve">Indicou ao STF em 2020</t>
  </si>
  <si>
    <t xml:space="preserve">Mansão ficou com a empresa dele (WT)</t>
  </si>
  <si>
    <t xml:space="preserve">Cotista</t>
  </si>
  <si>
    <t xml:space="preserve">Voou em jan/2025</t>
  </si>
  <si>
    <t xml:space="preserve">Sócio da Prime U, cotista do jato (ligação indireta)</t>
  </si>
  <si>
    <t xml:space="preserve">Voou junto</t>
  </si>
  <si>
    <t xml:space="preserve">Família</t>
  </si>
  <si>
    <t xml:space="preserve">Sócio</t>
  </si>
  <si>
    <t xml:space="preserve">Passagens e hotéis delas faturados à Prime U</t>
  </si>
  <si>
    <t xml:space="preserve">Administrava a mansão</t>
  </si>
  <si>
    <t xml:space="preserve">Negociou comprar metade</t>
  </si>
  <si>
    <t xml:space="preserve">Festas no triplex</t>
  </si>
  <si>
    <t xml:space="preserve">Dono</t>
  </si>
  <si>
    <t xml:space="preserve">Cunhado</t>
  </si>
  <si>
    <t xml:space="preserve">Vendeu à WT por R$ 2 mi a menos</t>
  </si>
  <si>
    <t xml:space="preserve">Compradora</t>
  </si>
  <si>
    <t xml:space="preserve">Dona</t>
  </si>
  <si>
    <t xml:space="preserve">Investiu ~R$ 10 mi e perdeu a casa na Justiça</t>
  </si>
  <si>
    <t xml:space="preserve">Antigo dono; ouviu Flávio chamar Willer de sócio</t>
  </si>
  <si>
    <t xml:space="preserve">Aniversário da filha na mansão</t>
  </si>
  <si>
    <t xml:space="preserve">Usou na campanha</t>
  </si>
  <si>
    <t xml:space="preserve">Mensagem na véspera da prisão: “Irmão, estou e estarei contigo sempre”</t>
  </si>
  <si>
    <t xml:space="preserve">~US$ 24 mi negociados para o filme; Flávio cobrava parcelas por áudio e é investigado</t>
  </si>
  <si>
    <t xml:space="preserve">Dinheiro do filme sobre o pai</t>
  </si>
  <si>
    <t xml:space="preserve">Negociação de ~US$ 24 mi</t>
  </si>
  <si>
    <t xml:space="preserve">Tesoureiro de fachada</t>
  </si>
  <si>
    <t xml:space="preserve">Mulheres nas festas</t>
  </si>
  <si>
    <t xml:space="preserve">Recrutava</t>
  </si>
  <si>
    <t xml:space="preserve">Levava as mulheres</t>
  </si>
  <si>
    <t xml:space="preserve">Pago pelo banqueiro (valor mensal impreciso na transcrição)</t>
  </si>
  <si>
    <t xml:space="preserve">Trabalhava no triplex</t>
  </si>
  <si>
    <t xml:space="preserve">Mandou mensagens sobre a festa de fev/2025</t>
  </si>
  <si>
    <t xml:space="preserve">Diretor do banco</t>
  </si>
  <si>
    <t xml:space="preserve">“Dominado aqui” no dia do voto de desempate</t>
  </si>
  <si>
    <t xml:space="preserve">Perguntou ao Vorcaro se mantinha o pagamento mensal e mandou o contato do Kevin (valor ilegível na transcrição)</t>
  </si>
  <si>
    <t xml:space="preserve">Pagou R$ 6,6 mi</t>
  </si>
  <si>
    <t xml:space="preserve">Repassou ~R$ 300 mil</t>
  </si>
  <si>
    <t xml:space="preserve">Dono é amigo do ministro</t>
  </si>
  <si>
    <t xml:space="preserve">Filho</t>
  </si>
  <si>
    <t xml:space="preserve">Votou a favor de Flávio; provas anuladas</t>
  </si>
  <si>
    <t xml:space="preserve">Investigação da rachadinha</t>
  </si>
  <si>
    <t xml:space="preserve">Operador do esquema</t>
  </si>
  <si>
    <t xml:space="preserve">Achado escondido lá</t>
  </si>
  <si>
    <t xml:space="preserve">Casa dele</t>
  </si>
  <si>
    <t xml:space="preserve">Pai; Flávio promete anistia ou indulto</t>
  </si>
  <si>
    <t xml:space="preserve">Advogado da família</t>
  </si>
  <si>
    <t xml:space="preserve">Abin trabalhou para defender o filho</t>
  </si>
  <si>
    <t xml:space="preserve">Chefiada por ele</t>
  </si>
  <si>
    <t xml:space="preserve">Reunião no Planalto (2020)</t>
  </si>
  <si>
    <t xml:space="preserve">Diz que volta ao Brasil se Flávio ganhar</t>
  </si>
  <si>
    <t xml:space="preserve">Chefe foi à casa dele</t>
  </si>
  <si>
    <t xml:space="preserve">Reunião sobre a Receita</t>
  </si>
  <si>
    <t xml:space="preserve">Tentou trocar o comando no Rio</t>
  </si>
  <si>
    <t xml:space="preserve">Saiu denunciando interferência na PF</t>
  </si>
  <si>
    <t xml:space="preserve">Se eleito, indicaria o diretor (não foi eleito: perdeu o 2º turno em 25/10/2026)</t>
  </si>
  <si>
    <t xml:space="preserve">Se eleito, indicaria o procurador-geral (não foi eleito: perdeu o 2º turno em 25/10/2026)</t>
  </si>
  <si>
    <t xml:space="preserve">Decide se denuncia</t>
  </si>
  <si>
    <t xml:space="preserve">Parecem sócios via jato, mansão e apartamento; Willer diz que nunca o conheceu</t>
  </si>
  <si>
    <t xml:space="preserve">Empresa dele</t>
  </si>
  <si>
    <t xml:space="preserve">Escritório de advocacia dele</t>
  </si>
  <si>
    <t xml:space="preserve">Pediu a quebra de sigilo</t>
  </si>
  <si>
    <t xml:space="preserve">Ex-assessor; operador da rachadinha no gabinete dele</t>
  </si>
  <si>
    <t xml:space="preserve">Testemunha: Flávio apresentou Willer como sócio (2020)</t>
  </si>
  <si>
    <t xml:space="preserve">Diz que Flávio e Willer pegaram posse da casa em 24h sem pagar</t>
  </si>
  <si>
    <t xml:space="preserve">Voto de desempate em julgamento de interesse do Master</t>
  </si>
  <si>
    <t xml:space="preserve">Reunião no Planalto (2020) sobre derrubar a investigação</t>
  </si>
  <si>
    <t xml:space="preserve">Advogadas dele</t>
  </si>
  <si>
    <t xml:space="preserve">Teria influenciado a escolha para o STF</t>
  </si>
  <si>
    <t xml:space="preserve">Teria influenciado a escolha de Nunes junto com ele</t>
  </si>
  <si>
    <t xml:space="preserve">Ministro</t>
  </si>
  <si>
    <t xml:space="preserve">3 inquéritos abertos no governo do pai</t>
  </si>
  <si>
    <t xml:space="preserve">Investigado no Supremo pelo dinheiro do filme</t>
  </si>
  <si>
    <t xml:space="preserve">Anulou os relatórios (nov/2021)</t>
  </si>
  <si>
    <t xml:space="preserve">Preside</t>
  </si>
  <si>
    <t xml:space="preserve">Visitas: um dia após a soltura e na véspera do anúncio da candidatura</t>
  </si>
  <si>
    <t xml:space="preserve">Feriado de 1º de maio de 2025 na Flórida, dias após repasse ao filme (Piauí)</t>
  </si>
  <si>
    <t xml:space="preserve">Ao menos 11 meses de contato no celular do banqueiro (Piauí); o Estadão fala em 3 meses e 6 encontros</t>
  </si>
  <si>
    <t xml:space="preserve">Empréstimo de R$ 3,1 mi a 3,71% a.a., abaixo da média do banco; PF investiga. Ele diz que a Justiça já atestou a regularidade e que o empréstimo está quitado</t>
  </si>
  <si>
    <t xml:space="preserve">Financiou a compra</t>
  </si>
  <si>
    <t xml:space="preserve">Comprou em 2021 por R$ 6 mi</t>
  </si>
  <si>
    <t xml:space="preserve">Doou R$ 3 mi à campanha de 2022, 2º maior doador depois do PL (CNN/TSE)</t>
  </si>
  <si>
    <t xml:space="preserve">Doou R$ 2 mi à campanha de 2022, a maior doação de pessoa física (CNN/TSE)</t>
  </si>
  <si>
    <t xml:space="preserve">Contrato da “Turma do KN” de até R$ 427 mi, condicionado a êxito (CNN); ele nega agir pelo banco</t>
  </si>
  <si>
    <t xml:space="preserve">Diálogos citam suposta mesada de R$ 500 mil (CNN); Nunes nega que o filho tenha servido ao Master</t>
  </si>
  <si>
    <t xml:space="preserve">Indicou ao STF</t>
  </si>
  <si>
    <t xml:space="preserve">Advogado dele</t>
  </si>
  <si>
    <t xml:space="preserve">Levou o ministro a alfaiataria e articulou reunião com Vorcaro (mensagens)</t>
  </si>
  <si>
    <t xml:space="preserve">Reunião reservada de 2 h em 14/03/2025, fora da agenda, no ITER (mensagens); não há prova de que tenha agido pelo Master</t>
  </si>
  <si>
    <t xml:space="preserve">Gabinete ouviu Vorcaro em 27/08/2026 sem a PF; recomendou sigilo do celular dele</t>
  </si>
  <si>
    <t xml:space="preserve">Convidado para a reunião com Vorcaro (fev/2025)</t>
  </si>
  <si>
    <t xml:space="preserve">Ajudou a articular a reunião com Vorcaro de mar/2025 (mensagens)</t>
  </si>
  <si>
    <t xml:space="preserve">Financiou 24% da campanha do deputado</t>
  </si>
  <si>
    <t xml:space="preserve">Fundador</t>
  </si>
  <si>
    <t xml:space="preserve">Empresa de sócio dele aportou R$ 5,2 mi (jan/2026); Vorcaro foi a coquetéis do instituto</t>
  </si>
  <si>
    <t xml:space="preserve">Relator do caso Master no STF (sorteado em fev/2026); desde 12/09/2026 os autos estão com a Presidência do STF</t>
  </si>
  <si>
    <t xml:space="preserve">Afastou o diretor-geral sem ouvir a PGR (08/09/2026), alegando monitoramento ilegal; AGU vê usurpação de competência</t>
  </si>
  <si>
    <t xml:space="preserve">Revogou a prisão do filho dele (09/09/2026)</t>
  </si>
  <si>
    <t xml:space="preserve">Relatório aponta diferença de até 8x nos prazos de decisão e demora para rastrear o dinheiro</t>
  </si>
  <si>
    <t xml:space="preserve">PF: pressionou por Moraes; PGR diz que o investigou antes do aval do plenário</t>
  </si>
  <si>
    <t xml:space="preserve">PF: teria poupado Nunes e Toffoli</t>
  </si>
  <si>
    <t xml:space="preserve">Governo de SP contratou o instituto (R$ 1,6 mi, sem licitação)</t>
  </si>
  <si>
    <t xml:space="preserve">Prefeitura de SP contratou o instituto (R$ 380 mil)</t>
  </si>
  <si>
    <t xml:space="preserve">Promoveu o irmão do ministro após voto favorável à Prefeitura</t>
  </si>
  <si>
    <t xml:space="preserve">Governo do RJ contratou o instituto (R$ 518 mil)</t>
  </si>
  <si>
    <t xml:space="preserve">Votou a favor dele 4 vezes enquanto o instituto tinha contratos no Rio</t>
  </si>
  <si>
    <t xml:space="preserve">PF: mesadas de ao menos R$ 6 mi (jun/2024 a ago/2025), estimadas por mensagens entre Vorcaro e o primo (R$ 300 mil por mês; relatos falam em R$ 500 mil), e viagens pagas (R$ 468,7 mil em viagens e jantares, R$ 122 mil só em restaurantes em Courchevel; CNN); ele nega ilicitude</t>
  </si>
  <si>
    <t xml:space="preserve">Autor da “Emenda Master” (garantia do FGC de R$ 250 mil para R$ 1 mi)</t>
  </si>
  <si>
    <t xml:space="preserve">Alvo da 5ª fase da Operação Compliance Zero</t>
  </si>
  <si>
    <t xml:space="preserve">Ex-ministro das Comunicações</t>
  </si>
  <si>
    <t xml:space="preserve">PF: articulador dele em Brasília. Vorcaro pagou R$ 67,5 mi por projeto eólico de Faria (piauí); ele defende o valor</t>
  </si>
  <si>
    <t xml:space="preserve">PF: intermediou contatos entre Vorcaro e Moraes</t>
  </si>
  <si>
    <t xml:space="preserve">Grupo de mensagens com Vorcaro, Ciro e Faria para organizar encontros</t>
  </si>
  <si>
    <t xml:space="preserve">Ex-secretário especial de Cultura</t>
  </si>
  <si>
    <t xml:space="preserve">Produtor-executivo de Dark Horse</t>
  </si>
  <si>
    <t xml:space="preserve">Áudio agradece o financiamento do filme: “meu irmão”</t>
  </si>
  <si>
    <t xml:space="preserve">Pagou voo SP–EUA de R$ 1,17 mi (2025); Marçal confirmou o uso (Valor)</t>
  </si>
  <si>
    <t xml:space="preserve">Mensagens: via Haddad como opositor e pediu ajuda para “bloquear” Gleisi e Mercadante</t>
  </si>
  <si>
    <t xml:space="preserve">Vice na chapa (derrotada no 2º turno, 25/10/2026)</t>
  </si>
  <si>
    <t xml:space="preserve">Flávio foi batizado na Comunidade das Nações, igreja dele, em jan/2024 (Folha)</t>
  </si>
  <si>
    <t xml:space="preserve">Franquia dele; MP suspeitou de lavagem (1.512 depósitos em espécie)</t>
  </si>
  <si>
    <t xml:space="preserve">Ex-sócio cita lobby dele com Nunes em favor de cliente; sem comprovação independente (PlatôBR)</t>
  </si>
  <si>
    <t xml:space="preserve">Mãe e mulher empregadas no gabinete; homenageado por Flávio em 2003 e 2005</t>
  </si>
  <si>
    <t xml:space="preserve">MP-RJ: mãe e mulher eram “assessoras fantasmas” e devolviam salário (310 desvios)</t>
  </si>
  <si>
    <t xml:space="preserve">Dinheiro da rachadinha teria financiado prédios da milícia (Intercept)</t>
  </si>
  <si>
    <t xml:space="preserve">Homenageou em 2004</t>
  </si>
  <si>
    <t xml:space="preserve">Condecorou</t>
  </si>
  <si>
    <t xml:space="preserve">Emenda de R$ 199 mil (nov/2023); PF apura. Ele diz que não cabe ao parlamentar auditar o uso</t>
  </si>
  <si>
    <t xml:space="preserve">PF: intermediou a emenda com o gabinete dele (O Globo, Estadão)</t>
  </si>
  <si>
    <t xml:space="preserve">Ligado ao esquema dos irmãos Brazão</t>
  </si>
  <si>
    <t xml:space="preserve">Advogado dele no STJ (2024); recurso reverteu a ida a júri popular (coluna no iG)</t>
  </si>
  <si>
    <t xml:space="preserve">Obteve a posse na Justiça na disputa com Richarlison</t>
  </si>
  <si>
    <t xml:space="preserve">Governo dele liberou em um dia a transferência do imóvel (ICL)</t>
  </si>
  <si>
    <t xml:space="preserve">Criou em jan/2023; sócio com Jorge Barbosa Dias</t>
  </si>
  <si>
    <t xml:space="preserve">Única acionista da Rede Loto (nome fantasia Best Bet)</t>
  </si>
  <si>
    <t xml:space="preserve">Mesmo dono, administrador e endereço no Funchal; auditor ouvido pela piauí vê possível financiamento</t>
  </si>
  <si>
    <t xml:space="preserve">piauí/PF: possível sócio oculto, via acesso à conta da Alcazar; ele e Willer negam</t>
  </si>
  <si>
    <t xml:space="preserve">Licença de mai/2023</t>
  </si>
  <si>
    <t xml:space="preserve">Assinou a licença como presidente da Loterj</t>
  </si>
  <si>
    <t xml:space="preserve">Teria indicado à presidência da Loterj (Folha)</t>
  </si>
  <si>
    <t xml:space="preserve">Loteria do governo dele; contratos de 2023</t>
  </si>
  <si>
    <t xml:space="preserve">PF: canhotos de voos Lisboa–Nice e Cascais–Nice–Paris (2025) em nome da empresa; a defesa diz que Willer pagou e que eram passeios entre famílias</t>
  </si>
  <si>
    <t xml:space="preserve">E-mail achado pela PF: se apresentou como sócio; antes negava, depois admitiu participação indireta (O Globo)</t>
  </si>
  <si>
    <t xml:space="preserve">Contratou em 2023; o estado rescindiu em set/2026 e cobra R$ 9,4 mi (liminar suspendeu); a empresa contesta</t>
  </si>
  <si>
    <t xml:space="preserve">Ocupados por duas empresas de aviação dele</t>
  </si>
  <si>
    <t xml:space="preserve">Busca em ago/2026: sala oculta, máquina de contar e malas vazias, sem dinheiro (Estadão); Willer nega uso irregular</t>
  </si>
  <si>
    <t xml:space="preserve">Operação Sem Desconto (04/08/2026), autorizada por Mendonça</t>
  </si>
  <si>
    <t xml:space="preserve">PF: a estrutura dele era “hub financeiro” do senador; a mulher do senador recebeu R$ 11 mi de empresas dele. Ambos negam</t>
  </si>
  <si>
    <t xml:space="preserve">PF: mora em casa de R$ 6 mi registrada na WT; Willer diz que é negócio regular da imobiliária</t>
  </si>
  <si>
    <t xml:space="preserve">Contato no celular de Vorcaro: 2.712 interações (nov/2023 a set/2025); 36% ainda legíveis. Mede volume, não conteúdo (piauí/InterSecLab)</t>
  </si>
  <si>
    <t xml:space="preserve">Admitiu à piauí ter advogado para o Master (“dezenas de pareceres e centenas de reuniões”); diz que só teve “contatos sociais eventuais” com Vorcaro</t>
  </si>
  <si>
    <t xml:space="preserve">Proposta de delação de Vorcaro, rejeitada pela PF e pela PGR (UOL, set/2026), diz que ele e ACM Neto receberiam 10% dos aportes de previdências; os dois negam</t>
  </si>
  <si>
    <t xml:space="preserve">Contato no celular de Vorcaro: 1.151 interações (mar a nov/2025); 7% ainda legíveis. Mede volume, não conteúdo (piauí/InterSecLab)</t>
  </si>
  <si>
    <t xml:space="preserve">Integra a defesa de Vorcaro na comunicação (desde o 1º semestre de 2025); o Master pagou ao menos R$ 3,8 mi à empresa dele em 2025 (Folha, documentos da Receita à CPI)</t>
  </si>
  <si>
    <t xml:space="preserve">Contato no celular de Vorcaro: 323 interações (jun/2024 a nov/2025); 6% ainda legíveis. Mede volume, não conteúdo (piauí/InterSecLab)</t>
  </si>
  <si>
    <t xml:space="preserve">Diz à piauí ter sido contratado pelo Master em 2024–2025 para consultoria econômica</t>
  </si>
  <si>
    <t xml:space="preserve">Mensagens (Estadão) mostram Vorcaro e um advogado tentando levá-lo a Lula em 2025; o Planalto diz que Lula recebeu Vorcaro só uma vez (04/12/2024), com Mantega</t>
  </si>
  <si>
    <t xml:space="preserve">Contato no celular de Vorcaro: 2.309 interações (abr/2022 a nov/2025); 99,7% ainda legíveis. Mede volume, não conteúdo (piauí/InterSecLab)</t>
  </si>
  <si>
    <t xml:space="preserve">Mensagem de maio/2025 (confirmada por sua assessoria): disse estar “preocupado” e propôs conversa reservada; ele diz que foi “gesto cordial”</t>
  </si>
  <si>
    <t xml:space="preserve">Contato no celular de Vorcaro: 597 interações (jul/2024 a nov/2025); 98% ainda legíveis. Mede volume, não conteúdo (piauí/InterSecLab)</t>
  </si>
  <si>
    <t xml:space="preserve">PF achou, em endereço ligado a Vorcaro, documento com o nome dele: opção de compra de terreno em Trancoso (BA), ~R$ 250 mi. O papel não cita Vorcaro; Bacelar diz que o negócio não se concretizou</t>
  </si>
  <si>
    <t xml:space="preserve">Contato no celular de Vorcaro: 446 interações (abr/2024 a mai/2025); 85% ainda legíveis. Mede volume, não conteúdo (piauí/InterSecLab)</t>
  </si>
  <si>
    <t xml:space="preserve">Mensagens obtidas pela PF indicam que se ofereceu como ponte entre Vorcaro e Gilmar Mendes, de quem era cunhado; Gilmar nega que o jantar citado tenha ocorrido</t>
  </si>
  <si>
    <t xml:space="preserve">Contato no celular de Vorcaro: 19.293 interações (out/2023 a nov/2025); 59% ainda legíveis. Mede volume, não conteúdo (piauí/InterSecLab)</t>
  </si>
  <si>
    <t xml:space="preserve">Contato no celular de Vorcaro: 4.782 interações (jan/2024 a nov/2025); 13% ainda legíveis. Mede volume, não conteúdo (piauí/InterSecLab)</t>
  </si>
  <si>
    <t xml:space="preserve">Contato no celular de Vorcaro: 3.967 interações (out/2023 a nov/2025); 3% ainda legíveis. Mede volume, não conteúdo (piauí/InterSecLab)</t>
  </si>
  <si>
    <t xml:space="preserve">Contato no celular de Vorcaro: 1.068 interações (mar/2024 a out/2025); 99% ainda legíveis. Mede volume, não conteúdo (piauí/InterSecLab)</t>
  </si>
  <si>
    <t xml:space="preserve">Contato no celular de Vorcaro: 463 interações (mai/2023 a nov/2025); 100% ainda legíveis. Mede volume, não conteúdo (piauí/InterSecLab)</t>
  </si>
  <si>
    <t xml:space="preserve">Contato no celular de Vorcaro: 438 interações (ago/2024 a set/2025); 1% ainda legíveis. Mede volume, não conteúdo (piauí/InterSecLab)</t>
  </si>
  <si>
    <t xml:space="preserve">Contato no celular de Vorcaro: 246 interações (dez/2024 a nov/2025); 53% ainda legíveis. Mede volume, não conteúdo (piauí/InterSecLab)</t>
  </si>
  <si>
    <t xml:space="preserve">Contato no celular de Vorcaro: 181 interações (dez/2024 a nov/2025); 60% ainda legíveis. Mede volume, não conteúdo (piauí/InterSecLab)</t>
  </si>
  <si>
    <t xml:space="preserve">Contato no celular de Vorcaro: 34 interações (mar a mai/2025); 100% ainda legíveis. Mede volume, não conteúdo (piauí/InterSecLab)</t>
  </si>
  <si>
    <t xml:space="preserve">Notes</t>
  </si>
  <si>
    <t xml:space="preserve">Source: transcrição do vídeo do canal Revelando (fornecida pela usuária) e reportagens citadas na conversa.</t>
  </si>
  <si>
    <t xml:space="preserve">Status “Documentado”: o vídeo apresenta como fato ou relatório da PF/imprensa. “Alegado ou contestado”: hipótese, suspeita ou algo que o citado nega.</t>
  </si>
  <si>
    <t xml:space="preserve">Todas as pessoas e empresas citadas negam ou contestam irregularidades; nada aqui é condenação.</t>
  </si>
  <si>
    <t xml:space="preserve">Alguns nomes vêm de transcrição automática e podem estar grafados de forma imprecisa (ex.: Willer Tomás/Tomaz, Roberta).</t>
  </si>
  <si>
    <t xml:space="preserve">“Ciro Nogueira” aparece como “Círio Nogueira” na transcrição; a identificação é inferida do contexto (Folha, 2020).</t>
  </si>
  <si>
    <t xml:space="preserve">Valores monetários mensais do promoter e do diretor jurídico estão ilegíveis na transcrição e foram omitidos.</t>
  </si>
  <si>
    <t xml:space="preserve">Não incluídos por não serem nomeados no vídeo: terceiro cotista do jato, sócio do Careca no exterior, amiga que cobrou Vorcaro, e as mulheres individualmente.</t>
  </si>
  <si>
    <t xml:space="preserve">Pronto para importar em ferramentas de grafos: Nodes (Id, Label) e Edges (Source, Target) seguem o padrão do Gephi/Kumu.</t>
  </si>
  <si>
    <t xml:space="preserve">Degree (Nodes) e nomes (Edges) são fórmulas; recalculam se você editar as abas.</t>
  </si>
  <si>
    <t xml:space="preserve">21/10/2026: importados 26 nós, 62 conexões e 4 perfis do acervo a verdade. (https://bolsomaster.site, PDF em https://bolsomaster.site/documento-original.pdf). As fontes de cada item são as do acervo e não foram reverificadas uma a uma.</t>
  </si>
  <si>
    <t xml:space="preserve">Na importação, foi marcado como “Documentado” só o que é ato público ou fato noticiado sem disputa (indicação, doação registrada, homenagem, decisão judicial, contrato público). Suspeitas, mensagens, relatórios da PF sobre condutas e afirmações de ex-sócios ficaram como “Alegado ou contestado”.</t>
  </si>
  <si>
    <t xml:space="preserve">Correções do próprio acervo aplicadas: honorários de até R$ 427 mi não são recebimento pessoal de Nunes; o caso do vice Alfredo Gaspar foi arquivado; números do celular de Vorcaro (Piauí × Estadão) não se somam; contratos do ITER são dois levantamentos diferentes.</t>
  </si>
  <si>
    <t xml:space="preserve">Registros do acervo deixados de fora: registro-3 (comparação retórica do PDF; o próprio acervo diz que não comprova a origem do dinheiro); registro-5 (afirmação de exclusividade não verificada pelo acervo); registro-7 (comparação de valores entre casos diferentes); registro-8 (comparação de valores entre casos diferentes); registro-22 (hipótese do PDF sobre o esquema, com fonte em vídeo); registro-27 (já no mapa (Nunes preside o TSE)); registro-41 (pessoa não identificada com clareza); registro-87 (sem pessoa ou conexão específica); registro-88 (só título de reportagem); registro-91 (projeto de lei sem ligação direta com o mapa); registro-93 (post de Nikolas Ferreira sem ligação com o mapa); registro-126 (padrinho não identificado no texto).</t>
  </si>
  <si>
    <t xml:space="preserve">Checagem final (21/10/2026): 111 links testados (91 abrem; 19 bloqueiam robôs, como UOL, Intercept e Folha; 1 link da CNN quebrado foi trocado por Mais Goiás). Conferidas contra a fonte 22 matérias das conexões mais sensíveis. Corrigidos: Zettel foi o 2º doador de Jair, não o maior; o advogado morto em 2024 representava a WT, não Richarlison; a posse de Willer reconhecida pelo STJ não foi confirmada; Mendonça teve uma reunião reservada confirmada (14/03/2025), não duas; o voo de Marçal foi pago pela Prime You (R$ 1,17 mi). Respostas dos citados foram adicionadas (Flávio sobre o BRB e a emenda, Ciro, Faria, Marçal, Gaspar).</t>
  </si>
  <si>
    <t xml:space="preserve">22/10/2026: rodada a partir do UOL News (Dani Lima, 21/10). Entraram só itens com reportagem escrita: Best Bet/Cathedral (piauí), voos pagos pela Cathedral (Folha), Rio Pag (O Globo), sala no hangar (Estadão) e Operação Sem Desconto (Poder360, O Povo). Ficaram de fora, sem texto publicado: a festa no hangar em 2024 com Flávio e Valdemar, as tratativas da indicação de Nunes no rancho de Willer e a origem em loja de informática em Taguatinga. O comunicado de relatores da ONU sobre a Meta, no mesmo vídeo, não tem relação com o mapa.</t>
  </si>
  <si>
    <t xml:space="preserve">26/10/2026: revisão pós-2º turno. Resultado oficial do TSE; atualizados os perfis de Flávio, Willer, Vorcaro, Mendonça, Nunes Marques, Ciro, Jair, Frias e Gaspar e 4 rótulos de Edges (flavio–pf, flavio–pgr, mendonca–master, gaspar–flavio). Sem fonte nova após 21/10 para Careca do INSS e Fábio Faria. Ficou de fora: pedido de investigação de deputado do PT à PGR sobre Flávio (21/10), por ser só representação sem apuração aberta.</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</si>
</sst>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11"/>
      <color rgb="FF555555"/>
      <name val="Cambria"/>
      <family val="0"/>
      <charset val="1"/>
    </font>
    <font>
      <b val="true"/>
      <sz val="11"/>
      <color rgb="FFFFFFFF"/>
      <name val="Cambria"/>
      <family val="0"/>
      <charset val="1"/>
    </font>
    <font>
      <b val="true"/>
      <sz val="11"/>
      <name val="Cambria"/>
      <family val="0"/>
      <charset val="1"/>
    </font>
    <font>
      <b val="true"/>
      <sz val="18"/>
      <color rgb="FF000000"/>
      <name val="Calibri"/>
      <family val="2"/>
    </font>
    <font>
      <sz val="10"/>
      <color rgb="FF000000"/>
      <name val="Calibri"/>
      <family val="2"/>
    </font>
    <font>
      <b val="true"/>
      <sz val="10"/>
      <name val="Arial"/>
      <family val="0"/>
      <charset val="1"/>
    </font>
    <font>
      <sz val="10"/>
      <name val="Arial"/>
      <family val="0"/>
      <charset val="1"/>
    </font>
  </fonts>
  <fills count="9">
    <fill>
      <patternFill patternType="none"/>
    </fill>
    <fill>
      <patternFill patternType="gray125"/>
    </fill>
    <fill>
      <patternFill patternType="solid">
        <fgColor rgb="FF2F3B52"/>
        <bgColor rgb="FF003366"/>
      </patternFill>
    </fill>
    <fill>
      <patternFill patternType="solid">
        <fgColor rgb="FFF4B6B6"/>
        <bgColor rgb="FFF8D3A8"/>
      </patternFill>
    </fill>
    <fill>
      <patternFill patternType="solid">
        <fgColor rgb="FFF8D3A8"/>
        <bgColor rgb="FFFBEBA5"/>
      </patternFill>
    </fill>
    <fill>
      <patternFill patternType="solid">
        <fgColor rgb="FFFBEBA5"/>
        <bgColor rgb="FFF8D3A8"/>
      </patternFill>
    </fill>
    <fill>
      <patternFill patternType="solid">
        <fgColor rgb="FFD9E6F5"/>
        <bgColor rgb="FFE5E5E5"/>
      </patternFill>
    </fill>
    <fill>
      <patternFill patternType="solid">
        <fgColor rgb="FFE5E5E5"/>
        <bgColor rgb="FFE7E6E6"/>
      </patternFill>
    </fill>
    <fill>
      <patternFill patternType="solid">
        <fgColor rgb="FFE7E6E6"/>
        <bgColor rgb="FFE5E5E5"/>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4" fontId="0" fillId="5" borderId="0" xfId="0" applyFont="tru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10" fillId="8"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2F3B5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6F5"/>
          <bgColor rgb="FF000000"/>
        </patternFill>
      </fill>
    </dxf>
    <dxf>
      <fill>
        <patternFill patternType="solid">
          <fgColor rgb="FFE5E5E5"/>
          <bgColor rgb="FF000000"/>
        </patternFill>
      </fill>
    </dxf>
    <dxf>
      <fill>
        <patternFill patternType="solid">
          <fgColor rgb="FFF4B6B6"/>
          <bgColor rgb="FF000000"/>
        </patternFill>
      </fill>
    </dxf>
    <dxf>
      <fill>
        <patternFill patternType="solid">
          <fgColor rgb="FFF8D3A8"/>
          <bgColor rgb="FF000000"/>
        </patternFill>
      </fill>
    </dxf>
    <dxf>
      <fill>
        <patternFill patternType="solid">
          <fgColor rgb="FFFBEBA5"/>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E7E6E6"/>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5E5E5"/>
      <rgbColor rgb="FFFBEBA5"/>
      <rgbColor rgb="FF99CCFF"/>
      <rgbColor rgb="FFF4B6B6"/>
      <rgbColor rgb="FFCC99FF"/>
      <rgbColor rgb="FFF8D3A8"/>
      <rgbColor rgb="FF3366FF"/>
      <rgbColor rgb="FF33CCCC"/>
      <rgbColor rgb="FF99CC00"/>
      <rgbColor rgb="FFFFCC00"/>
      <rgbColor rgb="FFFF9900"/>
      <rgbColor rgb="FFFF6600"/>
      <rgbColor rgb="FF4F81BD"/>
      <rgbColor rgb="FFB3B3B3"/>
      <rgbColor rgb="FF003366"/>
      <rgbColor rgb="FF339966"/>
      <rgbColor rgb="FF003300"/>
      <rgbColor rgb="FF333300"/>
      <rgbColor rgb="FF993300"/>
      <rgbColor rgb="FF993366"/>
      <rgbColor rgb="FF555555"/>
      <rgbColor rgb="FF2F3B5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Pessoas por estágio jurídico</a:t>
            </a:r>
          </a:p>
        </c:rich>
      </c:tx>
      <c:overlay val="0"/>
      <c:spPr>
        <a:noFill/>
        <a:ln w="0">
          <a:noFill/>
        </a:ln>
      </c:spPr>
    </c:title>
    <c:autoTitleDeleted val="0"/>
    <c:plotArea>
      <c:barChart>
        <c:barDir val="bar"/>
        <c:grouping val="clustered"/>
        <c:varyColors val="0"/>
        <c:ser>
          <c:idx val="0"/>
          <c:order val="0"/>
          <c:tx>
            <c:strRef>
              <c:f>Resumo!B4</c:f>
              <c:strCache>
                <c:ptCount val="1"/>
                <c:pt idx="0">
                  <c:v>Pessoas</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Resumo!$A$5:$A$9</c:f>
              <c:strCache>
                <c:ptCount val="5"/>
                <c:pt idx="0">
                  <c:v>Condenado</c:v>
                </c:pt>
                <c:pt idx="1">
                  <c:v>Preso, sem condenação</c:v>
                </c:pt>
                <c:pt idx="2">
                  <c:v>Investigado / alvo (sem denúncia)</c:v>
                </c:pt>
                <c:pt idx="3">
                  <c:v>Citado, sem acusação</c:v>
                </c:pt>
                <c:pt idx="4">
                  <c:v>Não pesquisado</c:v>
                </c:pt>
              </c:strCache>
            </c:strRef>
          </c:cat>
          <c:val>
            <c:numRef>
              <c:f>Resumo!$B$5:$B$9</c:f>
              <c:numCache>
                <c:formatCode>General</c:formatCode>
                <c:ptCount val="5"/>
                <c:pt idx="0">
                  <c:v>3</c:v>
                </c:pt>
                <c:pt idx="1">
                  <c:v>4</c:v>
                </c:pt>
                <c:pt idx="2">
                  <c:v>9</c:v>
                </c:pt>
                <c:pt idx="3">
                  <c:v>11</c:v>
                </c:pt>
                <c:pt idx="4">
                  <c:v>8</c:v>
                </c:pt>
              </c:numCache>
            </c:numRef>
          </c:val>
        </c:ser>
        <c:gapWidth val="150"/>
        <c:overlap val="0"/>
        <c:axId val="17391643"/>
        <c:axId val="28576625"/>
      </c:barChart>
      <c:catAx>
        <c:axId val="17391643"/>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8576625"/>
        <c:crosses val="autoZero"/>
        <c:auto val="1"/>
        <c:lblAlgn val="ctr"/>
        <c:lblOffset val="100"/>
        <c:noMultiLvlLbl val="0"/>
      </c:catAx>
      <c:valAx>
        <c:axId val="28576625"/>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739164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xdr:row>
      <xdr:rowOff>33120</xdr:rowOff>
    </xdr:from>
    <xdr:to>
      <xdr:col>2</xdr:col>
      <xdr:colOff>3237120</xdr:colOff>
      <xdr:row>22</xdr:row>
      <xdr:rowOff>75960</xdr:rowOff>
    </xdr:to>
    <xdr:graphicFrame>
      <xdr:nvGraphicFramePr>
        <xdr:cNvPr id="0" name="Chart 1"/>
        <xdr:cNvGraphicFramePr/>
      </xdr:nvGraphicFramePr>
      <xdr:xfrm>
        <a:off x="0" y="2261880"/>
        <a:ext cx="6479280" cy="251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0"/>
    <col collapsed="false" customWidth="true" hidden="false" outlineLevel="0" max="3" min="3" style="1" width="110"/>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row>
    <row r="5" customFormat="false" ht="15" hidden="false" customHeight="true" outlineLevel="0" collapsed="false">
      <c r="A5" s="5" t="s">
        <v>5</v>
      </c>
      <c r="B5" s="1" t="n">
        <f aca="false">COUNTIF(Perfis!$H$2:$H$36,A5)</f>
        <v>3</v>
      </c>
      <c r="C5" s="6" t="s">
        <v>6</v>
      </c>
    </row>
    <row r="6" customFormat="false" ht="15" hidden="false" customHeight="true" outlineLevel="0" collapsed="false">
      <c r="A6" s="7" t="s">
        <v>7</v>
      </c>
      <c r="B6" s="1" t="n">
        <f aca="false">COUNTIF(Perfis!$H$2:$H$36,A6)</f>
        <v>4</v>
      </c>
      <c r="C6" s="6" t="s">
        <v>8</v>
      </c>
    </row>
    <row r="7" customFormat="false" ht="27.75" hidden="false" customHeight="true" outlineLevel="0" collapsed="false">
      <c r="A7" s="8" t="s">
        <v>9</v>
      </c>
      <c r="B7" s="1" t="n">
        <f aca="false">COUNTIF(Perfis!$H$2:$H$36,A7)</f>
        <v>9</v>
      </c>
      <c r="C7" s="6" t="s">
        <v>10</v>
      </c>
    </row>
    <row r="8" customFormat="false" ht="27.75" hidden="false" customHeight="true" outlineLevel="0" collapsed="false">
      <c r="A8" s="9" t="s">
        <v>11</v>
      </c>
      <c r="B8" s="1" t="n">
        <f aca="false">COUNTIF(Perfis!$H$2:$H$36,A8)</f>
        <v>11</v>
      </c>
      <c r="C8" s="6" t="s">
        <v>12</v>
      </c>
    </row>
    <row r="9" customFormat="false" ht="27.75" hidden="false" customHeight="true" outlineLevel="0" collapsed="false">
      <c r="A9" s="10" t="s">
        <v>13</v>
      </c>
      <c r="B9" s="1" t="n">
        <f aca="false">COUNTIF(Perfis!$H$2:$H$36,A9)</f>
        <v>8</v>
      </c>
      <c r="C9" s="6" t="s">
        <v>14</v>
      </c>
    </row>
    <row r="10" customFormat="false" ht="15" hidden="false" customHeight="true" outlineLevel="0" collapsed="false">
      <c r="A10" s="11" t="s">
        <v>15</v>
      </c>
      <c r="B10" s="11" t="n">
        <f aca="false">SUM(B5:B9)</f>
        <v>35</v>
      </c>
    </row>
    <row r="28" customFormat="false" ht="15" hidden="false" customHeight="true" outlineLevel="0" collapsed="false">
      <c r="A28" s="11" t="s">
        <v>16</v>
      </c>
    </row>
    <row r="29" customFormat="false" ht="30" hidden="false" customHeight="true" outlineLevel="0" collapsed="false">
      <c r="A29" s="12" t="s">
        <v>17</v>
      </c>
      <c r="B29" s="12"/>
      <c r="C29" s="12"/>
    </row>
    <row r="30" customFormat="false" ht="30" hidden="false" customHeight="true" outlineLevel="0" collapsed="false">
      <c r="A30" s="12" t="s">
        <v>18</v>
      </c>
      <c r="B30" s="12"/>
      <c r="C30" s="12"/>
    </row>
    <row r="31" customFormat="false" ht="30" hidden="false" customHeight="true" outlineLevel="0" collapsed="false">
      <c r="A31" s="12" t="s">
        <v>19</v>
      </c>
      <c r="B31" s="12"/>
      <c r="C31" s="12"/>
    </row>
    <row r="32" customFormat="false" ht="30" hidden="false" customHeight="true" outlineLevel="0" collapsed="false">
      <c r="A32" s="12" t="s">
        <v>20</v>
      </c>
      <c r="B32" s="12"/>
      <c r="C32" s="12"/>
    </row>
    <row r="33" customFormat="false" ht="30" hidden="false" customHeight="true" outlineLevel="0" collapsed="false">
      <c r="A33" s="12" t="s">
        <v>21</v>
      </c>
      <c r="B33" s="12"/>
      <c r="C33" s="12"/>
    </row>
    <row r="34" customFormat="false" ht="30" hidden="false" customHeight="true" outlineLevel="0" collapsed="false">
      <c r="A34" s="12" t="s">
        <v>22</v>
      </c>
      <c r="B34" s="12"/>
      <c r="C34" s="12"/>
    </row>
    <row r="35" customFormat="false" ht="28.35" hidden="false" customHeight="false" outlineLevel="0" collapsed="false">
      <c r="A35" s="6" t="s">
        <v>23</v>
      </c>
    </row>
  </sheetData>
  <mergeCells count="6">
    <mergeCell ref="A29:C29"/>
    <mergeCell ref="A30:C30"/>
    <mergeCell ref="A31:C31"/>
    <mergeCell ref="A32:C32"/>
    <mergeCell ref="A33:C33"/>
    <mergeCell ref="A34:C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6"/>
    <col collapsed="false" customWidth="true" hidden="false" outlineLevel="0" max="3" min="3" style="1" width="22"/>
    <col collapsed="false" customWidth="true" hidden="false" outlineLevel="0" max="4" min="4" style="1" width="70"/>
    <col collapsed="false" customWidth="true" hidden="false" outlineLevel="0" max="5" min="5" style="1" width="34"/>
    <col collapsed="false" customWidth="true" hidden="false" outlineLevel="0" max="6" min="6" style="1" width="22"/>
    <col collapsed="false" customWidth="true" hidden="false" outlineLevel="0" max="7" min="7" style="1" width="56"/>
    <col collapsed="false" customWidth="true" hidden="false" outlineLevel="0" max="8" min="8" style="1" width="24"/>
    <col collapsed="false" customWidth="true" hidden="false" outlineLevel="0" max="9" min="9" style="1" width="42"/>
    <col collapsed="false" customWidth="true" hidden="false" outlineLevel="0" max="10" min="10" style="1" width="44"/>
    <col collapsed="false" customWidth="true" hidden="false" outlineLevel="0" max="11" min="11" style="1" width="70"/>
    <col collapsed="false" customWidth="true" hidden="false" outlineLevel="0" max="12" min="12" style="1" width="12"/>
    <col collapsed="false" customWidth="true" hidden="false" outlineLevel="0" max="13" min="13" style="1" width="38"/>
  </cols>
  <sheetData>
    <row r="1" customFormat="false" ht="30" hidden="false" customHeight="true" outlineLevel="0" collapsed="false">
      <c r="A1" s="13" t="s">
        <v>24</v>
      </c>
      <c r="B1" s="13" t="s">
        <v>25</v>
      </c>
      <c r="C1" s="13" t="s">
        <v>26</v>
      </c>
      <c r="D1" s="13" t="s">
        <v>27</v>
      </c>
      <c r="E1" s="13" t="s">
        <v>28</v>
      </c>
      <c r="F1" s="13" t="s">
        <v>29</v>
      </c>
      <c r="G1" s="13" t="s">
        <v>30</v>
      </c>
      <c r="H1" s="13" t="s">
        <v>2</v>
      </c>
      <c r="I1" s="13" t="s">
        <v>31</v>
      </c>
      <c r="J1" s="13" t="s">
        <v>32</v>
      </c>
      <c r="K1" s="13" t="s">
        <v>33</v>
      </c>
      <c r="L1" s="13" t="s">
        <v>34</v>
      </c>
      <c r="M1" s="13" t="s">
        <v>35</v>
      </c>
      <c r="N1" s="14" t="s">
        <v>36</v>
      </c>
      <c r="O1" s="14" t="s">
        <v>37</v>
      </c>
      <c r="P1" s="14" t="s">
        <v>38</v>
      </c>
    </row>
    <row r="2" customFormat="false" ht="135.75" hidden="false" customHeight="true" outlineLevel="0" collapsed="false">
      <c r="A2" s="15" t="s">
        <v>39</v>
      </c>
      <c r="B2" s="16" t="s">
        <v>40</v>
      </c>
      <c r="C2" s="15" t="s">
        <v>41</v>
      </c>
      <c r="D2" s="15" t="s">
        <v>42</v>
      </c>
      <c r="E2" s="15" t="s">
        <v>43</v>
      </c>
      <c r="F2" s="15" t="s">
        <v>44</v>
      </c>
      <c r="G2" s="15" t="s">
        <v>45</v>
      </c>
      <c r="H2" s="17" t="s">
        <v>7</v>
      </c>
      <c r="I2" s="15" t="s">
        <v>46</v>
      </c>
      <c r="J2" s="15" t="s">
        <v>47</v>
      </c>
      <c r="K2" s="15" t="s">
        <v>48</v>
      </c>
      <c r="L2" s="15" t="s">
        <v>49</v>
      </c>
      <c r="M2" s="15" t="s">
        <v>50</v>
      </c>
      <c r="N2" s="1" t="s">
        <v>51</v>
      </c>
      <c r="O2" s="1" t="s">
        <v>52</v>
      </c>
      <c r="P2" s="1" t="s">
        <v>53</v>
      </c>
    </row>
    <row r="3" customFormat="false" ht="41.25" hidden="false" customHeight="true" outlineLevel="0" collapsed="false">
      <c r="A3" s="15" t="s">
        <v>54</v>
      </c>
      <c r="B3" s="16" t="s">
        <v>55</v>
      </c>
      <c r="C3" s="15" t="s">
        <v>41</v>
      </c>
      <c r="D3" s="15" t="s">
        <v>56</v>
      </c>
      <c r="E3" s="15" t="s">
        <v>57</v>
      </c>
      <c r="F3" s="15" t="s">
        <v>58</v>
      </c>
      <c r="G3" s="15" t="s">
        <v>59</v>
      </c>
      <c r="H3" s="17" t="s">
        <v>7</v>
      </c>
      <c r="I3" s="15" t="s">
        <v>46</v>
      </c>
      <c r="J3" s="15" t="s">
        <v>60</v>
      </c>
      <c r="K3" s="15" t="s">
        <v>61</v>
      </c>
      <c r="L3" s="15" t="s">
        <v>49</v>
      </c>
      <c r="M3" s="15" t="s">
        <v>62</v>
      </c>
    </row>
    <row r="4" customFormat="false" ht="41.25" hidden="false" customHeight="true" outlineLevel="0" collapsed="false">
      <c r="A4" s="15" t="s">
        <v>63</v>
      </c>
      <c r="B4" s="16" t="s">
        <v>64</v>
      </c>
      <c r="C4" s="15" t="s">
        <v>41</v>
      </c>
      <c r="D4" s="15" t="s">
        <v>65</v>
      </c>
      <c r="E4" s="15" t="s">
        <v>66</v>
      </c>
      <c r="F4" s="15" t="s">
        <v>67</v>
      </c>
      <c r="G4" s="15" t="s">
        <v>68</v>
      </c>
      <c r="H4" s="18" t="s">
        <v>11</v>
      </c>
      <c r="I4" s="15" t="s">
        <v>46</v>
      </c>
      <c r="J4" s="15" t="s">
        <v>69</v>
      </c>
      <c r="K4" s="15" t="s">
        <v>70</v>
      </c>
      <c r="L4" s="15" t="s">
        <v>71</v>
      </c>
      <c r="M4" s="15" t="s">
        <v>72</v>
      </c>
    </row>
    <row r="5" customFormat="false" ht="81.75" hidden="false" customHeight="true" outlineLevel="0" collapsed="false">
      <c r="A5" s="15" t="s">
        <v>73</v>
      </c>
      <c r="B5" s="16" t="s">
        <v>74</v>
      </c>
      <c r="C5" s="15" t="s">
        <v>41</v>
      </c>
      <c r="D5" s="15" t="s">
        <v>75</v>
      </c>
      <c r="E5" s="15" t="s">
        <v>76</v>
      </c>
      <c r="F5" s="15" t="s">
        <v>77</v>
      </c>
      <c r="G5" s="15" t="s">
        <v>78</v>
      </c>
      <c r="H5" s="19" t="s">
        <v>9</v>
      </c>
      <c r="I5" s="15" t="s">
        <v>46</v>
      </c>
      <c r="J5" s="15" t="s">
        <v>79</v>
      </c>
      <c r="K5" s="15" t="s">
        <v>80</v>
      </c>
      <c r="L5" s="15" t="s">
        <v>49</v>
      </c>
      <c r="M5" s="15" t="s">
        <v>81</v>
      </c>
    </row>
    <row r="6" customFormat="false" ht="81.75" hidden="false" customHeight="true" outlineLevel="0" collapsed="false">
      <c r="A6" s="15" t="s">
        <v>82</v>
      </c>
      <c r="B6" s="16" t="s">
        <v>83</v>
      </c>
      <c r="C6" s="15" t="s">
        <v>41</v>
      </c>
      <c r="D6" s="15" t="s">
        <v>84</v>
      </c>
      <c r="E6" s="15" t="s">
        <v>85</v>
      </c>
      <c r="F6" s="15" t="s">
        <v>86</v>
      </c>
      <c r="G6" s="15" t="s">
        <v>87</v>
      </c>
      <c r="H6" s="19" t="s">
        <v>9</v>
      </c>
      <c r="I6" s="15" t="s">
        <v>46</v>
      </c>
      <c r="J6" s="15" t="s">
        <v>88</v>
      </c>
      <c r="K6" s="15" t="s">
        <v>89</v>
      </c>
      <c r="L6" s="15" t="s">
        <v>71</v>
      </c>
      <c r="M6" s="15" t="s">
        <v>90</v>
      </c>
    </row>
    <row r="7" customFormat="false" ht="122.25" hidden="false" customHeight="true" outlineLevel="0" collapsed="false">
      <c r="A7" s="15" t="s">
        <v>91</v>
      </c>
      <c r="B7" s="16" t="s">
        <v>92</v>
      </c>
      <c r="C7" s="15" t="s">
        <v>93</v>
      </c>
      <c r="D7" s="15" t="s">
        <v>94</v>
      </c>
      <c r="E7" s="15" t="s">
        <v>95</v>
      </c>
      <c r="F7" s="15" t="s">
        <v>77</v>
      </c>
      <c r="G7" s="15" t="s">
        <v>96</v>
      </c>
      <c r="H7" s="19" t="s">
        <v>9</v>
      </c>
      <c r="I7" s="15" t="s">
        <v>46</v>
      </c>
      <c r="J7" s="15" t="s">
        <v>97</v>
      </c>
      <c r="K7" s="15" t="s">
        <v>98</v>
      </c>
      <c r="L7" s="15" t="s">
        <v>99</v>
      </c>
      <c r="M7" s="15" t="s">
        <v>100</v>
      </c>
      <c r="N7" s="1" t="s">
        <v>101</v>
      </c>
      <c r="O7" s="1" t="s">
        <v>102</v>
      </c>
      <c r="P7" s="1" t="s">
        <v>103</v>
      </c>
    </row>
    <row r="8" customFormat="false" ht="81.75" hidden="false" customHeight="true" outlineLevel="0" collapsed="false">
      <c r="A8" s="15" t="s">
        <v>104</v>
      </c>
      <c r="B8" s="16" t="s">
        <v>105</v>
      </c>
      <c r="C8" s="15" t="s">
        <v>93</v>
      </c>
      <c r="D8" s="15" t="s">
        <v>106</v>
      </c>
      <c r="E8" s="15" t="s">
        <v>107</v>
      </c>
      <c r="F8" s="15" t="s">
        <v>86</v>
      </c>
      <c r="G8" s="15" t="s">
        <v>108</v>
      </c>
      <c r="H8" s="18" t="s">
        <v>11</v>
      </c>
      <c r="I8" s="15" t="s">
        <v>46</v>
      </c>
      <c r="J8" s="15" t="s">
        <v>109</v>
      </c>
      <c r="K8" s="15" t="s">
        <v>110</v>
      </c>
      <c r="L8" s="15" t="s">
        <v>71</v>
      </c>
      <c r="M8" s="15" t="s">
        <v>111</v>
      </c>
    </row>
    <row r="9" customFormat="false" ht="95.25" hidden="false" customHeight="true" outlineLevel="0" collapsed="false">
      <c r="A9" s="15" t="s">
        <v>112</v>
      </c>
      <c r="B9" s="16" t="s">
        <v>113</v>
      </c>
      <c r="C9" s="15" t="s">
        <v>93</v>
      </c>
      <c r="D9" s="15" t="s">
        <v>114</v>
      </c>
      <c r="E9" s="15" t="s">
        <v>115</v>
      </c>
      <c r="F9" s="15" t="s">
        <v>77</v>
      </c>
      <c r="G9" s="15" t="s">
        <v>116</v>
      </c>
      <c r="H9" s="18" t="s">
        <v>11</v>
      </c>
      <c r="I9" s="15" t="s">
        <v>46</v>
      </c>
      <c r="J9" s="15" t="s">
        <v>117</v>
      </c>
      <c r="K9" s="15" t="s">
        <v>118</v>
      </c>
      <c r="L9" s="15" t="s">
        <v>49</v>
      </c>
      <c r="M9" s="15" t="s">
        <v>119</v>
      </c>
      <c r="N9" s="1" t="s">
        <v>120</v>
      </c>
      <c r="O9" s="1" t="s">
        <v>121</v>
      </c>
      <c r="P9" s="1" t="s">
        <v>122</v>
      </c>
    </row>
    <row r="10" customFormat="false" ht="162" hidden="false" customHeight="true" outlineLevel="0" collapsed="false">
      <c r="A10" s="15" t="s">
        <v>123</v>
      </c>
      <c r="B10" s="16" t="s">
        <v>124</v>
      </c>
      <c r="C10" s="15" t="s">
        <v>125</v>
      </c>
      <c r="D10" s="15" t="s">
        <v>126</v>
      </c>
      <c r="E10" s="15" t="s">
        <v>127</v>
      </c>
      <c r="F10" s="15" t="s">
        <v>77</v>
      </c>
      <c r="G10" s="15" t="s">
        <v>128</v>
      </c>
      <c r="H10" s="19" t="s">
        <v>9</v>
      </c>
      <c r="I10" s="15" t="s">
        <v>129</v>
      </c>
      <c r="J10" s="15" t="s">
        <v>130</v>
      </c>
      <c r="K10" s="15" t="s">
        <v>131</v>
      </c>
      <c r="L10" s="15" t="s">
        <v>99</v>
      </c>
      <c r="M10" s="15" t="s">
        <v>132</v>
      </c>
      <c r="N10" s="1" t="s">
        <v>133</v>
      </c>
      <c r="O10" s="1" t="s">
        <v>121</v>
      </c>
      <c r="P10" s="1" t="s">
        <v>134</v>
      </c>
    </row>
    <row r="11" customFormat="false" ht="27.75" hidden="false" customHeight="true" outlineLevel="0" collapsed="false">
      <c r="A11" s="15" t="s">
        <v>135</v>
      </c>
      <c r="B11" s="16" t="s">
        <v>136</v>
      </c>
      <c r="C11" s="15" t="s">
        <v>125</v>
      </c>
      <c r="D11" s="15" t="s">
        <v>137</v>
      </c>
      <c r="E11" s="15" t="s">
        <v>47</v>
      </c>
      <c r="F11" s="15" t="s">
        <v>47</v>
      </c>
      <c r="G11" s="15" t="s">
        <v>47</v>
      </c>
      <c r="H11" s="20" t="s">
        <v>13</v>
      </c>
      <c r="I11" s="15" t="s">
        <v>47</v>
      </c>
      <c r="J11" s="15" t="s">
        <v>138</v>
      </c>
      <c r="K11" s="15" t="s">
        <v>47</v>
      </c>
      <c r="L11" s="15" t="s">
        <v>49</v>
      </c>
      <c r="M11" s="15" t="s">
        <v>47</v>
      </c>
    </row>
    <row r="12" customFormat="false" ht="81.75" hidden="false" customHeight="true" outlineLevel="0" collapsed="false">
      <c r="A12" s="15" t="s">
        <v>139</v>
      </c>
      <c r="B12" s="16" t="s">
        <v>140</v>
      </c>
      <c r="C12" s="15" t="s">
        <v>125</v>
      </c>
      <c r="D12" s="15" t="s">
        <v>141</v>
      </c>
      <c r="E12" s="15" t="s">
        <v>142</v>
      </c>
      <c r="F12" s="15" t="s">
        <v>77</v>
      </c>
      <c r="G12" s="15" t="s">
        <v>143</v>
      </c>
      <c r="H12" s="19" t="s">
        <v>9</v>
      </c>
      <c r="I12" s="15" t="s">
        <v>144</v>
      </c>
      <c r="J12" s="15" t="s">
        <v>145</v>
      </c>
      <c r="K12" s="15" t="s">
        <v>146</v>
      </c>
      <c r="L12" s="15" t="s">
        <v>49</v>
      </c>
      <c r="M12" s="15" t="s">
        <v>147</v>
      </c>
      <c r="N12" s="1" t="s">
        <v>148</v>
      </c>
      <c r="O12" s="1" t="s">
        <v>149</v>
      </c>
      <c r="P12" s="1" t="s">
        <v>150</v>
      </c>
    </row>
    <row r="13" customFormat="false" ht="122.25" hidden="false" customHeight="true" outlineLevel="0" collapsed="false">
      <c r="A13" s="15" t="s">
        <v>151</v>
      </c>
      <c r="B13" s="16" t="s">
        <v>152</v>
      </c>
      <c r="C13" s="15" t="s">
        <v>125</v>
      </c>
      <c r="D13" s="15" t="s">
        <v>153</v>
      </c>
      <c r="E13" s="15" t="s">
        <v>154</v>
      </c>
      <c r="F13" s="15" t="s">
        <v>77</v>
      </c>
      <c r="G13" s="15" t="s">
        <v>155</v>
      </c>
      <c r="H13" s="21" t="s">
        <v>5</v>
      </c>
      <c r="I13" s="15" t="s">
        <v>144</v>
      </c>
      <c r="J13" s="15" t="s">
        <v>156</v>
      </c>
      <c r="K13" s="15" t="s">
        <v>157</v>
      </c>
      <c r="L13" s="15" t="s">
        <v>99</v>
      </c>
      <c r="M13" s="15" t="s">
        <v>158</v>
      </c>
      <c r="N13" s="1" t="s">
        <v>159</v>
      </c>
      <c r="O13" s="1" t="s">
        <v>149</v>
      </c>
      <c r="P13" s="1" t="s">
        <v>160</v>
      </c>
    </row>
    <row r="14" customFormat="false" ht="95.25" hidden="false" customHeight="true" outlineLevel="0" collapsed="false">
      <c r="A14" s="15" t="s">
        <v>161</v>
      </c>
      <c r="B14" s="16" t="s">
        <v>162</v>
      </c>
      <c r="C14" s="15" t="s">
        <v>125</v>
      </c>
      <c r="D14" s="15" t="s">
        <v>163</v>
      </c>
      <c r="E14" s="15" t="s">
        <v>164</v>
      </c>
      <c r="F14" s="15" t="s">
        <v>77</v>
      </c>
      <c r="G14" s="15" t="s">
        <v>165</v>
      </c>
      <c r="H14" s="19" t="s">
        <v>9</v>
      </c>
      <c r="I14" s="15" t="s">
        <v>166</v>
      </c>
      <c r="J14" s="15" t="s">
        <v>167</v>
      </c>
      <c r="K14" s="15" t="s">
        <v>168</v>
      </c>
      <c r="L14" s="15" t="s">
        <v>49</v>
      </c>
      <c r="M14" s="15" t="s">
        <v>169</v>
      </c>
      <c r="N14" s="1" t="s">
        <v>170</v>
      </c>
      <c r="O14" s="1" t="s">
        <v>102</v>
      </c>
      <c r="P14" s="1" t="s">
        <v>171</v>
      </c>
    </row>
    <row r="15" customFormat="false" ht="135.75" hidden="false" customHeight="true" outlineLevel="0" collapsed="false">
      <c r="A15" s="15" t="s">
        <v>172</v>
      </c>
      <c r="B15" s="16" t="s">
        <v>173</v>
      </c>
      <c r="C15" s="15" t="s">
        <v>125</v>
      </c>
      <c r="D15" s="15" t="s">
        <v>174</v>
      </c>
      <c r="E15" s="15" t="s">
        <v>175</v>
      </c>
      <c r="F15" s="15" t="s">
        <v>176</v>
      </c>
      <c r="G15" s="15" t="s">
        <v>177</v>
      </c>
      <c r="H15" s="18" t="s">
        <v>11</v>
      </c>
      <c r="I15" s="15" t="s">
        <v>178</v>
      </c>
      <c r="J15" s="15" t="s">
        <v>179</v>
      </c>
      <c r="K15" s="15" t="s">
        <v>180</v>
      </c>
      <c r="L15" s="15" t="s">
        <v>49</v>
      </c>
      <c r="M15" s="15" t="s">
        <v>181</v>
      </c>
    </row>
    <row r="16" customFormat="false" ht="15" hidden="false" customHeight="true" outlineLevel="0" collapsed="false">
      <c r="A16" s="15" t="s">
        <v>182</v>
      </c>
      <c r="B16" s="16" t="s">
        <v>183</v>
      </c>
      <c r="C16" s="15" t="s">
        <v>125</v>
      </c>
      <c r="D16" s="15" t="s">
        <v>184</v>
      </c>
      <c r="E16" s="15" t="s">
        <v>47</v>
      </c>
      <c r="F16" s="15" t="s">
        <v>47</v>
      </c>
      <c r="G16" s="15" t="s">
        <v>47</v>
      </c>
      <c r="H16" s="20" t="s">
        <v>13</v>
      </c>
      <c r="I16" s="15" t="s">
        <v>47</v>
      </c>
      <c r="J16" s="15" t="s">
        <v>47</v>
      </c>
      <c r="K16" s="15" t="s">
        <v>47</v>
      </c>
      <c r="L16" s="15" t="s">
        <v>49</v>
      </c>
      <c r="M16" s="15" t="s">
        <v>47</v>
      </c>
    </row>
    <row r="17" customFormat="false" ht="135.75" hidden="false" customHeight="true" outlineLevel="0" collapsed="false">
      <c r="A17" s="15" t="s">
        <v>185</v>
      </c>
      <c r="B17" s="16" t="s">
        <v>186</v>
      </c>
      <c r="C17" s="15" t="s">
        <v>187</v>
      </c>
      <c r="D17" s="15" t="s">
        <v>188</v>
      </c>
      <c r="E17" s="15" t="s">
        <v>189</v>
      </c>
      <c r="F17" s="15" t="s">
        <v>77</v>
      </c>
      <c r="G17" s="15" t="s">
        <v>190</v>
      </c>
      <c r="H17" s="17" t="s">
        <v>7</v>
      </c>
      <c r="I17" s="15" t="s">
        <v>46</v>
      </c>
      <c r="J17" s="15" t="s">
        <v>60</v>
      </c>
      <c r="K17" s="15" t="s">
        <v>191</v>
      </c>
      <c r="L17" s="15" t="s">
        <v>99</v>
      </c>
      <c r="M17" s="15" t="s">
        <v>192</v>
      </c>
      <c r="N17" s="1" t="s">
        <v>193</v>
      </c>
      <c r="O17" s="1" t="s">
        <v>194</v>
      </c>
      <c r="P17" s="1" t="s">
        <v>195</v>
      </c>
    </row>
    <row r="18" customFormat="false" ht="81.75" hidden="false" customHeight="true" outlineLevel="0" collapsed="false">
      <c r="A18" s="15" t="s">
        <v>196</v>
      </c>
      <c r="B18" s="16" t="s">
        <v>197</v>
      </c>
      <c r="C18" s="15" t="s">
        <v>187</v>
      </c>
      <c r="D18" s="15" t="s">
        <v>198</v>
      </c>
      <c r="E18" s="15" t="s">
        <v>199</v>
      </c>
      <c r="F18" s="15" t="s">
        <v>200</v>
      </c>
      <c r="G18" s="15" t="s">
        <v>201</v>
      </c>
      <c r="H18" s="17" t="s">
        <v>7</v>
      </c>
      <c r="I18" s="15" t="s">
        <v>46</v>
      </c>
      <c r="J18" s="15" t="s">
        <v>202</v>
      </c>
      <c r="K18" s="15" t="s">
        <v>203</v>
      </c>
      <c r="L18" s="15" t="s">
        <v>49</v>
      </c>
      <c r="M18" s="15" t="s">
        <v>204</v>
      </c>
      <c r="N18" s="1" t="s">
        <v>205</v>
      </c>
      <c r="O18" s="1" t="s">
        <v>206</v>
      </c>
      <c r="P18" s="1" t="s">
        <v>207</v>
      </c>
    </row>
    <row r="19" customFormat="false" ht="27.75" hidden="false" customHeight="true" outlineLevel="0" collapsed="false">
      <c r="A19" s="15" t="s">
        <v>208</v>
      </c>
      <c r="B19" s="16" t="s">
        <v>209</v>
      </c>
      <c r="C19" s="15" t="s">
        <v>187</v>
      </c>
      <c r="D19" s="15" t="s">
        <v>210</v>
      </c>
      <c r="E19" s="15" t="s">
        <v>47</v>
      </c>
      <c r="F19" s="15" t="s">
        <v>47</v>
      </c>
      <c r="G19" s="15" t="s">
        <v>47</v>
      </c>
      <c r="H19" s="20" t="s">
        <v>13</v>
      </c>
      <c r="I19" s="15" t="s">
        <v>47</v>
      </c>
      <c r="J19" s="15" t="s">
        <v>47</v>
      </c>
      <c r="K19" s="15" t="s">
        <v>47</v>
      </c>
      <c r="L19" s="15" t="s">
        <v>49</v>
      </c>
      <c r="M19" s="15" t="s">
        <v>47</v>
      </c>
    </row>
    <row r="20" customFormat="false" ht="27.75" hidden="false" customHeight="true" outlineLevel="0" collapsed="false">
      <c r="A20" s="15" t="s">
        <v>211</v>
      </c>
      <c r="B20" s="16" t="s">
        <v>212</v>
      </c>
      <c r="C20" s="15" t="s">
        <v>187</v>
      </c>
      <c r="D20" s="15" t="s">
        <v>213</v>
      </c>
      <c r="E20" s="15" t="s">
        <v>47</v>
      </c>
      <c r="F20" s="15" t="s">
        <v>47</v>
      </c>
      <c r="G20" s="15" t="s">
        <v>47</v>
      </c>
      <c r="H20" s="20" t="s">
        <v>13</v>
      </c>
      <c r="I20" s="15" t="s">
        <v>47</v>
      </c>
      <c r="J20" s="15" t="s">
        <v>47</v>
      </c>
      <c r="K20" s="15" t="s">
        <v>47</v>
      </c>
      <c r="L20" s="15" t="s">
        <v>49</v>
      </c>
      <c r="M20" s="15" t="s">
        <v>47</v>
      </c>
    </row>
    <row r="21" customFormat="false" ht="27.75" hidden="false" customHeight="true" outlineLevel="0" collapsed="false">
      <c r="A21" s="15" t="s">
        <v>214</v>
      </c>
      <c r="B21" s="16" t="s">
        <v>215</v>
      </c>
      <c r="C21" s="15" t="s">
        <v>187</v>
      </c>
      <c r="D21" s="15" t="s">
        <v>216</v>
      </c>
      <c r="E21" s="15" t="s">
        <v>47</v>
      </c>
      <c r="F21" s="15" t="s">
        <v>47</v>
      </c>
      <c r="G21" s="15" t="s">
        <v>47</v>
      </c>
      <c r="H21" s="20" t="s">
        <v>13</v>
      </c>
      <c r="I21" s="15" t="s">
        <v>47</v>
      </c>
      <c r="J21" s="15" t="s">
        <v>47</v>
      </c>
      <c r="K21" s="15" t="s">
        <v>217</v>
      </c>
      <c r="L21" s="15" t="s">
        <v>71</v>
      </c>
      <c r="M21" s="15" t="s">
        <v>218</v>
      </c>
    </row>
    <row r="22" customFormat="false" ht="27.75" hidden="false" customHeight="true" outlineLevel="0" collapsed="false">
      <c r="A22" s="15" t="s">
        <v>219</v>
      </c>
      <c r="B22" s="16" t="s">
        <v>220</v>
      </c>
      <c r="C22" s="15" t="s">
        <v>187</v>
      </c>
      <c r="D22" s="15" t="s">
        <v>221</v>
      </c>
      <c r="E22" s="15" t="s">
        <v>47</v>
      </c>
      <c r="F22" s="15" t="s">
        <v>47</v>
      </c>
      <c r="G22" s="15" t="s">
        <v>47</v>
      </c>
      <c r="H22" s="20" t="s">
        <v>13</v>
      </c>
      <c r="I22" s="15" t="s">
        <v>47</v>
      </c>
      <c r="J22" s="15" t="s">
        <v>47</v>
      </c>
      <c r="K22" s="15" t="s">
        <v>47</v>
      </c>
      <c r="L22" s="15" t="s">
        <v>49</v>
      </c>
      <c r="M22" s="15" t="s">
        <v>47</v>
      </c>
    </row>
    <row r="23" customFormat="false" ht="15" hidden="false" customHeight="true" outlineLevel="0" collapsed="false">
      <c r="A23" s="15" t="s">
        <v>222</v>
      </c>
      <c r="B23" s="16" t="s">
        <v>223</v>
      </c>
      <c r="C23" s="15" t="s">
        <v>125</v>
      </c>
      <c r="D23" s="15" t="s">
        <v>213</v>
      </c>
      <c r="E23" s="15" t="s">
        <v>47</v>
      </c>
      <c r="F23" s="15" t="s">
        <v>47</v>
      </c>
      <c r="G23" s="15" t="s">
        <v>47</v>
      </c>
      <c r="H23" s="20" t="s">
        <v>13</v>
      </c>
      <c r="I23" s="15" t="s">
        <v>47</v>
      </c>
      <c r="J23" s="15" t="s">
        <v>47</v>
      </c>
      <c r="K23" s="15" t="s">
        <v>47</v>
      </c>
      <c r="L23" s="15" t="s">
        <v>49</v>
      </c>
      <c r="M23" s="15" t="s">
        <v>47</v>
      </c>
    </row>
    <row r="24" customFormat="false" ht="68.25" hidden="false" customHeight="true" outlineLevel="0" collapsed="false">
      <c r="A24" s="15" t="s">
        <v>224</v>
      </c>
      <c r="B24" s="16" t="s">
        <v>225</v>
      </c>
      <c r="C24" s="15" t="s">
        <v>226</v>
      </c>
      <c r="D24" s="15" t="s">
        <v>227</v>
      </c>
      <c r="E24" s="15" t="s">
        <v>228</v>
      </c>
      <c r="F24" s="15" t="s">
        <v>77</v>
      </c>
      <c r="G24" s="15" t="s">
        <v>229</v>
      </c>
      <c r="H24" s="18" t="s">
        <v>11</v>
      </c>
      <c r="I24" s="15" t="s">
        <v>46</v>
      </c>
      <c r="J24" s="15" t="s">
        <v>230</v>
      </c>
      <c r="K24" s="15" t="s">
        <v>231</v>
      </c>
      <c r="L24" s="15" t="s">
        <v>49</v>
      </c>
      <c r="M24" s="15" t="s">
        <v>232</v>
      </c>
      <c r="N24" s="1" t="s">
        <v>233</v>
      </c>
      <c r="O24" s="1" t="s">
        <v>234</v>
      </c>
      <c r="P24" s="1" t="s">
        <v>235</v>
      </c>
    </row>
    <row r="25" customFormat="false" ht="41.25" hidden="false" customHeight="true" outlineLevel="0" collapsed="false">
      <c r="A25" s="15" t="s">
        <v>236</v>
      </c>
      <c r="B25" s="16" t="s">
        <v>237</v>
      </c>
      <c r="C25" s="15" t="s">
        <v>226</v>
      </c>
      <c r="D25" s="15" t="s">
        <v>238</v>
      </c>
      <c r="E25" s="15" t="s">
        <v>47</v>
      </c>
      <c r="F25" s="15" t="s">
        <v>47</v>
      </c>
      <c r="G25" s="15" t="s">
        <v>47</v>
      </c>
      <c r="H25" s="20" t="s">
        <v>13</v>
      </c>
      <c r="I25" s="15" t="s">
        <v>47</v>
      </c>
      <c r="J25" s="15" t="s">
        <v>239</v>
      </c>
      <c r="K25" s="15" t="s">
        <v>47</v>
      </c>
      <c r="L25" s="15" t="s">
        <v>49</v>
      </c>
      <c r="M25" s="15" t="s">
        <v>47</v>
      </c>
    </row>
    <row r="26" customFormat="false" ht="81.75" hidden="false" customHeight="true" outlineLevel="0" collapsed="false">
      <c r="A26" s="15" t="s">
        <v>240</v>
      </c>
      <c r="B26" s="16" t="s">
        <v>241</v>
      </c>
      <c r="C26" s="15" t="s">
        <v>242</v>
      </c>
      <c r="D26" s="15" t="s">
        <v>243</v>
      </c>
      <c r="E26" s="15" t="s">
        <v>95</v>
      </c>
      <c r="F26" s="15" t="s">
        <v>77</v>
      </c>
      <c r="G26" s="15" t="s">
        <v>244</v>
      </c>
      <c r="H26" s="18" t="s">
        <v>11</v>
      </c>
      <c r="I26" s="15" t="s">
        <v>46</v>
      </c>
      <c r="J26" s="15" t="s">
        <v>245</v>
      </c>
      <c r="K26" s="15" t="s">
        <v>246</v>
      </c>
      <c r="L26" s="15" t="s">
        <v>99</v>
      </c>
      <c r="M26" s="15" t="s">
        <v>247</v>
      </c>
      <c r="N26" s="1" t="s">
        <v>248</v>
      </c>
      <c r="O26" s="1" t="s">
        <v>249</v>
      </c>
      <c r="P26" s="1" t="s">
        <v>250</v>
      </c>
    </row>
    <row r="27" customFormat="false" ht="54.75" hidden="false" customHeight="true" outlineLevel="0" collapsed="false">
      <c r="A27" s="15" t="s">
        <v>251</v>
      </c>
      <c r="B27" s="16" t="s">
        <v>252</v>
      </c>
      <c r="C27" s="15" t="s">
        <v>242</v>
      </c>
      <c r="D27" s="15" t="s">
        <v>253</v>
      </c>
      <c r="E27" s="15" t="s">
        <v>107</v>
      </c>
      <c r="F27" s="15" t="s">
        <v>77</v>
      </c>
      <c r="G27" s="15" t="s">
        <v>254</v>
      </c>
      <c r="H27" s="18" t="s">
        <v>11</v>
      </c>
      <c r="I27" s="15" t="s">
        <v>46</v>
      </c>
      <c r="J27" s="15" t="s">
        <v>255</v>
      </c>
      <c r="K27" s="15" t="s">
        <v>256</v>
      </c>
      <c r="L27" s="15" t="s">
        <v>49</v>
      </c>
      <c r="M27" s="15" t="s">
        <v>232</v>
      </c>
    </row>
    <row r="28" customFormat="false" ht="81.75" hidden="false" customHeight="true" outlineLevel="0" collapsed="false">
      <c r="A28" s="15" t="s">
        <v>257</v>
      </c>
      <c r="B28" s="16" t="s">
        <v>258</v>
      </c>
      <c r="C28" s="15" t="s">
        <v>242</v>
      </c>
      <c r="D28" s="15" t="s">
        <v>259</v>
      </c>
      <c r="E28" s="15" t="s">
        <v>260</v>
      </c>
      <c r="F28" s="15" t="s">
        <v>77</v>
      </c>
      <c r="G28" s="15" t="s">
        <v>261</v>
      </c>
      <c r="H28" s="21" t="s">
        <v>5</v>
      </c>
      <c r="I28" s="15" t="s">
        <v>46</v>
      </c>
      <c r="J28" s="15" t="s">
        <v>262</v>
      </c>
      <c r="K28" s="15" t="s">
        <v>263</v>
      </c>
      <c r="L28" s="15" t="s">
        <v>49</v>
      </c>
      <c r="M28" s="15" t="s">
        <v>264</v>
      </c>
      <c r="N28" s="1" t="s">
        <v>265</v>
      </c>
      <c r="O28" s="1" t="s">
        <v>266</v>
      </c>
      <c r="P28" s="1" t="s">
        <v>267</v>
      </c>
    </row>
    <row r="29" customFormat="false" ht="81.75" hidden="false" customHeight="true" outlineLevel="0" collapsed="false">
      <c r="A29" s="15" t="s">
        <v>268</v>
      </c>
      <c r="B29" s="16" t="s">
        <v>269</v>
      </c>
      <c r="C29" s="15" t="s">
        <v>242</v>
      </c>
      <c r="D29" s="15" t="s">
        <v>270</v>
      </c>
      <c r="E29" s="15" t="s">
        <v>271</v>
      </c>
      <c r="F29" s="15" t="s">
        <v>272</v>
      </c>
      <c r="G29" s="15" t="s">
        <v>273</v>
      </c>
      <c r="H29" s="21" t="s">
        <v>5</v>
      </c>
      <c r="I29" s="15" t="s">
        <v>46</v>
      </c>
      <c r="J29" s="15" t="s">
        <v>47</v>
      </c>
      <c r="K29" s="15" t="s">
        <v>274</v>
      </c>
      <c r="L29" s="15" t="s">
        <v>49</v>
      </c>
      <c r="M29" s="15" t="s">
        <v>275</v>
      </c>
      <c r="N29" s="1" t="s">
        <v>276</v>
      </c>
      <c r="O29" s="1" t="s">
        <v>266</v>
      </c>
      <c r="P29" s="1" t="s">
        <v>277</v>
      </c>
    </row>
    <row r="30" customFormat="false" ht="81.75" hidden="false" customHeight="true" outlineLevel="0" collapsed="false">
      <c r="A30" s="15" t="s">
        <v>278</v>
      </c>
      <c r="B30" s="16" t="s">
        <v>279</v>
      </c>
      <c r="C30" s="15" t="s">
        <v>242</v>
      </c>
      <c r="D30" s="15" t="s">
        <v>280</v>
      </c>
      <c r="E30" s="15" t="s">
        <v>281</v>
      </c>
      <c r="F30" s="15" t="s">
        <v>77</v>
      </c>
      <c r="G30" s="15" t="s">
        <v>282</v>
      </c>
      <c r="H30" s="18" t="s">
        <v>11</v>
      </c>
      <c r="I30" s="15" t="s">
        <v>46</v>
      </c>
      <c r="J30" s="15" t="s">
        <v>60</v>
      </c>
      <c r="K30" s="15" t="s">
        <v>283</v>
      </c>
      <c r="L30" s="15" t="s">
        <v>49</v>
      </c>
      <c r="M30" s="15" t="s">
        <v>284</v>
      </c>
      <c r="N30" s="1" t="s">
        <v>285</v>
      </c>
      <c r="O30" s="1" t="s">
        <v>286</v>
      </c>
      <c r="P30" s="1" t="s">
        <v>287</v>
      </c>
    </row>
    <row r="31" customFormat="false" ht="68.25" hidden="false" customHeight="true" outlineLevel="0" collapsed="false">
      <c r="A31" s="15" t="s">
        <v>288</v>
      </c>
      <c r="B31" s="16" t="s">
        <v>289</v>
      </c>
      <c r="C31" s="15" t="s">
        <v>242</v>
      </c>
      <c r="D31" s="15" t="s">
        <v>290</v>
      </c>
      <c r="E31" s="15" t="s">
        <v>291</v>
      </c>
      <c r="F31" s="15" t="s">
        <v>77</v>
      </c>
      <c r="G31" s="15" t="s">
        <v>292</v>
      </c>
      <c r="H31" s="19" t="s">
        <v>9</v>
      </c>
      <c r="I31" s="15" t="s">
        <v>46</v>
      </c>
      <c r="J31" s="15" t="s">
        <v>293</v>
      </c>
      <c r="K31" s="15" t="s">
        <v>294</v>
      </c>
      <c r="L31" s="15" t="s">
        <v>99</v>
      </c>
      <c r="M31" s="15" t="s">
        <v>295</v>
      </c>
      <c r="N31" s="1" t="s">
        <v>296</v>
      </c>
      <c r="O31" s="1" t="s">
        <v>297</v>
      </c>
      <c r="P31" s="1" t="s">
        <v>298</v>
      </c>
    </row>
    <row r="32" customFormat="false" ht="1021.6" hidden="false" customHeight="false" outlineLevel="0" collapsed="false">
      <c r="A32" s="15" t="s">
        <v>299</v>
      </c>
      <c r="B32" s="16" t="s">
        <v>300</v>
      </c>
      <c r="C32" s="15" t="s">
        <v>242</v>
      </c>
      <c r="D32" s="15" t="s">
        <v>301</v>
      </c>
      <c r="E32" s="15" t="s">
        <v>95</v>
      </c>
      <c r="F32" s="15" t="s">
        <v>77</v>
      </c>
      <c r="G32" s="15" t="s">
        <v>302</v>
      </c>
      <c r="H32" s="17" t="s">
        <v>11</v>
      </c>
      <c r="I32" s="15" t="s">
        <v>46</v>
      </c>
      <c r="J32" s="15" t="s">
        <v>303</v>
      </c>
      <c r="K32" s="15" t="s">
        <v>304</v>
      </c>
      <c r="L32" s="15" t="s">
        <v>99</v>
      </c>
      <c r="M32" s="15" t="s">
        <v>305</v>
      </c>
      <c r="N32" s="1" t="s">
        <v>306</v>
      </c>
      <c r="O32" s="1" t="s">
        <v>307</v>
      </c>
      <c r="P32" s="1" t="s">
        <v>308</v>
      </c>
    </row>
    <row r="33" customFormat="false" ht="202.95" hidden="false" customHeight="false" outlineLevel="0" collapsed="false">
      <c r="A33" s="15" t="s">
        <v>309</v>
      </c>
      <c r="B33" s="16" t="s">
        <v>310</v>
      </c>
      <c r="C33" s="15" t="s">
        <v>187</v>
      </c>
      <c r="D33" s="15" t="s">
        <v>311</v>
      </c>
      <c r="E33" s="15" t="s">
        <v>95</v>
      </c>
      <c r="F33" s="15" t="s">
        <v>77</v>
      </c>
      <c r="G33" s="15" t="s">
        <v>312</v>
      </c>
      <c r="H33" s="17" t="s">
        <v>11</v>
      </c>
      <c r="I33" s="15" t="s">
        <v>46</v>
      </c>
      <c r="J33" s="15" t="s">
        <v>313</v>
      </c>
      <c r="K33" s="15" t="s">
        <v>314</v>
      </c>
      <c r="L33" s="15" t="s">
        <v>71</v>
      </c>
      <c r="M33" s="15" t="s">
        <v>315</v>
      </c>
      <c r="N33" s="1" t="s">
        <v>316</v>
      </c>
      <c r="O33" s="1" t="s">
        <v>307</v>
      </c>
      <c r="P33" s="1" t="s">
        <v>317</v>
      </c>
    </row>
    <row r="34" customFormat="false" ht="149.25" hidden="false" customHeight="false" outlineLevel="0" collapsed="false">
      <c r="A34" s="15" t="s">
        <v>318</v>
      </c>
      <c r="B34" s="16" t="s">
        <v>319</v>
      </c>
      <c r="C34" s="15" t="s">
        <v>125</v>
      </c>
      <c r="D34" s="15" t="s">
        <v>320</v>
      </c>
      <c r="E34" s="15" t="s">
        <v>321</v>
      </c>
      <c r="F34" s="15" t="s">
        <v>77</v>
      </c>
      <c r="G34" s="15" t="s">
        <v>322</v>
      </c>
      <c r="H34" s="17" t="s">
        <v>9</v>
      </c>
      <c r="I34" s="15" t="s">
        <v>46</v>
      </c>
      <c r="J34" s="15" t="s">
        <v>323</v>
      </c>
      <c r="K34" s="15" t="s">
        <v>324</v>
      </c>
      <c r="L34" s="15" t="s">
        <v>99</v>
      </c>
      <c r="M34" s="15" t="s">
        <v>325</v>
      </c>
      <c r="N34" s="1" t="s">
        <v>326</v>
      </c>
      <c r="O34" s="1" t="s">
        <v>327</v>
      </c>
      <c r="P34" s="1" t="s">
        <v>328</v>
      </c>
    </row>
    <row r="35" customFormat="false" ht="149.25" hidden="false" customHeight="false" outlineLevel="0" collapsed="false">
      <c r="A35" s="15" t="s">
        <v>329</v>
      </c>
      <c r="B35" s="16" t="s">
        <v>330</v>
      </c>
      <c r="C35" s="15" t="s">
        <v>125</v>
      </c>
      <c r="D35" s="15" t="s">
        <v>331</v>
      </c>
      <c r="E35" s="15" t="s">
        <v>115</v>
      </c>
      <c r="F35" s="15" t="s">
        <v>77</v>
      </c>
      <c r="G35" s="15" t="s">
        <v>332</v>
      </c>
      <c r="H35" s="17" t="s">
        <v>11</v>
      </c>
      <c r="I35" s="15" t="s">
        <v>46</v>
      </c>
      <c r="J35" s="15" t="s">
        <v>333</v>
      </c>
      <c r="K35" s="15" t="s">
        <v>334</v>
      </c>
      <c r="L35" s="15" t="s">
        <v>99</v>
      </c>
      <c r="M35" s="15" t="s">
        <v>335</v>
      </c>
      <c r="N35" s="1" t="s">
        <v>336</v>
      </c>
      <c r="O35" s="1" t="s">
        <v>337</v>
      </c>
      <c r="P35" s="1" t="s">
        <v>338</v>
      </c>
    </row>
    <row r="36" customFormat="false" ht="82.05" hidden="false" customHeight="false" outlineLevel="0" collapsed="false">
      <c r="A36" s="15" t="s">
        <v>339</v>
      </c>
      <c r="B36" s="16" t="s">
        <v>340</v>
      </c>
      <c r="C36" s="15" t="s">
        <v>242</v>
      </c>
      <c r="D36" s="15" t="s">
        <v>341</v>
      </c>
      <c r="E36" s="15" t="s">
        <v>342</v>
      </c>
      <c r="F36" s="15" t="s">
        <v>77</v>
      </c>
      <c r="G36" s="15" t="s">
        <v>343</v>
      </c>
      <c r="H36" s="17" t="s">
        <v>9</v>
      </c>
      <c r="I36" s="15" t="s">
        <v>46</v>
      </c>
      <c r="J36" s="15" t="s">
        <v>344</v>
      </c>
      <c r="K36" s="15" t="s">
        <v>345</v>
      </c>
      <c r="L36" s="15" t="s">
        <v>346</v>
      </c>
      <c r="M36" s="15" t="s">
        <v>347</v>
      </c>
      <c r="N36" s="1" t="s">
        <v>348</v>
      </c>
      <c r="O36" s="1" t="s">
        <v>349</v>
      </c>
      <c r="P36" s="1" t="s">
        <v>350</v>
      </c>
    </row>
    <row r="37" customFormat="false" ht="15" hidden="false" customHeight="false" outlineLevel="0" collapsed="false">
      <c r="A37" s="1" t="s">
        <v>351</v>
      </c>
      <c r="B37" s="1" t="s">
        <v>352</v>
      </c>
      <c r="C37" s="1" t="s">
        <v>242</v>
      </c>
      <c r="D37" s="1" t="s">
        <v>353</v>
      </c>
      <c r="E37" s="1" t="s">
        <v>354</v>
      </c>
      <c r="F37" s="1" t="s">
        <v>47</v>
      </c>
      <c r="G37" s="1" t="s">
        <v>355</v>
      </c>
      <c r="H37" s="1" t="s">
        <v>356</v>
      </c>
      <c r="I37" s="1" t="s">
        <v>47</v>
      </c>
      <c r="J37" s="1" t="s">
        <v>47</v>
      </c>
      <c r="K37" s="1" t="s">
        <v>357</v>
      </c>
      <c r="L37" s="1" t="s">
        <v>346</v>
      </c>
      <c r="M37" s="1" t="s">
        <v>358</v>
      </c>
      <c r="N37" s="1" t="s">
        <v>359</v>
      </c>
      <c r="O37" s="1" t="s">
        <v>102</v>
      </c>
      <c r="P37" s="1" t="s">
        <v>360</v>
      </c>
    </row>
    <row r="38" customFormat="false" ht="15" hidden="false" customHeight="false" outlineLevel="0" collapsed="false">
      <c r="A38" s="1" t="s">
        <v>361</v>
      </c>
      <c r="B38" s="1" t="s">
        <v>362</v>
      </c>
      <c r="C38" s="1" t="s">
        <v>226</v>
      </c>
      <c r="D38" s="1" t="s">
        <v>363</v>
      </c>
      <c r="E38" s="1" t="s">
        <v>364</v>
      </c>
      <c r="F38" s="1" t="s">
        <v>47</v>
      </c>
      <c r="G38" s="1" t="s">
        <v>365</v>
      </c>
      <c r="H38" s="1" t="s">
        <v>366</v>
      </c>
      <c r="I38" s="1" t="s">
        <v>47</v>
      </c>
      <c r="J38" s="1" t="s">
        <v>367</v>
      </c>
      <c r="K38" s="1" t="s">
        <v>368</v>
      </c>
      <c r="L38" s="1" t="s">
        <v>346</v>
      </c>
      <c r="M38" s="1" t="s">
        <v>358</v>
      </c>
    </row>
    <row r="39" customFormat="false" ht="15" hidden="false" customHeight="false" outlineLevel="0" collapsed="false">
      <c r="A39" s="1" t="s">
        <v>369</v>
      </c>
      <c r="B39" s="1" t="s">
        <v>370</v>
      </c>
      <c r="C39" s="1" t="s">
        <v>187</v>
      </c>
      <c r="D39" s="1" t="s">
        <v>371</v>
      </c>
      <c r="E39" s="1" t="s">
        <v>372</v>
      </c>
      <c r="F39" s="1" t="s">
        <v>47</v>
      </c>
      <c r="G39" s="1" t="s">
        <v>373</v>
      </c>
      <c r="H39" s="1" t="s">
        <v>9</v>
      </c>
      <c r="I39" s="1" t="s">
        <v>47</v>
      </c>
      <c r="J39" s="1" t="s">
        <v>60</v>
      </c>
      <c r="K39" s="1" t="s">
        <v>374</v>
      </c>
      <c r="L39" s="1" t="s">
        <v>346</v>
      </c>
      <c r="M39" s="1" t="s">
        <v>375</v>
      </c>
      <c r="N39" s="1" t="s">
        <v>376</v>
      </c>
      <c r="O39" s="1" t="s">
        <v>377</v>
      </c>
      <c r="P39" s="1" t="s">
        <v>378</v>
      </c>
    </row>
    <row r="40" customFormat="false" ht="15" hidden="false" customHeight="false" outlineLevel="0" collapsed="false">
      <c r="A40" s="1" t="s">
        <v>379</v>
      </c>
      <c r="B40" s="1" t="s">
        <v>380</v>
      </c>
      <c r="C40" s="1" t="s">
        <v>242</v>
      </c>
      <c r="D40" s="1" t="s">
        <v>381</v>
      </c>
      <c r="E40" s="1" t="s">
        <v>382</v>
      </c>
      <c r="F40" s="1" t="s">
        <v>47</v>
      </c>
      <c r="G40" s="1" t="s">
        <v>383</v>
      </c>
      <c r="H40" s="1" t="s">
        <v>384</v>
      </c>
      <c r="I40" s="1" t="s">
        <v>47</v>
      </c>
      <c r="J40" s="1" t="s">
        <v>385</v>
      </c>
      <c r="K40" s="1" t="s">
        <v>386</v>
      </c>
      <c r="L40" s="1" t="s">
        <v>346</v>
      </c>
      <c r="M40" s="1" t="s">
        <v>358</v>
      </c>
    </row>
    <row r="41" customFormat="false" ht="15" hidden="false" customHeight="false" outlineLevel="0" collapsed="false">
      <c r="A41" s="1" t="s">
        <v>387</v>
      </c>
      <c r="B41" s="1" t="s">
        <v>388</v>
      </c>
      <c r="C41" s="1" t="s">
        <v>226</v>
      </c>
      <c r="D41" s="1" t="s">
        <v>389</v>
      </c>
      <c r="E41" s="1" t="s">
        <v>390</v>
      </c>
      <c r="F41" s="1" t="s">
        <v>47</v>
      </c>
      <c r="G41" s="1" t="s">
        <v>391</v>
      </c>
      <c r="H41" s="1" t="s">
        <v>366</v>
      </c>
      <c r="I41" s="1" t="s">
        <v>47</v>
      </c>
      <c r="J41" s="1" t="s">
        <v>392</v>
      </c>
      <c r="K41" s="1" t="s">
        <v>393</v>
      </c>
      <c r="L41" s="1" t="s">
        <v>346</v>
      </c>
      <c r="M41" s="1" t="s">
        <v>358</v>
      </c>
    </row>
    <row r="42" customFormat="false" ht="15" hidden="false" customHeight="false" outlineLevel="0" collapsed="false">
      <c r="A42" s="1" t="s">
        <v>394</v>
      </c>
      <c r="B42" s="1" t="s">
        <v>395</v>
      </c>
      <c r="C42" s="1" t="s">
        <v>187</v>
      </c>
      <c r="D42" s="1" t="s">
        <v>396</v>
      </c>
      <c r="E42" s="1" t="s">
        <v>372</v>
      </c>
      <c r="F42" s="1" t="s">
        <v>47</v>
      </c>
      <c r="G42" s="1" t="s">
        <v>397</v>
      </c>
      <c r="H42" s="1" t="s">
        <v>11</v>
      </c>
      <c r="I42" s="1" t="s">
        <v>47</v>
      </c>
      <c r="J42" s="1" t="s">
        <v>398</v>
      </c>
      <c r="K42" s="1" t="s">
        <v>399</v>
      </c>
      <c r="L42" s="1" t="s">
        <v>346</v>
      </c>
      <c r="M42" s="1" t="s">
        <v>358</v>
      </c>
    </row>
    <row r="43" customFormat="false" ht="15" hidden="false" customHeight="false" outlineLevel="0" collapsed="false">
      <c r="A43" s="1" t="s">
        <v>400</v>
      </c>
      <c r="B43" s="1" t="s">
        <v>401</v>
      </c>
      <c r="C43" s="1" t="s">
        <v>93</v>
      </c>
      <c r="D43" s="1" t="s">
        <v>402</v>
      </c>
      <c r="E43" s="1" t="s">
        <v>403</v>
      </c>
      <c r="F43" s="1" t="s">
        <v>47</v>
      </c>
      <c r="G43" s="1" t="s">
        <v>404</v>
      </c>
      <c r="H43" s="1" t="s">
        <v>9</v>
      </c>
      <c r="I43" s="1" t="s">
        <v>47</v>
      </c>
      <c r="J43" s="1" t="s">
        <v>405</v>
      </c>
      <c r="K43" s="1" t="s">
        <v>406</v>
      </c>
      <c r="L43" s="1" t="s">
        <v>346</v>
      </c>
      <c r="M43" s="1" t="s">
        <v>358</v>
      </c>
    </row>
    <row r="44" customFormat="false" ht="15" hidden="false" customHeight="false" outlineLevel="0" collapsed="false">
      <c r="A44" s="1" t="s">
        <v>407</v>
      </c>
      <c r="B44" s="1" t="s">
        <v>408</v>
      </c>
      <c r="C44" s="1" t="s">
        <v>93</v>
      </c>
      <c r="D44" s="1" t="s">
        <v>409</v>
      </c>
      <c r="E44" s="1" t="s">
        <v>95</v>
      </c>
      <c r="F44" s="1" t="s">
        <v>47</v>
      </c>
      <c r="G44" s="1" t="s">
        <v>410</v>
      </c>
      <c r="H44" s="1" t="s">
        <v>9</v>
      </c>
      <c r="I44" s="1" t="s">
        <v>47</v>
      </c>
      <c r="J44" s="1" t="s">
        <v>411</v>
      </c>
      <c r="K44" s="1" t="s">
        <v>412</v>
      </c>
      <c r="L44" s="1" t="s">
        <v>346</v>
      </c>
      <c r="M44" s="1" t="s">
        <v>358</v>
      </c>
    </row>
    <row r="45" customFormat="false" ht="15" hidden="false" customHeight="false" outlineLevel="0" collapsed="false">
      <c r="A45" s="1" t="s">
        <v>413</v>
      </c>
      <c r="B45" s="1" t="s">
        <v>414</v>
      </c>
      <c r="C45" s="1" t="s">
        <v>242</v>
      </c>
      <c r="D45" s="1" t="s">
        <v>415</v>
      </c>
      <c r="E45" s="1" t="s">
        <v>372</v>
      </c>
      <c r="F45" s="1" t="s">
        <v>47</v>
      </c>
      <c r="G45" s="1" t="s">
        <v>416</v>
      </c>
      <c r="H45" s="1" t="s">
        <v>11</v>
      </c>
      <c r="I45" s="1" t="s">
        <v>47</v>
      </c>
      <c r="J45" s="1" t="s">
        <v>417</v>
      </c>
      <c r="K45" s="1" t="s">
        <v>418</v>
      </c>
      <c r="L45" s="1" t="s">
        <v>346</v>
      </c>
      <c r="M45" s="1" t="s">
        <v>358</v>
      </c>
    </row>
    <row r="46" customFormat="false" ht="15" hidden="false" customHeight="false" outlineLevel="0" collapsed="false">
      <c r="A46" s="1" t="s">
        <v>419</v>
      </c>
      <c r="B46" s="1" t="s">
        <v>420</v>
      </c>
      <c r="C46" s="1" t="s">
        <v>226</v>
      </c>
      <c r="D46" s="1" t="s">
        <v>421</v>
      </c>
      <c r="E46" s="1" t="s">
        <v>422</v>
      </c>
      <c r="F46" s="1" t="s">
        <v>47</v>
      </c>
      <c r="G46" s="1" t="s">
        <v>423</v>
      </c>
      <c r="H46" s="1" t="s">
        <v>366</v>
      </c>
      <c r="I46" s="1" t="s">
        <v>47</v>
      </c>
      <c r="J46" s="1" t="s">
        <v>424</v>
      </c>
      <c r="K46" s="1" t="s">
        <v>425</v>
      </c>
      <c r="L46" s="1" t="s">
        <v>71</v>
      </c>
      <c r="M46" s="1" t="s">
        <v>426</v>
      </c>
    </row>
    <row r="47" customFormat="false" ht="15" hidden="false" customHeight="false" outlineLevel="0" collapsed="false">
      <c r="A47" s="1" t="s">
        <v>427</v>
      </c>
      <c r="B47" s="1" t="s">
        <v>428</v>
      </c>
      <c r="C47" s="1" t="s">
        <v>242</v>
      </c>
      <c r="D47" s="1" t="s">
        <v>429</v>
      </c>
      <c r="E47" s="1" t="s">
        <v>372</v>
      </c>
      <c r="F47" s="1" t="s">
        <v>77</v>
      </c>
      <c r="G47" s="1" t="s">
        <v>430</v>
      </c>
      <c r="H47" s="1" t="s">
        <v>11</v>
      </c>
      <c r="I47" s="1" t="s">
        <v>46</v>
      </c>
      <c r="J47" s="1" t="s">
        <v>431</v>
      </c>
      <c r="K47" s="1" t="s">
        <v>432</v>
      </c>
      <c r="L47" s="1" t="s">
        <v>346</v>
      </c>
      <c r="M47" s="1" t="s">
        <v>358</v>
      </c>
      <c r="N47" s="1" t="s">
        <v>433</v>
      </c>
      <c r="O47" s="1" t="s">
        <v>434</v>
      </c>
      <c r="P47" s="1" t="s">
        <v>435</v>
      </c>
    </row>
    <row r="48" customFormat="false" ht="15" hidden="false" customHeight="false" outlineLevel="0" collapsed="false">
      <c r="A48" s="1" t="s">
        <v>436</v>
      </c>
      <c r="B48" s="1" t="s">
        <v>437</v>
      </c>
      <c r="C48" s="1" t="s">
        <v>242</v>
      </c>
      <c r="D48" s="1" t="s">
        <v>438</v>
      </c>
      <c r="E48" s="1" t="s">
        <v>382</v>
      </c>
      <c r="F48" s="1" t="s">
        <v>77</v>
      </c>
      <c r="G48" s="1" t="s">
        <v>439</v>
      </c>
      <c r="H48" s="1" t="s">
        <v>9</v>
      </c>
      <c r="I48" s="1" t="s">
        <v>46</v>
      </c>
      <c r="J48" s="1" t="s">
        <v>440</v>
      </c>
      <c r="K48" s="1" t="s">
        <v>441</v>
      </c>
      <c r="L48" s="1" t="s">
        <v>71</v>
      </c>
      <c r="M48" s="1" t="s">
        <v>442</v>
      </c>
      <c r="N48" s="1" t="s">
        <v>443</v>
      </c>
      <c r="O48" s="1" t="s">
        <v>444</v>
      </c>
      <c r="P48" s="1" t="s">
        <v>445</v>
      </c>
    </row>
    <row r="49" customFormat="false" ht="15" hidden="false" customHeight="false" outlineLevel="0" collapsed="false">
      <c r="A49" s="1" t="s">
        <v>446</v>
      </c>
      <c r="B49" s="1" t="s">
        <v>447</v>
      </c>
      <c r="C49" s="1" t="s">
        <v>242</v>
      </c>
      <c r="D49" s="1" t="s">
        <v>448</v>
      </c>
      <c r="E49" s="1" t="s">
        <v>95</v>
      </c>
      <c r="F49" s="1" t="s">
        <v>77</v>
      </c>
      <c r="G49" s="1" t="s">
        <v>449</v>
      </c>
      <c r="H49" s="1" t="s">
        <v>11</v>
      </c>
      <c r="I49" s="1" t="s">
        <v>46</v>
      </c>
      <c r="J49" s="1" t="s">
        <v>450</v>
      </c>
      <c r="K49" s="1" t="s">
        <v>451</v>
      </c>
      <c r="L49" s="1" t="s">
        <v>346</v>
      </c>
      <c r="M49" s="1" t="s">
        <v>358</v>
      </c>
      <c r="N49" s="1" t="s">
        <v>452</v>
      </c>
      <c r="O49" s="1" t="s">
        <v>453</v>
      </c>
      <c r="P49" s="1" t="s">
        <v>454</v>
      </c>
    </row>
    <row r="50" customFormat="false" ht="15" hidden="false" customHeight="false" outlineLevel="0" collapsed="false">
      <c r="A50" s="1" t="s">
        <v>455</v>
      </c>
      <c r="B50" s="1" t="s">
        <v>456</v>
      </c>
      <c r="C50" s="1" t="s">
        <v>242</v>
      </c>
      <c r="D50" s="1" t="s">
        <v>457</v>
      </c>
      <c r="E50" s="1" t="s">
        <v>372</v>
      </c>
      <c r="F50" s="1" t="s">
        <v>77</v>
      </c>
      <c r="G50" s="1" t="s">
        <v>430</v>
      </c>
      <c r="H50" s="1" t="s">
        <v>11</v>
      </c>
      <c r="I50" s="1" t="s">
        <v>46</v>
      </c>
      <c r="J50" s="1" t="s">
        <v>458</v>
      </c>
      <c r="K50" s="1" t="s">
        <v>459</v>
      </c>
      <c r="L50" s="1" t="s">
        <v>346</v>
      </c>
      <c r="M50" s="1" t="s">
        <v>358</v>
      </c>
      <c r="N50" s="1" t="s">
        <v>460</v>
      </c>
      <c r="O50" s="1" t="s">
        <v>461</v>
      </c>
      <c r="P50" s="1" t="s">
        <v>462</v>
      </c>
    </row>
    <row r="51" customFormat="false" ht="15" hidden="false" customHeight="false" outlineLevel="0" collapsed="false">
      <c r="A51" s="1" t="s">
        <v>463</v>
      </c>
      <c r="B51" s="1" t="s">
        <v>464</v>
      </c>
      <c r="C51" s="1" t="s">
        <v>242</v>
      </c>
      <c r="D51" s="1" t="s">
        <v>465</v>
      </c>
      <c r="E51" s="1" t="s">
        <v>321</v>
      </c>
      <c r="F51" s="1" t="s">
        <v>77</v>
      </c>
      <c r="G51" s="1" t="s">
        <v>466</v>
      </c>
      <c r="H51" s="1" t="s">
        <v>9</v>
      </c>
      <c r="I51" s="1" t="s">
        <v>46</v>
      </c>
      <c r="J51" s="1" t="s">
        <v>467</v>
      </c>
      <c r="K51" s="1" t="s">
        <v>468</v>
      </c>
      <c r="L51" s="1" t="s">
        <v>71</v>
      </c>
      <c r="M51" s="1" t="s">
        <v>469</v>
      </c>
      <c r="N51" s="1" t="s">
        <v>470</v>
      </c>
      <c r="O51" s="1" t="s">
        <v>471</v>
      </c>
      <c r="P51" s="1" t="s">
        <v>472</v>
      </c>
    </row>
    <row r="52" customFormat="false" ht="15" hidden="false" customHeight="false" outlineLevel="0" collapsed="false">
      <c r="A52" s="1" t="s">
        <v>473</v>
      </c>
      <c r="B52" s="1" t="s">
        <v>474</v>
      </c>
      <c r="C52" s="1" t="s">
        <v>242</v>
      </c>
      <c r="D52" s="1" t="s">
        <v>475</v>
      </c>
      <c r="E52" s="1" t="s">
        <v>382</v>
      </c>
      <c r="F52" s="1" t="s">
        <v>77</v>
      </c>
      <c r="G52" s="1" t="s">
        <v>430</v>
      </c>
      <c r="H52" s="1" t="s">
        <v>11</v>
      </c>
      <c r="I52" s="1" t="s">
        <v>46</v>
      </c>
      <c r="J52" s="1" t="s">
        <v>476</v>
      </c>
      <c r="K52" s="1" t="s">
        <v>477</v>
      </c>
      <c r="L52" s="1" t="s">
        <v>346</v>
      </c>
      <c r="M52" s="1" t="s">
        <v>375</v>
      </c>
    </row>
    <row r="53" customFormat="false" ht="15" hidden="false" customHeight="false" outlineLevel="0" collapsed="false">
      <c r="A53" s="1" t="s">
        <v>478</v>
      </c>
      <c r="B53" s="1" t="s">
        <v>479</v>
      </c>
      <c r="C53" s="1" t="s">
        <v>187</v>
      </c>
      <c r="D53" s="1" t="s">
        <v>480</v>
      </c>
      <c r="E53" s="1" t="s">
        <v>481</v>
      </c>
      <c r="F53" s="1" t="s">
        <v>77</v>
      </c>
      <c r="G53" s="1" t="s">
        <v>482</v>
      </c>
      <c r="H53" s="1" t="s">
        <v>11</v>
      </c>
      <c r="I53" s="1" t="s">
        <v>46</v>
      </c>
      <c r="J53" s="1" t="s">
        <v>483</v>
      </c>
      <c r="K53" s="1" t="s">
        <v>484</v>
      </c>
      <c r="L53" s="1" t="s">
        <v>71</v>
      </c>
      <c r="M53" s="1" t="s">
        <v>442</v>
      </c>
      <c r="N53" s="1" t="s">
        <v>485</v>
      </c>
      <c r="O53" s="1" t="s">
        <v>486</v>
      </c>
      <c r="P53" s="1" t="s">
        <v>487</v>
      </c>
    </row>
    <row r="54" customFormat="false" ht="15" hidden="false" customHeight="false" outlineLevel="0" collapsed="false">
      <c r="A54" s="1" t="s">
        <v>488</v>
      </c>
      <c r="B54" s="1" t="s">
        <v>489</v>
      </c>
      <c r="C54" s="1" t="s">
        <v>187</v>
      </c>
      <c r="D54" s="1" t="s">
        <v>490</v>
      </c>
      <c r="E54" s="1" t="s">
        <v>372</v>
      </c>
      <c r="F54" s="1" t="s">
        <v>77</v>
      </c>
      <c r="G54" s="1" t="s">
        <v>491</v>
      </c>
      <c r="H54" s="1" t="s">
        <v>11</v>
      </c>
      <c r="I54" s="1" t="s">
        <v>46</v>
      </c>
      <c r="J54" s="1" t="s">
        <v>492</v>
      </c>
      <c r="K54" s="1" t="s">
        <v>493</v>
      </c>
      <c r="L54" s="1" t="s">
        <v>71</v>
      </c>
      <c r="M54" s="1" t="s">
        <v>442</v>
      </c>
      <c r="N54" s="1" t="s">
        <v>494</v>
      </c>
      <c r="O54" s="1" t="s">
        <v>495</v>
      </c>
      <c r="P54" s="1" t="s">
        <v>496</v>
      </c>
    </row>
    <row r="55" customFormat="false" ht="15" hidden="false" customHeight="false" outlineLevel="0" collapsed="false">
      <c r="A55" s="1" t="s">
        <v>497</v>
      </c>
      <c r="B55" s="1" t="s">
        <v>498</v>
      </c>
      <c r="C55" s="1" t="s">
        <v>242</v>
      </c>
      <c r="D55" s="1" t="s">
        <v>499</v>
      </c>
      <c r="E55" s="1" t="s">
        <v>95</v>
      </c>
      <c r="F55" s="1" t="s">
        <v>77</v>
      </c>
      <c r="G55" s="1" t="s">
        <v>482</v>
      </c>
      <c r="H55" s="1" t="s">
        <v>11</v>
      </c>
      <c r="I55" s="1" t="s">
        <v>46</v>
      </c>
      <c r="J55" s="1" t="s">
        <v>500</v>
      </c>
      <c r="K55" s="1" t="s">
        <v>501</v>
      </c>
      <c r="L55" s="1" t="s">
        <v>71</v>
      </c>
      <c r="M55" s="1" t="s">
        <v>442</v>
      </c>
      <c r="N55" s="1" t="s">
        <v>502</v>
      </c>
      <c r="O55" s="1" t="s">
        <v>503</v>
      </c>
      <c r="P55" s="1" t="s">
        <v>504</v>
      </c>
    </row>
    <row r="56" customFormat="false" ht="15" hidden="false" customHeight="false" outlineLevel="0" collapsed="false">
      <c r="A56" s="1" t="s">
        <v>505</v>
      </c>
      <c r="B56" s="1" t="s">
        <v>506</v>
      </c>
      <c r="C56" s="1" t="s">
        <v>125</v>
      </c>
      <c r="D56" s="1" t="s">
        <v>507</v>
      </c>
      <c r="E56" s="1" t="s">
        <v>95</v>
      </c>
      <c r="F56" s="1" t="s">
        <v>77</v>
      </c>
      <c r="G56" s="1" t="s">
        <v>508</v>
      </c>
      <c r="H56" s="1" t="s">
        <v>11</v>
      </c>
      <c r="I56" s="1" t="s">
        <v>46</v>
      </c>
      <c r="J56" s="1" t="s">
        <v>509</v>
      </c>
      <c r="K56" s="1" t="s">
        <v>510</v>
      </c>
      <c r="L56" s="1" t="s">
        <v>346</v>
      </c>
      <c r="M56" s="1" t="s">
        <v>375</v>
      </c>
      <c r="N56" s="1" t="s">
        <v>511</v>
      </c>
      <c r="O56" s="1" t="s">
        <v>512</v>
      </c>
      <c r="P56" s="1" t="s">
        <v>513</v>
      </c>
    </row>
    <row r="57" customFormat="false" ht="15" hidden="false" customHeight="false" outlineLevel="0" collapsed="false">
      <c r="A57" s="1" t="s">
        <v>514</v>
      </c>
      <c r="B57" s="1" t="s">
        <v>515</v>
      </c>
      <c r="C57" s="1" t="s">
        <v>242</v>
      </c>
      <c r="D57" s="1" t="s">
        <v>516</v>
      </c>
      <c r="E57" s="1" t="s">
        <v>95</v>
      </c>
      <c r="F57" s="1" t="s">
        <v>47</v>
      </c>
      <c r="G57" s="1" t="s">
        <v>47</v>
      </c>
      <c r="H57" s="1" t="s">
        <v>356</v>
      </c>
      <c r="I57" s="1" t="s">
        <v>47</v>
      </c>
      <c r="J57" s="1" t="s">
        <v>47</v>
      </c>
      <c r="K57" s="1" t="s">
        <v>517</v>
      </c>
      <c r="L57" s="1" t="s">
        <v>346</v>
      </c>
      <c r="M57" s="1" t="s">
        <v>358</v>
      </c>
      <c r="N57" s="1" t="s">
        <v>518</v>
      </c>
      <c r="O57" s="1" t="s">
        <v>519</v>
      </c>
      <c r="P57" s="1" t="s">
        <v>520</v>
      </c>
    </row>
    <row r="58" customFormat="false" ht="15" hidden="false" customHeight="false" outlineLevel="0" collapsed="false">
      <c r="A58" s="1" t="s">
        <v>521</v>
      </c>
      <c r="B58" s="1" t="s">
        <v>522</v>
      </c>
      <c r="C58" s="1" t="s">
        <v>242</v>
      </c>
      <c r="D58" s="1" t="s">
        <v>523</v>
      </c>
      <c r="E58" s="1" t="s">
        <v>95</v>
      </c>
      <c r="F58" s="1" t="s">
        <v>47</v>
      </c>
      <c r="G58" s="1" t="s">
        <v>524</v>
      </c>
      <c r="H58" s="1" t="s">
        <v>356</v>
      </c>
      <c r="I58" s="1" t="s">
        <v>47</v>
      </c>
      <c r="J58" s="1" t="s">
        <v>525</v>
      </c>
      <c r="K58" s="1" t="s">
        <v>526</v>
      </c>
      <c r="L58" s="1" t="s">
        <v>346</v>
      </c>
      <c r="M58" s="1" t="s">
        <v>358</v>
      </c>
      <c r="N58" s="1" t="s">
        <v>527</v>
      </c>
      <c r="O58" s="1" t="s">
        <v>528</v>
      </c>
      <c r="P58" s="1" t="s">
        <v>529</v>
      </c>
    </row>
    <row r="59" customFormat="false" ht="15" hidden="false" customHeight="false" outlineLevel="0" collapsed="false">
      <c r="A59" s="1" t="s">
        <v>530</v>
      </c>
      <c r="B59" s="1" t="s">
        <v>531</v>
      </c>
      <c r="C59" s="1" t="s">
        <v>93</v>
      </c>
      <c r="D59" s="1" t="s">
        <v>532</v>
      </c>
      <c r="E59" s="1" t="s">
        <v>533</v>
      </c>
      <c r="F59" s="1" t="s">
        <v>47</v>
      </c>
      <c r="G59" s="1" t="s">
        <v>534</v>
      </c>
      <c r="H59" s="1" t="s">
        <v>356</v>
      </c>
      <c r="I59" s="1" t="s">
        <v>47</v>
      </c>
      <c r="J59" s="1" t="s">
        <v>535</v>
      </c>
      <c r="K59" s="1" t="s">
        <v>536</v>
      </c>
      <c r="L59" s="1" t="s">
        <v>346</v>
      </c>
      <c r="M59" s="1" t="s">
        <v>358</v>
      </c>
      <c r="N59" s="1" t="s">
        <v>537</v>
      </c>
      <c r="O59" s="1" t="s">
        <v>102</v>
      </c>
      <c r="P59" s="1" t="s">
        <v>538</v>
      </c>
    </row>
    <row r="60" customFormat="false" ht="15" hidden="false" customHeight="false" outlineLevel="0" collapsed="false">
      <c r="A60" s="1" t="s">
        <v>539</v>
      </c>
      <c r="B60" s="1" t="s">
        <v>540</v>
      </c>
      <c r="C60" s="1" t="s">
        <v>242</v>
      </c>
      <c r="D60" s="1" t="s">
        <v>541</v>
      </c>
      <c r="E60" s="1" t="s">
        <v>382</v>
      </c>
      <c r="F60" s="1" t="s">
        <v>47</v>
      </c>
      <c r="G60" s="1" t="s">
        <v>542</v>
      </c>
      <c r="H60" s="1" t="s">
        <v>356</v>
      </c>
      <c r="I60" s="1" t="s">
        <v>47</v>
      </c>
      <c r="J60" s="1" t="s">
        <v>47</v>
      </c>
      <c r="K60" s="1" t="s">
        <v>543</v>
      </c>
      <c r="L60" s="1" t="s">
        <v>346</v>
      </c>
      <c r="M60" s="1" t="s">
        <v>358</v>
      </c>
    </row>
    <row r="61" customFormat="false" ht="15" hidden="false" customHeight="false" outlineLevel="0" collapsed="false">
      <c r="A61" s="1" t="s">
        <v>544</v>
      </c>
      <c r="B61" s="1" t="s">
        <v>545</v>
      </c>
      <c r="C61" s="1" t="s">
        <v>242</v>
      </c>
      <c r="D61" s="1" t="s">
        <v>546</v>
      </c>
      <c r="E61" s="1" t="s">
        <v>95</v>
      </c>
      <c r="F61" s="1" t="s">
        <v>47</v>
      </c>
      <c r="G61" s="1" t="s">
        <v>47</v>
      </c>
      <c r="H61" s="1" t="s">
        <v>356</v>
      </c>
      <c r="I61" s="1" t="s">
        <v>47</v>
      </c>
      <c r="J61" s="1" t="s">
        <v>47</v>
      </c>
      <c r="K61" s="1" t="s">
        <v>547</v>
      </c>
      <c r="L61" s="1" t="s">
        <v>346</v>
      </c>
      <c r="M61" s="1" t="s">
        <v>358</v>
      </c>
      <c r="N61" s="1" t="s">
        <v>548</v>
      </c>
      <c r="O61" s="1" t="s">
        <v>549</v>
      </c>
      <c r="P61" s="1" t="s">
        <v>550</v>
      </c>
    </row>
    <row r="62" customFormat="false" ht="15" hidden="false" customHeight="false" outlineLevel="0" collapsed="false">
      <c r="A62" s="1" t="s">
        <v>551</v>
      </c>
      <c r="B62" s="1" t="s">
        <v>552</v>
      </c>
      <c r="C62" s="1" t="s">
        <v>242</v>
      </c>
      <c r="D62" s="1" t="s">
        <v>553</v>
      </c>
      <c r="E62" s="1" t="s">
        <v>95</v>
      </c>
      <c r="F62" s="1" t="s">
        <v>47</v>
      </c>
      <c r="G62" s="1" t="s">
        <v>47</v>
      </c>
      <c r="H62" s="1" t="s">
        <v>356</v>
      </c>
      <c r="I62" s="1" t="s">
        <v>47</v>
      </c>
      <c r="J62" s="1" t="s">
        <v>554</v>
      </c>
      <c r="K62" s="1" t="s">
        <v>555</v>
      </c>
      <c r="L62" s="1" t="s">
        <v>346</v>
      </c>
      <c r="M62" s="1" t="s">
        <v>358</v>
      </c>
      <c r="N62" s="1" t="s">
        <v>556</v>
      </c>
      <c r="O62" s="1" t="s">
        <v>557</v>
      </c>
      <c r="P62" s="1" t="s">
        <v>558</v>
      </c>
    </row>
    <row r="63" customFormat="false" ht="15" hidden="false" customHeight="false" outlineLevel="0" collapsed="false">
      <c r="A63" s="1" t="s">
        <v>559</v>
      </c>
      <c r="B63" s="1" t="s">
        <v>560</v>
      </c>
      <c r="C63" s="1" t="s">
        <v>242</v>
      </c>
      <c r="D63" s="1" t="s">
        <v>561</v>
      </c>
      <c r="E63" s="1" t="s">
        <v>95</v>
      </c>
      <c r="F63" s="1" t="s">
        <v>47</v>
      </c>
      <c r="G63" s="1" t="s">
        <v>47</v>
      </c>
      <c r="H63" s="1" t="s">
        <v>356</v>
      </c>
      <c r="I63" s="1" t="s">
        <v>47</v>
      </c>
      <c r="J63" s="1" t="s">
        <v>47</v>
      </c>
      <c r="K63" s="1" t="s">
        <v>562</v>
      </c>
      <c r="L63" s="1" t="s">
        <v>346</v>
      </c>
      <c r="M63" s="1" t="s">
        <v>358</v>
      </c>
      <c r="N63" s="1" t="s">
        <v>563</v>
      </c>
      <c r="O63" s="1" t="s">
        <v>564</v>
      </c>
      <c r="P63" s="1" t="s">
        <v>565</v>
      </c>
    </row>
    <row r="64" customFormat="false" ht="15" hidden="false" customHeight="false" outlineLevel="0" collapsed="false">
      <c r="A64" s="1" t="s">
        <v>566</v>
      </c>
      <c r="B64" s="1" t="s">
        <v>567</v>
      </c>
      <c r="C64" s="1" t="s">
        <v>187</v>
      </c>
      <c r="D64" s="1" t="s">
        <v>568</v>
      </c>
      <c r="E64" s="1" t="s">
        <v>95</v>
      </c>
      <c r="F64" s="1" t="s">
        <v>47</v>
      </c>
      <c r="G64" s="1" t="s">
        <v>569</v>
      </c>
      <c r="H64" s="1" t="s">
        <v>9</v>
      </c>
      <c r="I64" s="1" t="s">
        <v>47</v>
      </c>
      <c r="J64" s="1" t="s">
        <v>60</v>
      </c>
      <c r="K64" s="1" t="s">
        <v>570</v>
      </c>
      <c r="L64" s="1" t="s">
        <v>346</v>
      </c>
      <c r="M64" s="1" t="s">
        <v>375</v>
      </c>
      <c r="N64" s="1" t="s">
        <v>571</v>
      </c>
      <c r="O64" s="1" t="s">
        <v>572</v>
      </c>
      <c r="P64" s="1" t="s">
        <v>573</v>
      </c>
    </row>
    <row r="65" customFormat="false" ht="15" hidden="false" customHeight="false" outlineLevel="0" collapsed="false">
      <c r="A65" s="1" t="s">
        <v>574</v>
      </c>
      <c r="B65" s="1" t="s">
        <v>575</v>
      </c>
      <c r="C65" s="1" t="s">
        <v>242</v>
      </c>
      <c r="D65" s="1" t="s">
        <v>576</v>
      </c>
      <c r="E65" s="1" t="s">
        <v>95</v>
      </c>
      <c r="F65" s="1" t="s">
        <v>47</v>
      </c>
      <c r="G65" s="1" t="s">
        <v>577</v>
      </c>
      <c r="H65" s="1" t="s">
        <v>356</v>
      </c>
      <c r="I65" s="1" t="s">
        <v>47</v>
      </c>
      <c r="J65" s="1" t="s">
        <v>578</v>
      </c>
      <c r="K65" s="1" t="s">
        <v>579</v>
      </c>
      <c r="L65" s="1" t="s">
        <v>346</v>
      </c>
      <c r="M65" s="1" t="s">
        <v>358</v>
      </c>
    </row>
    <row r="66" customFormat="false" ht="15" hidden="false" customHeight="false" outlineLevel="0" collapsed="false">
      <c r="A66" s="1" t="s">
        <v>580</v>
      </c>
      <c r="B66" s="1" t="s">
        <v>581</v>
      </c>
      <c r="C66" s="1" t="s">
        <v>125</v>
      </c>
      <c r="D66" s="1" t="s">
        <v>582</v>
      </c>
      <c r="E66" s="1" t="s">
        <v>382</v>
      </c>
      <c r="F66" s="1" t="s">
        <v>583</v>
      </c>
      <c r="G66" s="1" t="s">
        <v>584</v>
      </c>
      <c r="H66" s="1" t="s">
        <v>9</v>
      </c>
      <c r="I66" s="1" t="s">
        <v>585</v>
      </c>
      <c r="J66" s="1" t="s">
        <v>586</v>
      </c>
      <c r="K66" s="1" t="s">
        <v>587</v>
      </c>
      <c r="L66" s="1" t="s">
        <v>346</v>
      </c>
      <c r="M66" s="1" t="s">
        <v>358</v>
      </c>
    </row>
    <row r="67" customFormat="false" ht="15" hidden="false" customHeight="false" outlineLevel="0" collapsed="false">
      <c r="A67" s="1" t="s">
        <v>588</v>
      </c>
      <c r="B67" s="1" t="s">
        <v>589</v>
      </c>
      <c r="C67" s="1" t="s">
        <v>125</v>
      </c>
      <c r="D67" s="1" t="s">
        <v>590</v>
      </c>
      <c r="E67" s="1" t="s">
        <v>591</v>
      </c>
      <c r="F67" s="1" t="s">
        <v>58</v>
      </c>
      <c r="G67" s="1" t="s">
        <v>592</v>
      </c>
      <c r="H67" s="1" t="s">
        <v>5</v>
      </c>
      <c r="I67" s="1" t="s">
        <v>593</v>
      </c>
      <c r="J67" s="1" t="s">
        <v>47</v>
      </c>
      <c r="K67" s="1" t="s">
        <v>594</v>
      </c>
      <c r="L67" s="1" t="s">
        <v>346</v>
      </c>
      <c r="M67" s="1" t="s">
        <v>358</v>
      </c>
    </row>
    <row r="69" customFormat="false" ht="15" hidden="false" customHeight="false" outlineLevel="0" collapsed="false">
      <c r="A69" s="1" t="s">
        <v>595</v>
      </c>
      <c r="B69" s="1" t="s">
        <v>596</v>
      </c>
      <c r="C69" s="1" t="s">
        <v>125</v>
      </c>
      <c r="D69" s="1" t="s">
        <v>597</v>
      </c>
      <c r="E69" s="1" t="s">
        <v>382</v>
      </c>
      <c r="F69" s="1" t="s">
        <v>58</v>
      </c>
      <c r="G69" s="1" t="s">
        <v>598</v>
      </c>
      <c r="H69" s="1" t="s">
        <v>5</v>
      </c>
      <c r="I69" s="1" t="s">
        <v>599</v>
      </c>
      <c r="J69" s="1" t="s">
        <v>600</v>
      </c>
      <c r="K69" s="1" t="s">
        <v>601</v>
      </c>
      <c r="L69" s="1" t="s">
        <v>346</v>
      </c>
      <c r="M69" s="1" t="s">
        <v>358</v>
      </c>
    </row>
    <row r="70" customFormat="false" ht="15" hidden="false" customHeight="false" outlineLevel="0" collapsed="false">
      <c r="A70" s="1" t="s">
        <v>602</v>
      </c>
      <c r="B70" s="1" t="s">
        <v>603</v>
      </c>
      <c r="C70" s="1" t="s">
        <v>125</v>
      </c>
      <c r="D70" s="1" t="s">
        <v>604</v>
      </c>
      <c r="E70" s="1" t="s">
        <v>382</v>
      </c>
      <c r="F70" s="1" t="s">
        <v>47</v>
      </c>
      <c r="G70" s="1" t="s">
        <v>605</v>
      </c>
      <c r="H70" s="1" t="s">
        <v>9</v>
      </c>
      <c r="I70" s="1" t="s">
        <v>606</v>
      </c>
      <c r="J70" s="1" t="s">
        <v>607</v>
      </c>
      <c r="K70" s="1" t="s">
        <v>608</v>
      </c>
      <c r="L70" s="1" t="s">
        <v>346</v>
      </c>
      <c r="M70" s="1" t="s">
        <v>375</v>
      </c>
    </row>
    <row r="71" customFormat="false" ht="15" hidden="false" customHeight="false" outlineLevel="0" collapsed="false">
      <c r="A71" s="1" t="s">
        <v>609</v>
      </c>
      <c r="B71" s="1" t="s">
        <v>610</v>
      </c>
      <c r="C71" s="1" t="s">
        <v>125</v>
      </c>
      <c r="D71" s="1" t="s">
        <v>611</v>
      </c>
      <c r="E71" s="1" t="s">
        <v>612</v>
      </c>
      <c r="F71" s="1" t="s">
        <v>77</v>
      </c>
      <c r="G71" s="1" t="s">
        <v>613</v>
      </c>
      <c r="H71" s="1" t="s">
        <v>9</v>
      </c>
      <c r="I71" s="1" t="s">
        <v>46</v>
      </c>
      <c r="J71" s="1" t="s">
        <v>614</v>
      </c>
      <c r="K71" s="1" t="s">
        <v>615</v>
      </c>
      <c r="L71" s="1" t="s">
        <v>346</v>
      </c>
      <c r="M71" s="1" t="s">
        <v>358</v>
      </c>
    </row>
    <row r="72" customFormat="false" ht="15" hidden="false" customHeight="false" outlineLevel="0" collapsed="false">
      <c r="A72" s="1" t="s">
        <v>616</v>
      </c>
      <c r="B72" s="1" t="s">
        <v>617</v>
      </c>
      <c r="C72" s="1" t="s">
        <v>187</v>
      </c>
      <c r="D72" s="1" t="s">
        <v>618</v>
      </c>
      <c r="E72" s="1" t="s">
        <v>619</v>
      </c>
      <c r="F72" s="1" t="s">
        <v>77</v>
      </c>
      <c r="G72" s="1" t="s">
        <v>620</v>
      </c>
      <c r="H72" s="1" t="s">
        <v>11</v>
      </c>
      <c r="I72" s="1" t="s">
        <v>46</v>
      </c>
      <c r="J72" s="1" t="s">
        <v>621</v>
      </c>
      <c r="K72" s="1" t="s">
        <v>622</v>
      </c>
      <c r="L72" s="1" t="s">
        <v>346</v>
      </c>
      <c r="M72" s="1" t="s">
        <v>358</v>
      </c>
    </row>
    <row r="73" customFormat="false" ht="15" hidden="false" customHeight="false" outlineLevel="0" collapsed="false">
      <c r="A73" s="1" t="s">
        <v>623</v>
      </c>
      <c r="B73" s="1" t="s">
        <v>624</v>
      </c>
      <c r="C73" s="1" t="s">
        <v>125</v>
      </c>
      <c r="D73" s="1" t="s">
        <v>625</v>
      </c>
      <c r="E73" s="1" t="s">
        <v>626</v>
      </c>
      <c r="F73" s="1" t="s">
        <v>47</v>
      </c>
      <c r="G73" s="1" t="s">
        <v>627</v>
      </c>
      <c r="H73" s="1" t="s">
        <v>9</v>
      </c>
      <c r="I73" s="1" t="s">
        <v>47</v>
      </c>
      <c r="J73" s="1" t="s">
        <v>628</v>
      </c>
      <c r="K73" s="1" t="s">
        <v>629</v>
      </c>
      <c r="L73" s="1" t="s">
        <v>346</v>
      </c>
      <c r="M73" s="1" t="s">
        <v>358</v>
      </c>
    </row>
    <row r="74" customFormat="false" ht="15" hidden="false" customHeight="false" outlineLevel="0" collapsed="false">
      <c r="A74" s="1" t="s">
        <v>630</v>
      </c>
      <c r="B74" s="1" t="s">
        <v>631</v>
      </c>
      <c r="C74" s="1" t="s">
        <v>93</v>
      </c>
      <c r="D74" s="1" t="s">
        <v>632</v>
      </c>
      <c r="E74" s="1" t="s">
        <v>372</v>
      </c>
      <c r="F74" s="1" t="s">
        <v>47</v>
      </c>
      <c r="G74" s="1" t="s">
        <v>633</v>
      </c>
      <c r="H74" s="1" t="s">
        <v>9</v>
      </c>
      <c r="I74" s="1" t="s">
        <v>47</v>
      </c>
      <c r="J74" s="1" t="s">
        <v>634</v>
      </c>
      <c r="K74" s="1" t="s">
        <v>635</v>
      </c>
      <c r="L74" s="1" t="s">
        <v>346</v>
      </c>
      <c r="M74" s="1" t="s">
        <v>358</v>
      </c>
    </row>
    <row r="75" customFormat="false" ht="15" hidden="false" customHeight="false" outlineLevel="0" collapsed="false">
      <c r="A75" s="1" t="s">
        <v>636</v>
      </c>
      <c r="B75" s="1" t="s">
        <v>637</v>
      </c>
      <c r="C75" s="1" t="s">
        <v>93</v>
      </c>
      <c r="D75" s="1" t="s">
        <v>638</v>
      </c>
      <c r="E75" s="1" t="s">
        <v>403</v>
      </c>
      <c r="F75" s="1" t="s">
        <v>47</v>
      </c>
      <c r="G75" s="1" t="s">
        <v>639</v>
      </c>
      <c r="H75" s="1" t="s">
        <v>9</v>
      </c>
      <c r="I75" s="1" t="s">
        <v>47</v>
      </c>
      <c r="J75" s="1" t="s">
        <v>640</v>
      </c>
      <c r="K75" s="1" t="s">
        <v>641</v>
      </c>
      <c r="L75" s="1" t="s">
        <v>346</v>
      </c>
      <c r="M75" s="1" t="s">
        <v>358</v>
      </c>
    </row>
    <row r="76" customFormat="false" ht="15" hidden="false" customHeight="false" outlineLevel="0" collapsed="false">
      <c r="A76" s="1" t="s">
        <v>642</v>
      </c>
      <c r="B76" s="1" t="s">
        <v>643</v>
      </c>
      <c r="C76" s="1" t="s">
        <v>41</v>
      </c>
      <c r="D76" s="1" t="s">
        <v>644</v>
      </c>
      <c r="E76" s="1" t="s">
        <v>645</v>
      </c>
      <c r="F76" s="1" t="s">
        <v>47</v>
      </c>
      <c r="G76" s="1" t="s">
        <v>646</v>
      </c>
      <c r="H76" s="1" t="s">
        <v>11</v>
      </c>
      <c r="I76" s="1" t="s">
        <v>47</v>
      </c>
      <c r="J76" s="1" t="s">
        <v>647</v>
      </c>
      <c r="K76" s="1" t="s">
        <v>648</v>
      </c>
      <c r="L76" s="1" t="s">
        <v>346</v>
      </c>
      <c r="M76" s="1" t="s">
        <v>358</v>
      </c>
    </row>
    <row r="77" customFormat="false" ht="15" hidden="false" customHeight="false" outlineLevel="0" collapsed="false">
      <c r="A77" s="1" t="s">
        <v>649</v>
      </c>
      <c r="B77" s="1" t="s">
        <v>650</v>
      </c>
      <c r="C77" s="1" t="s">
        <v>125</v>
      </c>
      <c r="D77" s="1" t="s">
        <v>651</v>
      </c>
      <c r="E77" s="1" t="s">
        <v>95</v>
      </c>
      <c r="F77" s="1" t="s">
        <v>47</v>
      </c>
      <c r="G77" s="1" t="s">
        <v>652</v>
      </c>
      <c r="H77" s="1" t="s">
        <v>11</v>
      </c>
      <c r="I77" s="1" t="s">
        <v>47</v>
      </c>
      <c r="J77" s="1" t="s">
        <v>653</v>
      </c>
      <c r="K77" s="1" t="s">
        <v>654</v>
      </c>
      <c r="L77" s="1" t="s">
        <v>346</v>
      </c>
      <c r="M77" s="1" t="s">
        <v>358</v>
      </c>
    </row>
    <row r="78" customFormat="false" ht="15" hidden="false" customHeight="false" outlineLevel="0" collapsed="false">
      <c r="A78" s="1" t="s">
        <v>655</v>
      </c>
      <c r="B78" s="1" t="s">
        <v>656</v>
      </c>
      <c r="C78" s="1" t="s">
        <v>242</v>
      </c>
      <c r="D78" s="1" t="s">
        <v>657</v>
      </c>
      <c r="E78" s="1" t="s">
        <v>47</v>
      </c>
      <c r="F78" s="1" t="s">
        <v>47</v>
      </c>
      <c r="G78" s="1" t="s">
        <v>658</v>
      </c>
      <c r="H78" s="1" t="s">
        <v>11</v>
      </c>
      <c r="I78" s="1" t="s">
        <v>47</v>
      </c>
      <c r="J78" s="1" t="s">
        <v>659</v>
      </c>
      <c r="K78" s="1" t="s">
        <v>660</v>
      </c>
      <c r="L78" s="1" t="s">
        <v>346</v>
      </c>
      <c r="M78" s="1" t="s">
        <v>358</v>
      </c>
    </row>
    <row r="79" customFormat="false" ht="15" hidden="false" customHeight="false" outlineLevel="0" collapsed="false">
      <c r="A79" s="1" t="s">
        <v>661</v>
      </c>
      <c r="B79" s="1" t="s">
        <v>662</v>
      </c>
      <c r="C79" s="1" t="s">
        <v>93</v>
      </c>
      <c r="D79" s="1" t="s">
        <v>663</v>
      </c>
      <c r="E79" s="1" t="s">
        <v>382</v>
      </c>
      <c r="F79" s="1" t="s">
        <v>47</v>
      </c>
      <c r="G79" s="1" t="s">
        <v>664</v>
      </c>
      <c r="H79" s="1" t="s">
        <v>9</v>
      </c>
      <c r="I79" s="1" t="s">
        <v>47</v>
      </c>
      <c r="J79" s="1" t="s">
        <v>665</v>
      </c>
      <c r="K79" s="1" t="s">
        <v>666</v>
      </c>
      <c r="L79" s="1" t="s">
        <v>346</v>
      </c>
      <c r="M79" s="1" t="s">
        <v>358</v>
      </c>
    </row>
    <row r="80" customFormat="false" ht="15" hidden="false" customHeight="false" outlineLevel="0" collapsed="false">
      <c r="A80" s="1" t="s">
        <v>667</v>
      </c>
      <c r="B80" s="1" t="s">
        <v>668</v>
      </c>
      <c r="C80" s="1" t="s">
        <v>187</v>
      </c>
      <c r="D80" s="1" t="s">
        <v>669</v>
      </c>
      <c r="E80" s="1" t="s">
        <v>372</v>
      </c>
      <c r="F80" s="1" t="s">
        <v>47</v>
      </c>
      <c r="G80" s="1" t="s">
        <v>670</v>
      </c>
      <c r="H80" s="1" t="s">
        <v>9</v>
      </c>
      <c r="I80" s="1" t="s">
        <v>47</v>
      </c>
      <c r="J80" s="1" t="s">
        <v>671</v>
      </c>
      <c r="K80" s="1" t="s">
        <v>672</v>
      </c>
      <c r="L80" s="1" t="s">
        <v>346</v>
      </c>
      <c r="M80" s="1" t="s">
        <v>358</v>
      </c>
    </row>
    <row r="81" customFormat="false" ht="15" hidden="false" customHeight="false" outlineLevel="0" collapsed="false">
      <c r="A81" s="1" t="s">
        <v>673</v>
      </c>
      <c r="B81" s="1" t="s">
        <v>674</v>
      </c>
      <c r="C81" s="1" t="s">
        <v>125</v>
      </c>
      <c r="D81" s="1" t="s">
        <v>675</v>
      </c>
      <c r="E81" s="1" t="s">
        <v>676</v>
      </c>
      <c r="F81" s="1" t="s">
        <v>47</v>
      </c>
      <c r="G81" s="1" t="s">
        <v>677</v>
      </c>
      <c r="H81" s="1" t="s">
        <v>9</v>
      </c>
      <c r="I81" s="1" t="s">
        <v>47</v>
      </c>
      <c r="J81" s="1" t="s">
        <v>678</v>
      </c>
      <c r="K81" s="1" t="s">
        <v>679</v>
      </c>
      <c r="L81" s="1" t="s">
        <v>346</v>
      </c>
      <c r="M81" s="1" t="s">
        <v>358</v>
      </c>
    </row>
    <row r="82" customFormat="false" ht="15" hidden="false" customHeight="false" outlineLevel="0" collapsed="false">
      <c r="A82" s="1" t="s">
        <v>680</v>
      </c>
      <c r="B82" s="1" t="s">
        <v>681</v>
      </c>
      <c r="C82" s="1" t="s">
        <v>125</v>
      </c>
      <c r="D82" s="1" t="s">
        <v>682</v>
      </c>
      <c r="E82" s="1" t="s">
        <v>683</v>
      </c>
      <c r="F82" s="1" t="s">
        <v>47</v>
      </c>
      <c r="G82" s="1" t="s">
        <v>684</v>
      </c>
      <c r="H82" s="1" t="s">
        <v>384</v>
      </c>
      <c r="I82" s="1" t="s">
        <v>47</v>
      </c>
      <c r="J82" s="1" t="s">
        <v>685</v>
      </c>
      <c r="K82" s="1" t="s">
        <v>686</v>
      </c>
      <c r="L82" s="1" t="s">
        <v>346</v>
      </c>
      <c r="M82" s="1" t="s">
        <v>358</v>
      </c>
    </row>
    <row r="83" customFormat="false" ht="15" hidden="false" customHeight="false" outlineLevel="0" collapsed="false">
      <c r="A83" s="1" t="s">
        <v>687</v>
      </c>
      <c r="B83" s="1" t="s">
        <v>688</v>
      </c>
      <c r="C83" s="1" t="s">
        <v>93</v>
      </c>
      <c r="D83" s="1" t="s">
        <v>689</v>
      </c>
      <c r="E83" s="1" t="s">
        <v>47</v>
      </c>
      <c r="F83" s="1" t="s">
        <v>47</v>
      </c>
      <c r="G83" s="1" t="s">
        <v>690</v>
      </c>
      <c r="H83" s="1" t="s">
        <v>11</v>
      </c>
      <c r="I83" s="1" t="s">
        <v>47</v>
      </c>
      <c r="J83" s="1" t="s">
        <v>691</v>
      </c>
      <c r="K83" s="1" t="s">
        <v>692</v>
      </c>
      <c r="L83" s="1" t="s">
        <v>346</v>
      </c>
      <c r="M83" s="1" t="s">
        <v>375</v>
      </c>
      <c r="N83" s="1" t="s">
        <v>693</v>
      </c>
      <c r="O83" s="1" t="s">
        <v>694</v>
      </c>
      <c r="P83" s="1" t="s">
        <v>695</v>
      </c>
    </row>
    <row r="84" customFormat="false" ht="15" hidden="false" customHeight="false" outlineLevel="0" collapsed="false">
      <c r="A84" s="1" t="s">
        <v>696</v>
      </c>
      <c r="B84" s="1" t="s">
        <v>697</v>
      </c>
      <c r="C84" s="1" t="s">
        <v>93</v>
      </c>
      <c r="D84" s="1" t="s">
        <v>698</v>
      </c>
      <c r="E84" s="1" t="s">
        <v>47</v>
      </c>
      <c r="F84" s="1" t="s">
        <v>47</v>
      </c>
      <c r="G84" s="1" t="s">
        <v>699</v>
      </c>
      <c r="H84" s="1" t="s">
        <v>11</v>
      </c>
      <c r="I84" s="1" t="s">
        <v>47</v>
      </c>
      <c r="J84" s="1" t="s">
        <v>700</v>
      </c>
      <c r="K84" s="1" t="s">
        <v>701</v>
      </c>
      <c r="L84" s="1" t="s">
        <v>346</v>
      </c>
      <c r="M84" s="1" t="s">
        <v>358</v>
      </c>
      <c r="N84" s="1" t="s">
        <v>702</v>
      </c>
      <c r="O84" s="1" t="s">
        <v>703</v>
      </c>
      <c r="P84" s="1" t="s">
        <v>704</v>
      </c>
    </row>
    <row r="85" customFormat="false" ht="15" hidden="false" customHeight="false" outlineLevel="0" collapsed="false">
      <c r="A85" s="1" t="s">
        <v>705</v>
      </c>
      <c r="B85" s="1" t="s">
        <v>706</v>
      </c>
      <c r="C85" s="1" t="s">
        <v>226</v>
      </c>
      <c r="D85" s="1" t="s">
        <v>707</v>
      </c>
      <c r="E85" s="1" t="s">
        <v>372</v>
      </c>
      <c r="F85" s="1" t="s">
        <v>47</v>
      </c>
      <c r="G85" s="1" t="s">
        <v>708</v>
      </c>
      <c r="H85" s="1" t="s">
        <v>366</v>
      </c>
      <c r="I85" s="1" t="s">
        <v>47</v>
      </c>
      <c r="J85" s="1" t="s">
        <v>709</v>
      </c>
      <c r="K85" s="1" t="s">
        <v>710</v>
      </c>
      <c r="L85" s="1" t="s">
        <v>346</v>
      </c>
      <c r="M85" s="1" t="s">
        <v>358</v>
      </c>
    </row>
    <row r="86" customFormat="false" ht="15" hidden="false" customHeight="false" outlineLevel="0" collapsed="false">
      <c r="A86" s="1" t="s">
        <v>711</v>
      </c>
      <c r="B86" s="1" t="s">
        <v>712</v>
      </c>
      <c r="C86" s="1" t="s">
        <v>226</v>
      </c>
      <c r="D86" s="1" t="s">
        <v>713</v>
      </c>
      <c r="E86" s="1" t="s">
        <v>714</v>
      </c>
      <c r="F86" s="1" t="s">
        <v>47</v>
      </c>
      <c r="G86" s="1" t="s">
        <v>715</v>
      </c>
      <c r="H86" s="1" t="s">
        <v>366</v>
      </c>
      <c r="I86" s="1" t="s">
        <v>47</v>
      </c>
      <c r="J86" s="1" t="s">
        <v>716</v>
      </c>
      <c r="K86" s="1" t="s">
        <v>717</v>
      </c>
      <c r="L86" s="1" t="s">
        <v>346</v>
      </c>
      <c r="M86" s="1" t="s">
        <v>358</v>
      </c>
    </row>
    <row r="87" customFormat="false" ht="15" hidden="false" customHeight="false" outlineLevel="0" collapsed="false">
      <c r="A87" s="1" t="s">
        <v>718</v>
      </c>
      <c r="B87" s="1" t="s">
        <v>719</v>
      </c>
      <c r="C87" s="1" t="s">
        <v>226</v>
      </c>
      <c r="D87" s="1" t="s">
        <v>720</v>
      </c>
      <c r="E87" s="1" t="s">
        <v>721</v>
      </c>
      <c r="F87" s="1" t="s">
        <v>47</v>
      </c>
      <c r="G87" s="1" t="s">
        <v>722</v>
      </c>
      <c r="H87" s="1" t="s">
        <v>366</v>
      </c>
      <c r="I87" s="1" t="s">
        <v>47</v>
      </c>
      <c r="J87" s="1" t="s">
        <v>723</v>
      </c>
      <c r="K87" s="1" t="s">
        <v>724</v>
      </c>
      <c r="L87" s="1" t="s">
        <v>346</v>
      </c>
      <c r="M87" s="1" t="s">
        <v>358</v>
      </c>
    </row>
    <row r="88" customFormat="false" ht="15" hidden="false" customHeight="false" outlineLevel="0" collapsed="false">
      <c r="A88" s="1" t="s">
        <v>725</v>
      </c>
      <c r="B88" s="1" t="s">
        <v>726</v>
      </c>
      <c r="C88" s="1" t="s">
        <v>226</v>
      </c>
      <c r="D88" s="1" t="s">
        <v>727</v>
      </c>
      <c r="E88" s="1" t="s">
        <v>728</v>
      </c>
      <c r="F88" s="1" t="s">
        <v>47</v>
      </c>
      <c r="G88" s="1" t="s">
        <v>729</v>
      </c>
      <c r="H88" s="1" t="s">
        <v>366</v>
      </c>
      <c r="I88" s="1" t="s">
        <v>47</v>
      </c>
      <c r="J88" s="1" t="s">
        <v>730</v>
      </c>
      <c r="K88" s="1" t="s">
        <v>731</v>
      </c>
      <c r="L88" s="1" t="s">
        <v>346</v>
      </c>
      <c r="M88" s="1" t="s">
        <v>358</v>
      </c>
    </row>
    <row r="89" customFormat="false" ht="15" hidden="false" customHeight="false" outlineLevel="0" collapsed="false">
      <c r="A89" s="1" t="s">
        <v>732</v>
      </c>
      <c r="B89" s="1" t="s">
        <v>733</v>
      </c>
      <c r="C89" s="1" t="s">
        <v>41</v>
      </c>
      <c r="D89" s="1" t="s">
        <v>734</v>
      </c>
      <c r="E89" s="1" t="s">
        <v>645</v>
      </c>
      <c r="F89" s="1" t="s">
        <v>47</v>
      </c>
      <c r="G89" s="1" t="s">
        <v>735</v>
      </c>
      <c r="H89" s="1" t="s">
        <v>366</v>
      </c>
      <c r="I89" s="1" t="s">
        <v>47</v>
      </c>
      <c r="J89" s="1" t="s">
        <v>736</v>
      </c>
      <c r="K89" s="1" t="s">
        <v>648</v>
      </c>
      <c r="L89" s="1" t="s">
        <v>346</v>
      </c>
      <c r="M89" s="1" t="s">
        <v>358</v>
      </c>
    </row>
    <row r="90" customFormat="false" ht="15" hidden="false" customHeight="false" outlineLevel="0" collapsed="false">
      <c r="A90" s="1" t="s">
        <v>737</v>
      </c>
      <c r="B90" s="1" t="s">
        <v>738</v>
      </c>
      <c r="C90" s="1" t="s">
        <v>93</v>
      </c>
      <c r="D90" s="1" t="s">
        <v>739</v>
      </c>
      <c r="E90" s="1" t="s">
        <v>95</v>
      </c>
      <c r="F90" s="1" t="s">
        <v>47</v>
      </c>
      <c r="G90" s="1" t="s">
        <v>740</v>
      </c>
      <c r="H90" s="1" t="s">
        <v>366</v>
      </c>
      <c r="I90" s="1" t="s">
        <v>47</v>
      </c>
      <c r="J90" s="1" t="s">
        <v>741</v>
      </c>
      <c r="K90" s="1" t="s">
        <v>742</v>
      </c>
      <c r="L90" s="1" t="s">
        <v>346</v>
      </c>
      <c r="M90" s="1" t="s">
        <v>358</v>
      </c>
    </row>
    <row r="91" customFormat="false" ht="15" hidden="false" customHeight="false" outlineLevel="0" collapsed="false">
      <c r="A91" s="1" t="s">
        <v>743</v>
      </c>
      <c r="B91" s="1" t="s">
        <v>744</v>
      </c>
      <c r="C91" s="1" t="s">
        <v>41</v>
      </c>
      <c r="D91" s="1" t="s">
        <v>745</v>
      </c>
      <c r="E91" s="1" t="s">
        <v>746</v>
      </c>
      <c r="F91" s="1" t="s">
        <v>47</v>
      </c>
      <c r="G91" s="1" t="s">
        <v>747</v>
      </c>
      <c r="H91" s="1" t="s">
        <v>9</v>
      </c>
      <c r="I91" s="1" t="s">
        <v>47</v>
      </c>
      <c r="J91" s="1" t="s">
        <v>748</v>
      </c>
      <c r="K91" s="1" t="s">
        <v>749</v>
      </c>
      <c r="L91" s="1" t="s">
        <v>346</v>
      </c>
      <c r="M91" s="1" t="s">
        <v>358</v>
      </c>
    </row>
    <row r="92" customFormat="false" ht="15" hidden="false" customHeight="false" outlineLevel="0" collapsed="false">
      <c r="A92" s="1" t="s">
        <v>750</v>
      </c>
      <c r="B92" s="1" t="s">
        <v>751</v>
      </c>
      <c r="C92" s="1" t="s">
        <v>187</v>
      </c>
      <c r="D92" s="1" t="s">
        <v>752</v>
      </c>
      <c r="F92" s="1" t="s">
        <v>77</v>
      </c>
      <c r="G92" s="1" t="s">
        <v>753</v>
      </c>
      <c r="H92" s="1" t="s">
        <v>11</v>
      </c>
      <c r="I92" s="1" t="s">
        <v>46</v>
      </c>
      <c r="J92" s="1" t="s">
        <v>754</v>
      </c>
      <c r="K92" s="1" t="s">
        <v>755</v>
      </c>
      <c r="L92" s="1" t="s">
        <v>71</v>
      </c>
      <c r="M92" s="1" t="s">
        <v>756</v>
      </c>
    </row>
    <row r="93" customFormat="false" ht="15" hidden="false" customHeight="false" outlineLevel="0" collapsed="false">
      <c r="A93" s="1" t="s">
        <v>757</v>
      </c>
      <c r="B93" s="1" t="s">
        <v>758</v>
      </c>
      <c r="C93" s="1" t="s">
        <v>187</v>
      </c>
      <c r="D93" s="1" t="s">
        <v>759</v>
      </c>
      <c r="F93" s="1" t="s">
        <v>77</v>
      </c>
      <c r="G93" s="1" t="s">
        <v>760</v>
      </c>
      <c r="H93" s="1" t="s">
        <v>11</v>
      </c>
      <c r="I93" s="1" t="s">
        <v>46</v>
      </c>
      <c r="J93" s="1" t="s">
        <v>761</v>
      </c>
      <c r="K93" s="1" t="s">
        <v>762</v>
      </c>
      <c r="L93" s="1" t="s">
        <v>71</v>
      </c>
      <c r="M93" s="1" t="s">
        <v>756</v>
      </c>
    </row>
    <row r="94" customFormat="false" ht="15" hidden="false" customHeight="false" outlineLevel="0" collapsed="false">
      <c r="A94" s="1" t="s">
        <v>763</v>
      </c>
      <c r="B94" s="1" t="s">
        <v>764</v>
      </c>
      <c r="C94" s="1" t="s">
        <v>242</v>
      </c>
      <c r="D94" s="1" t="s">
        <v>765</v>
      </c>
      <c r="F94" s="1" t="s">
        <v>77</v>
      </c>
      <c r="G94" s="1" t="s">
        <v>760</v>
      </c>
      <c r="H94" s="1" t="s">
        <v>11</v>
      </c>
      <c r="I94" s="1" t="s">
        <v>46</v>
      </c>
      <c r="J94" s="1" t="s">
        <v>766</v>
      </c>
      <c r="K94" s="1" t="s">
        <v>767</v>
      </c>
      <c r="L94" s="1" t="s">
        <v>71</v>
      </c>
      <c r="M94" s="1" t="s">
        <v>756</v>
      </c>
    </row>
    <row r="95" customFormat="false" ht="15" hidden="false" customHeight="false" outlineLevel="0" collapsed="false">
      <c r="A95" s="1" t="s">
        <v>768</v>
      </c>
      <c r="B95" s="1" t="s">
        <v>769</v>
      </c>
      <c r="C95" s="1" t="s">
        <v>187</v>
      </c>
      <c r="D95" s="1" t="s">
        <v>770</v>
      </c>
      <c r="E95" s="1" t="s">
        <v>372</v>
      </c>
      <c r="F95" s="1" t="s">
        <v>77</v>
      </c>
      <c r="G95" s="1" t="s">
        <v>760</v>
      </c>
      <c r="H95" s="1" t="s">
        <v>11</v>
      </c>
      <c r="I95" s="1" t="s">
        <v>46</v>
      </c>
      <c r="J95" s="1" t="s">
        <v>771</v>
      </c>
      <c r="K95" s="1" t="s">
        <v>772</v>
      </c>
      <c r="L95" s="1" t="s">
        <v>71</v>
      </c>
      <c r="M95" s="1" t="s">
        <v>756</v>
      </c>
    </row>
    <row r="96" customFormat="false" ht="15" hidden="false" customHeight="false" outlineLevel="0" collapsed="false">
      <c r="A96" s="1" t="s">
        <v>773</v>
      </c>
      <c r="B96" s="1" t="s">
        <v>774</v>
      </c>
      <c r="C96" s="1" t="s">
        <v>187</v>
      </c>
      <c r="D96" s="1" t="s">
        <v>775</v>
      </c>
      <c r="E96" s="1" t="s">
        <v>776</v>
      </c>
      <c r="F96" s="1" t="s">
        <v>77</v>
      </c>
      <c r="G96" s="1" t="s">
        <v>777</v>
      </c>
      <c r="H96" s="1" t="s">
        <v>11</v>
      </c>
      <c r="I96" s="1" t="s">
        <v>46</v>
      </c>
      <c r="J96" s="1" t="s">
        <v>778</v>
      </c>
      <c r="K96" s="1" t="s">
        <v>779</v>
      </c>
      <c r="L96" s="1" t="s">
        <v>71</v>
      </c>
      <c r="M96" s="1" t="s">
        <v>756</v>
      </c>
    </row>
    <row r="97" customFormat="false" ht="15" hidden="false" customHeight="false" outlineLevel="0" collapsed="false">
      <c r="A97" s="1" t="s">
        <v>780</v>
      </c>
      <c r="B97" s="1" t="s">
        <v>781</v>
      </c>
      <c r="C97" s="1" t="s">
        <v>242</v>
      </c>
      <c r="D97" s="1" t="s">
        <v>782</v>
      </c>
      <c r="E97" s="1" t="s">
        <v>783</v>
      </c>
      <c r="F97" s="1" t="s">
        <v>77</v>
      </c>
      <c r="G97" s="1" t="s">
        <v>760</v>
      </c>
      <c r="H97" s="1" t="s">
        <v>11</v>
      </c>
      <c r="I97" s="1" t="s">
        <v>46</v>
      </c>
      <c r="J97" s="1" t="s">
        <v>784</v>
      </c>
      <c r="K97" s="1" t="s">
        <v>785</v>
      </c>
      <c r="L97" s="1" t="s">
        <v>71</v>
      </c>
      <c r="M97" s="1" t="s">
        <v>756</v>
      </c>
    </row>
  </sheetData>
  <autoFilter ref="A1:P3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32"/>
    <col collapsed="false" customWidth="true" hidden="false" outlineLevel="0" max="3" min="3" style="1" width="20"/>
    <col collapsed="false" customWidth="true" hidden="false" outlineLevel="0" max="4" min="4" style="1" width="26"/>
    <col collapsed="false" customWidth="true" hidden="false" outlineLevel="0" max="5" min="5" style="1" width="70"/>
    <col collapsed="false" customWidth="true" hidden="false" outlineLevel="0" max="6" min="6" style="1" width="10"/>
  </cols>
  <sheetData>
    <row r="1" customFormat="false" ht="15" hidden="false" customHeight="true" outlineLevel="0" collapsed="false">
      <c r="A1" s="22" t="s">
        <v>24</v>
      </c>
      <c r="B1" s="22" t="s">
        <v>786</v>
      </c>
      <c r="C1" s="22" t="s">
        <v>787</v>
      </c>
      <c r="D1" s="22" t="s">
        <v>788</v>
      </c>
      <c r="E1" s="22" t="s">
        <v>789</v>
      </c>
      <c r="F1" s="22" t="s">
        <v>790</v>
      </c>
      <c r="G1" s="1" t="s">
        <v>36</v>
      </c>
      <c r="H1" s="1" t="s">
        <v>37</v>
      </c>
      <c r="I1" s="1" t="s">
        <v>38</v>
      </c>
      <c r="J1" s="1" t="s">
        <v>791</v>
      </c>
    </row>
    <row r="2" customFormat="false" ht="15" hidden="false" customHeight="true" outlineLevel="0" collapsed="false">
      <c r="A2" s="23" t="s">
        <v>743</v>
      </c>
      <c r="B2" s="23" t="s">
        <v>744</v>
      </c>
      <c r="C2" s="23" t="s">
        <v>792</v>
      </c>
      <c r="D2" s="23" t="s">
        <v>41</v>
      </c>
      <c r="E2" s="23" t="s">
        <v>793</v>
      </c>
      <c r="F2" s="23" t="n">
        <f aca="false">COUNTIF(Edges!$A$2:$A$221,A2)+COUNTIF(Edges!$B$2:$B$221,A2)</f>
        <v>1</v>
      </c>
      <c r="G2" s="1"/>
      <c r="H2" s="1"/>
      <c r="I2" s="1"/>
      <c r="J2" s="1"/>
    </row>
    <row r="3" customFormat="false" ht="23.25" hidden="false" customHeight="true" outlineLevel="0" collapsed="false">
      <c r="A3" s="23" t="s">
        <v>39</v>
      </c>
      <c r="B3" s="23" t="s">
        <v>794</v>
      </c>
      <c r="C3" s="23" t="s">
        <v>795</v>
      </c>
      <c r="D3" s="23" t="s">
        <v>41</v>
      </c>
      <c r="E3" s="23" t="s">
        <v>796</v>
      </c>
      <c r="F3" s="23" t="n">
        <f aca="false">COUNTIF(Edges!$A$2:$A$221,A3)+COUNTIF(Edges!$B$2:$B$221,A3)</f>
        <v>8</v>
      </c>
    </row>
    <row r="4" customFormat="false" ht="15" hidden="false" customHeight="true" outlineLevel="0" collapsed="false">
      <c r="A4" s="23" t="s">
        <v>54</v>
      </c>
      <c r="B4" s="23" t="s">
        <v>55</v>
      </c>
      <c r="C4" s="23" t="s">
        <v>795</v>
      </c>
      <c r="D4" s="23" t="s">
        <v>41</v>
      </c>
      <c r="E4" s="23" t="s">
        <v>797</v>
      </c>
      <c r="F4" s="23" t="n">
        <f aca="false">COUNTIF(Edges!$A$2:$A$221,A4)+COUNTIF(Edges!$B$2:$B$221,A4)</f>
        <v>4</v>
      </c>
    </row>
    <row r="5" customFormat="false" ht="15" hidden="false" customHeight="true" outlineLevel="0" collapsed="false">
      <c r="A5" s="23" t="s">
        <v>63</v>
      </c>
      <c r="B5" s="23" t="s">
        <v>64</v>
      </c>
      <c r="C5" s="23" t="s">
        <v>795</v>
      </c>
      <c r="D5" s="23" t="s">
        <v>41</v>
      </c>
      <c r="E5" s="23" t="s">
        <v>798</v>
      </c>
      <c r="F5" s="23" t="n">
        <f aca="false">COUNTIF(Edges!$A$2:$A$221,A5)+COUNTIF(Edges!$B$2:$B$221,A5)</f>
        <v>3</v>
      </c>
    </row>
    <row r="6" customFormat="false" ht="15" hidden="false" customHeight="true" outlineLevel="0" collapsed="false">
      <c r="A6" s="23" t="s">
        <v>73</v>
      </c>
      <c r="B6" s="23" t="s">
        <v>799</v>
      </c>
      <c r="C6" s="23" t="s">
        <v>795</v>
      </c>
      <c r="D6" s="23" t="s">
        <v>41</v>
      </c>
      <c r="E6" s="23" t="s">
        <v>800</v>
      </c>
      <c r="F6" s="23" t="n">
        <f aca="false">COUNTIF(Edges!$A$2:$A$221,A6)+COUNTIF(Edges!$B$2:$B$221,A6)</f>
        <v>3</v>
      </c>
    </row>
    <row r="7" customFormat="false" ht="15" hidden="false" customHeight="true" outlineLevel="0" collapsed="false">
      <c r="A7" s="23" t="s">
        <v>82</v>
      </c>
      <c r="B7" s="23" t="s">
        <v>801</v>
      </c>
      <c r="C7" s="23" t="s">
        <v>795</v>
      </c>
      <c r="D7" s="23" t="s">
        <v>41</v>
      </c>
      <c r="E7" s="23" t="s">
        <v>802</v>
      </c>
      <c r="F7" s="23" t="n">
        <f aca="false">COUNTIF(Edges!$A$2:$A$221,A7)+COUNTIF(Edges!$B$2:$B$221,A7)</f>
        <v>2</v>
      </c>
    </row>
    <row r="8" customFormat="false" ht="15" hidden="false" customHeight="true" outlineLevel="0" collapsed="false">
      <c r="A8" s="23" t="s">
        <v>732</v>
      </c>
      <c r="B8" s="23" t="s">
        <v>733</v>
      </c>
      <c r="C8" s="23" t="s">
        <v>803</v>
      </c>
      <c r="D8" s="23" t="s">
        <v>41</v>
      </c>
      <c r="E8" s="23" t="s">
        <v>804</v>
      </c>
      <c r="F8" s="23" t="n">
        <f aca="false">COUNTIF(Edges!$A$2:$A$221,A8)+COUNTIF(Edges!$B$2:$B$221,A8)</f>
        <v>2</v>
      </c>
      <c r="G8" s="1"/>
      <c r="H8" s="1"/>
      <c r="I8" s="1"/>
      <c r="J8" s="1"/>
    </row>
    <row r="9" customFormat="false" ht="15" hidden="false" customHeight="true" outlineLevel="0" collapsed="false">
      <c r="A9" s="23" t="s">
        <v>642</v>
      </c>
      <c r="B9" s="23" t="s">
        <v>643</v>
      </c>
      <c r="C9" s="23" t="s">
        <v>805</v>
      </c>
      <c r="D9" s="23" t="s">
        <v>41</v>
      </c>
      <c r="E9" s="23" t="s">
        <v>806</v>
      </c>
      <c r="F9" s="23" t="n">
        <f aca="false">COUNTIF(Edges!$A$2:$A$221,A9)+COUNTIF(Edges!$B$2:$B$221,A9)</f>
        <v>3</v>
      </c>
      <c r="G9" s="1"/>
      <c r="H9" s="1"/>
      <c r="I9" s="1"/>
      <c r="J9" s="1"/>
    </row>
    <row r="10" customFormat="false" ht="15" hidden="false" customHeight="true" outlineLevel="0" collapsed="false">
      <c r="A10" s="23" t="s">
        <v>91</v>
      </c>
      <c r="B10" s="23" t="s">
        <v>92</v>
      </c>
      <c r="C10" s="23" t="s">
        <v>795</v>
      </c>
      <c r="D10" s="23" t="s">
        <v>93</v>
      </c>
      <c r="E10" s="23" t="s">
        <v>807</v>
      </c>
      <c r="F10" s="23" t="n">
        <f aca="false">COUNTIF(Edges!$A$2:$A$221,A10)+COUNTIF(Edges!$B$2:$B$221,A10)</f>
        <v>24</v>
      </c>
    </row>
    <row r="11" customFormat="false" ht="15" hidden="false" customHeight="true" outlineLevel="0" collapsed="false">
      <c r="A11" s="23" t="s">
        <v>737</v>
      </c>
      <c r="B11" s="23" t="s">
        <v>738</v>
      </c>
      <c r="C11" s="23" t="s">
        <v>803</v>
      </c>
      <c r="D11" s="23" t="s">
        <v>93</v>
      </c>
      <c r="E11" s="23" t="s">
        <v>808</v>
      </c>
      <c r="F11" s="23" t="n">
        <f aca="false">COUNTIF(Edges!$A$2:$A$221,A11)+COUNTIF(Edges!$B$2:$B$221,A11)</f>
        <v>1</v>
      </c>
      <c r="G11" s="1"/>
      <c r="H11" s="1"/>
      <c r="I11" s="1"/>
      <c r="J11" s="1"/>
    </row>
    <row r="12" customFormat="false" ht="15" hidden="false" customHeight="true" outlineLevel="0" collapsed="false">
      <c r="A12" s="23" t="s">
        <v>696</v>
      </c>
      <c r="B12" s="23" t="s">
        <v>697</v>
      </c>
      <c r="C12" s="23" t="s">
        <v>805</v>
      </c>
      <c r="D12" s="23" t="s">
        <v>93</v>
      </c>
      <c r="E12" s="23" t="s">
        <v>809</v>
      </c>
      <c r="F12" s="23" t="n">
        <f aca="false">COUNTIF(Edges!$A$2:$A$221,A12)+COUNTIF(Edges!$B$2:$B$221,A12)</f>
        <v>1</v>
      </c>
      <c r="G12" s="1" t="s">
        <v>702</v>
      </c>
      <c r="H12" s="1" t="s">
        <v>703</v>
      </c>
      <c r="I12" s="1" t="s">
        <v>704</v>
      </c>
      <c r="J12" s="1"/>
    </row>
    <row r="13" customFormat="false" ht="15" hidden="false" customHeight="true" outlineLevel="0" collapsed="false">
      <c r="A13" s="23" t="s">
        <v>104</v>
      </c>
      <c r="B13" s="23" t="s">
        <v>810</v>
      </c>
      <c r="C13" s="23" t="s">
        <v>795</v>
      </c>
      <c r="D13" s="23" t="s">
        <v>93</v>
      </c>
      <c r="E13" s="23" t="s">
        <v>811</v>
      </c>
      <c r="F13" s="23" t="n">
        <f aca="false">COUNTIF(Edges!$A$2:$A$221,A13)+COUNTIF(Edges!$B$2:$B$221,A13)</f>
        <v>2</v>
      </c>
    </row>
    <row r="14" customFormat="false" ht="15" hidden="false" customHeight="true" outlineLevel="0" collapsed="false">
      <c r="A14" s="23" t="s">
        <v>407</v>
      </c>
      <c r="B14" s="23" t="s">
        <v>408</v>
      </c>
      <c r="C14" s="23" t="s">
        <v>805</v>
      </c>
      <c r="D14" s="23" t="s">
        <v>93</v>
      </c>
      <c r="E14" s="23" t="s">
        <v>812</v>
      </c>
      <c r="F14" s="23" t="n">
        <f aca="false">COUNTIF(Edges!$A$2:$A$221,A14)+COUNTIF(Edges!$B$2:$B$221,A14)</f>
        <v>5</v>
      </c>
      <c r="G14" s="1"/>
      <c r="H14" s="1"/>
      <c r="I14" s="1"/>
      <c r="J14" s="1"/>
    </row>
    <row r="15" customFormat="false" ht="15" hidden="false" customHeight="true" outlineLevel="0" collapsed="false">
      <c r="A15" s="23" t="s">
        <v>400</v>
      </c>
      <c r="B15" s="23" t="s">
        <v>401</v>
      </c>
      <c r="C15" s="23" t="s">
        <v>805</v>
      </c>
      <c r="D15" s="23" t="s">
        <v>93</v>
      </c>
      <c r="E15" s="23" t="s">
        <v>813</v>
      </c>
      <c r="F15" s="23" t="n">
        <f aca="false">COUNTIF(Edges!$A$2:$A$221,A15)+COUNTIF(Edges!$B$2:$B$221,A15)</f>
        <v>5</v>
      </c>
      <c r="G15" s="1"/>
      <c r="H15" s="1"/>
      <c r="I15" s="1"/>
      <c r="J15" s="1"/>
    </row>
    <row r="16" customFormat="false" ht="15" hidden="false" customHeight="true" outlineLevel="0" collapsed="false">
      <c r="A16" s="23" t="s">
        <v>687</v>
      </c>
      <c r="B16" s="23" t="s">
        <v>688</v>
      </c>
      <c r="C16" s="23" t="s">
        <v>805</v>
      </c>
      <c r="D16" s="23" t="s">
        <v>93</v>
      </c>
      <c r="E16" s="23" t="s">
        <v>814</v>
      </c>
      <c r="F16" s="23" t="n">
        <f aca="false">COUNTIF(Edges!$A$2:$A$221,A16)+COUNTIF(Edges!$B$2:$B$221,A16)</f>
        <v>2</v>
      </c>
      <c r="G16" s="1" t="s">
        <v>693</v>
      </c>
      <c r="H16" s="1" t="s">
        <v>694</v>
      </c>
      <c r="I16" s="1" t="s">
        <v>695</v>
      </c>
      <c r="J16" s="1"/>
    </row>
    <row r="17" customFormat="false" ht="15" hidden="false" customHeight="true" outlineLevel="0" collapsed="false">
      <c r="A17" s="23" t="s">
        <v>530</v>
      </c>
      <c r="B17" s="23" t="s">
        <v>531</v>
      </c>
      <c r="C17" s="23" t="s">
        <v>792</v>
      </c>
      <c r="D17" s="23" t="s">
        <v>93</v>
      </c>
      <c r="E17" s="23" t="s">
        <v>815</v>
      </c>
      <c r="F17" s="23" t="n">
        <f aca="false">COUNTIF(Edges!$A$2:$A$221,A17)+COUNTIF(Edges!$B$2:$B$221,A17)</f>
        <v>3</v>
      </c>
      <c r="G17" s="1" t="s">
        <v>537</v>
      </c>
      <c r="H17" s="1" t="s">
        <v>102</v>
      </c>
      <c r="I17" s="1" t="s">
        <v>538</v>
      </c>
      <c r="J17" s="1"/>
    </row>
    <row r="18" customFormat="false" ht="15" hidden="false" customHeight="true" outlineLevel="0" collapsed="false">
      <c r="A18" s="23" t="s">
        <v>112</v>
      </c>
      <c r="B18" s="23" t="s">
        <v>113</v>
      </c>
      <c r="C18" s="23" t="s">
        <v>795</v>
      </c>
      <c r="D18" s="23" t="s">
        <v>93</v>
      </c>
      <c r="E18" s="23" t="s">
        <v>816</v>
      </c>
      <c r="F18" s="23" t="n">
        <f aca="false">COUNTIF(Edges!$A$2:$A$221,A18)+COUNTIF(Edges!$B$2:$B$221,A18)</f>
        <v>2</v>
      </c>
    </row>
    <row r="19" customFormat="false" ht="15" hidden="false" customHeight="true" outlineLevel="0" collapsed="false">
      <c r="A19" s="23" t="s">
        <v>123</v>
      </c>
      <c r="B19" s="23" t="s">
        <v>124</v>
      </c>
      <c r="C19" s="23" t="s">
        <v>795</v>
      </c>
      <c r="D19" s="23" t="s">
        <v>125</v>
      </c>
      <c r="E19" s="23" t="s">
        <v>817</v>
      </c>
      <c r="F19" s="23" t="n">
        <f aca="false">COUNTIF(Edges!$A$2:$A$221,A19)+COUNTIF(Edges!$B$2:$B$221,A19)</f>
        <v>48</v>
      </c>
    </row>
    <row r="20" customFormat="false" ht="15" hidden="false" customHeight="true" outlineLevel="0" collapsed="false">
      <c r="A20" s="23" t="s">
        <v>135</v>
      </c>
      <c r="B20" s="23" t="s">
        <v>136</v>
      </c>
      <c r="C20" s="23" t="s">
        <v>795</v>
      </c>
      <c r="D20" s="23" t="s">
        <v>125</v>
      </c>
      <c r="E20" s="23" t="s">
        <v>818</v>
      </c>
      <c r="F20" s="23" t="n">
        <f aca="false">COUNTIF(Edges!$A$2:$A$221,A20)+COUNTIF(Edges!$B$2:$B$221,A20)</f>
        <v>2</v>
      </c>
    </row>
    <row r="21" customFormat="false" ht="15" hidden="false" customHeight="true" outlineLevel="0" collapsed="false">
      <c r="A21" s="23" t="s">
        <v>139</v>
      </c>
      <c r="B21" s="23" t="s">
        <v>140</v>
      </c>
      <c r="C21" s="23" t="s">
        <v>795</v>
      </c>
      <c r="D21" s="23" t="s">
        <v>125</v>
      </c>
      <c r="E21" s="23" t="s">
        <v>819</v>
      </c>
      <c r="F21" s="23" t="n">
        <f aca="false">COUNTIF(Edges!$A$2:$A$221,A21)+COUNTIF(Edges!$B$2:$B$221,A21)</f>
        <v>3</v>
      </c>
    </row>
    <row r="22" customFormat="false" ht="15" hidden="false" customHeight="true" outlineLevel="0" collapsed="false">
      <c r="A22" s="23" t="s">
        <v>649</v>
      </c>
      <c r="B22" s="23" t="s">
        <v>650</v>
      </c>
      <c r="C22" s="23" t="s">
        <v>805</v>
      </c>
      <c r="D22" s="23" t="s">
        <v>125</v>
      </c>
      <c r="E22" s="23" t="s">
        <v>820</v>
      </c>
      <c r="F22" s="23" t="n">
        <f aca="false">COUNTIF(Edges!$A$2:$A$221,A22)+COUNTIF(Edges!$B$2:$B$221,A22)</f>
        <v>3</v>
      </c>
      <c r="G22" s="1"/>
      <c r="H22" s="1"/>
      <c r="I22" s="1"/>
      <c r="J22" s="1"/>
    </row>
    <row r="23" customFormat="false" ht="15" hidden="false" customHeight="true" outlineLevel="0" collapsed="false">
      <c r="A23" s="23" t="s">
        <v>623</v>
      </c>
      <c r="B23" s="23" t="s">
        <v>624</v>
      </c>
      <c r="C23" s="23" t="s">
        <v>805</v>
      </c>
      <c r="D23" s="23" t="s">
        <v>125</v>
      </c>
      <c r="E23" s="23" t="s">
        <v>821</v>
      </c>
      <c r="F23" s="23" t="n">
        <f aca="false">COUNTIF(Edges!$A$2:$A$221,A23)+COUNTIF(Edges!$B$2:$B$221,A23)</f>
        <v>4</v>
      </c>
      <c r="G23" s="1"/>
      <c r="H23" s="1"/>
      <c r="I23" s="1"/>
      <c r="J23" s="1"/>
    </row>
    <row r="24" customFormat="false" ht="15" hidden="false" customHeight="true" outlineLevel="0" collapsed="false">
      <c r="A24" s="23" t="s">
        <v>222</v>
      </c>
      <c r="B24" s="23" t="s">
        <v>223</v>
      </c>
      <c r="C24" s="23" t="s">
        <v>795</v>
      </c>
      <c r="D24" s="23" t="s">
        <v>125</v>
      </c>
      <c r="E24" s="23" t="s">
        <v>822</v>
      </c>
      <c r="F24" s="23" t="n">
        <f aca="false">COUNTIF(Edges!$A$2:$A$221,A24)+COUNTIF(Edges!$B$2:$B$221,A24)</f>
        <v>1</v>
      </c>
    </row>
    <row r="25" customFormat="false" ht="15" hidden="false" customHeight="true" outlineLevel="0" collapsed="false">
      <c r="A25" s="23" t="s">
        <v>151</v>
      </c>
      <c r="B25" s="23" t="s">
        <v>823</v>
      </c>
      <c r="C25" s="23" t="s">
        <v>795</v>
      </c>
      <c r="D25" s="23" t="s">
        <v>125</v>
      </c>
      <c r="E25" s="23" t="s">
        <v>824</v>
      </c>
      <c r="F25" s="23" t="n">
        <f aca="false">COUNTIF(Edges!$A$2:$A$221,A25)+COUNTIF(Edges!$B$2:$B$221,A25)</f>
        <v>15</v>
      </c>
    </row>
    <row r="26" customFormat="false" ht="15" hidden="false" customHeight="true" outlineLevel="0" collapsed="false">
      <c r="A26" s="23" t="s">
        <v>161</v>
      </c>
      <c r="B26" s="23" t="s">
        <v>162</v>
      </c>
      <c r="C26" s="23" t="s">
        <v>795</v>
      </c>
      <c r="D26" s="23" t="s">
        <v>125</v>
      </c>
      <c r="E26" s="23" t="s">
        <v>825</v>
      </c>
      <c r="F26" s="23" t="n">
        <f aca="false">COUNTIF(Edges!$A$2:$A$221,A26)+COUNTIF(Edges!$B$2:$B$221,A26)</f>
        <v>5</v>
      </c>
    </row>
    <row r="27" customFormat="false" ht="15" hidden="false" customHeight="true" outlineLevel="0" collapsed="false">
      <c r="A27" s="23" t="s">
        <v>172</v>
      </c>
      <c r="B27" s="23" t="s">
        <v>826</v>
      </c>
      <c r="C27" s="23" t="s">
        <v>795</v>
      </c>
      <c r="D27" s="23" t="s">
        <v>125</v>
      </c>
      <c r="E27" s="23" t="s">
        <v>827</v>
      </c>
      <c r="F27" s="23" t="n">
        <f aca="false">COUNTIF(Edges!$A$2:$A$221,A27)+COUNTIF(Edges!$B$2:$B$221,A27)</f>
        <v>3</v>
      </c>
    </row>
    <row r="28" customFormat="false" ht="15" hidden="false" customHeight="true" outlineLevel="0" collapsed="false">
      <c r="A28" s="23" t="s">
        <v>182</v>
      </c>
      <c r="B28" s="23" t="s">
        <v>183</v>
      </c>
      <c r="C28" s="23" t="s">
        <v>795</v>
      </c>
      <c r="D28" s="23" t="s">
        <v>125</v>
      </c>
      <c r="E28" s="23" t="s">
        <v>828</v>
      </c>
      <c r="F28" s="23" t="n">
        <f aca="false">COUNTIF(Edges!$A$2:$A$221,A28)+COUNTIF(Edges!$B$2:$B$221,A28)</f>
        <v>2</v>
      </c>
    </row>
    <row r="29" customFormat="false" ht="15" hidden="false" customHeight="true" outlineLevel="0" collapsed="false">
      <c r="A29" s="23" t="s">
        <v>185</v>
      </c>
      <c r="B29" s="23" t="s">
        <v>186</v>
      </c>
      <c r="C29" s="23" t="s">
        <v>795</v>
      </c>
      <c r="D29" s="23" t="s">
        <v>187</v>
      </c>
      <c r="E29" s="23" t="s">
        <v>829</v>
      </c>
      <c r="F29" s="23" t="n">
        <f aca="false">COUNTIF(Edges!$A$2:$A$221,A29)+COUNTIF(Edges!$B$2:$B$221,A29)</f>
        <v>50</v>
      </c>
    </row>
    <row r="30" customFormat="false" ht="15" hidden="false" customHeight="true" outlineLevel="0" collapsed="false">
      <c r="A30" s="23" t="s">
        <v>369</v>
      </c>
      <c r="B30" s="23" t="s">
        <v>370</v>
      </c>
      <c r="C30" s="23" t="s">
        <v>805</v>
      </c>
      <c r="D30" s="23" t="s">
        <v>187</v>
      </c>
      <c r="E30" s="23" t="s">
        <v>830</v>
      </c>
      <c r="F30" s="23" t="n">
        <f aca="false">COUNTIF(Edges!$A$2:$A$221,A30)+COUNTIF(Edges!$B$2:$B$221,A30)</f>
        <v>7</v>
      </c>
      <c r="G30" s="1" t="s">
        <v>376</v>
      </c>
      <c r="H30" s="1" t="s">
        <v>377</v>
      </c>
      <c r="I30" s="1" t="s">
        <v>378</v>
      </c>
      <c r="J30" s="1"/>
    </row>
    <row r="31" customFormat="false" ht="15" hidden="false" customHeight="true" outlineLevel="0" collapsed="false">
      <c r="A31" s="23" t="s">
        <v>196</v>
      </c>
      <c r="B31" s="23" t="s">
        <v>831</v>
      </c>
      <c r="C31" s="23" t="s">
        <v>795</v>
      </c>
      <c r="D31" s="23" t="s">
        <v>187</v>
      </c>
      <c r="E31" s="23" t="s">
        <v>832</v>
      </c>
      <c r="F31" s="23" t="n">
        <f aca="false">COUNTIF(Edges!$A$2:$A$221,A31)+COUNTIF(Edges!$B$2:$B$221,A31)</f>
        <v>4</v>
      </c>
    </row>
    <row r="32" customFormat="false" ht="15" hidden="false" customHeight="true" outlineLevel="0" collapsed="false">
      <c r="A32" s="23" t="s">
        <v>208</v>
      </c>
      <c r="B32" s="23" t="s">
        <v>209</v>
      </c>
      <c r="C32" s="23" t="s">
        <v>795</v>
      </c>
      <c r="D32" s="23" t="s">
        <v>187</v>
      </c>
      <c r="E32" s="23" t="s">
        <v>833</v>
      </c>
      <c r="F32" s="23" t="n">
        <f aca="false">COUNTIF(Edges!$A$2:$A$221,A32)+COUNTIF(Edges!$B$2:$B$221,A32)</f>
        <v>3</v>
      </c>
    </row>
    <row r="33" customFormat="false" ht="15" hidden="false" customHeight="true" outlineLevel="0" collapsed="false">
      <c r="A33" s="23" t="s">
        <v>394</v>
      </c>
      <c r="B33" s="23" t="s">
        <v>395</v>
      </c>
      <c r="C33" s="23" t="s">
        <v>805</v>
      </c>
      <c r="D33" s="23" t="s">
        <v>187</v>
      </c>
      <c r="E33" s="23" t="s">
        <v>834</v>
      </c>
      <c r="F33" s="23" t="n">
        <f aca="false">COUNTIF(Edges!$A$2:$A$221,A33)+COUNTIF(Edges!$B$2:$B$221,A33)</f>
        <v>5</v>
      </c>
      <c r="G33" s="1"/>
      <c r="H33" s="1"/>
      <c r="I33" s="1"/>
      <c r="J33" s="1"/>
    </row>
    <row r="34" customFormat="false" ht="15" hidden="false" customHeight="true" outlineLevel="0" collapsed="false">
      <c r="A34" s="23" t="s">
        <v>667</v>
      </c>
      <c r="B34" s="23" t="s">
        <v>668</v>
      </c>
      <c r="C34" s="23" t="s">
        <v>805</v>
      </c>
      <c r="D34" s="23" t="s">
        <v>187</v>
      </c>
      <c r="E34" s="23" t="s">
        <v>835</v>
      </c>
      <c r="F34" s="23" t="n">
        <f aca="false">COUNTIF(Edges!$A$2:$A$221,A34)+COUNTIF(Edges!$B$2:$B$221,A34)</f>
        <v>2</v>
      </c>
      <c r="G34" s="1"/>
      <c r="H34" s="1"/>
      <c r="I34" s="1"/>
      <c r="J34" s="1"/>
    </row>
    <row r="35" customFormat="false" ht="23.25" hidden="false" customHeight="true" outlineLevel="0" collapsed="false">
      <c r="A35" s="23" t="s">
        <v>211</v>
      </c>
      <c r="B35" s="23" t="s">
        <v>212</v>
      </c>
      <c r="C35" s="23" t="s">
        <v>795</v>
      </c>
      <c r="D35" s="23" t="s">
        <v>187</v>
      </c>
      <c r="E35" s="23" t="s">
        <v>836</v>
      </c>
      <c r="F35" s="23" t="n">
        <f aca="false">COUNTIF(Edges!$A$2:$A$221,A35)+COUNTIF(Edges!$B$2:$B$221,A35)</f>
        <v>2</v>
      </c>
    </row>
    <row r="36" customFormat="false" ht="15" hidden="false" customHeight="true" outlineLevel="0" collapsed="false">
      <c r="A36" s="23" t="s">
        <v>214</v>
      </c>
      <c r="B36" s="23" t="s">
        <v>215</v>
      </c>
      <c r="C36" s="23" t="s">
        <v>795</v>
      </c>
      <c r="D36" s="23" t="s">
        <v>187</v>
      </c>
      <c r="E36" s="23" t="s">
        <v>837</v>
      </c>
      <c r="F36" s="23" t="n">
        <f aca="false">COUNTIF(Edges!$A$2:$A$221,A36)+COUNTIF(Edges!$B$2:$B$221,A36)</f>
        <v>2</v>
      </c>
    </row>
    <row r="37" customFormat="false" ht="15" hidden="false" customHeight="true" outlineLevel="0" collapsed="false">
      <c r="A37" s="23" t="s">
        <v>219</v>
      </c>
      <c r="B37" s="23" t="s">
        <v>220</v>
      </c>
      <c r="C37" s="23" t="s">
        <v>795</v>
      </c>
      <c r="D37" s="23" t="s">
        <v>187</v>
      </c>
      <c r="E37" s="23" t="s">
        <v>838</v>
      </c>
      <c r="F37" s="23" t="n">
        <f aca="false">COUNTIF(Edges!$A$2:$A$221,A37)+COUNTIF(Edges!$B$2:$B$221,A37)</f>
        <v>4</v>
      </c>
    </row>
    <row r="38" customFormat="false" ht="15" hidden="false" customHeight="true" outlineLevel="0" collapsed="false">
      <c r="A38" s="23" t="s">
        <v>361</v>
      </c>
      <c r="B38" s="23" t="s">
        <v>362</v>
      </c>
      <c r="C38" s="23" t="s">
        <v>803</v>
      </c>
      <c r="D38" s="23" t="s">
        <v>226</v>
      </c>
      <c r="E38" s="23" t="s">
        <v>839</v>
      </c>
      <c r="F38" s="23" t="n">
        <f aca="false">COUNTIF(Edges!$A$2:$A$221,A38)+COUNTIF(Edges!$B$2:$B$221,A38)</f>
        <v>8</v>
      </c>
      <c r="G38" s="1"/>
      <c r="H38" s="1"/>
      <c r="I38" s="1"/>
      <c r="J38" s="1"/>
    </row>
    <row r="39" customFormat="false" ht="15" hidden="false" customHeight="true" outlineLevel="0" collapsed="false">
      <c r="A39" s="23" t="s">
        <v>705</v>
      </c>
      <c r="B39" s="23" t="s">
        <v>706</v>
      </c>
      <c r="C39" s="23" t="s">
        <v>803</v>
      </c>
      <c r="D39" s="23" t="s">
        <v>226</v>
      </c>
      <c r="E39" s="23" t="s">
        <v>840</v>
      </c>
      <c r="F39" s="23" t="n">
        <f aca="false">COUNTIF(Edges!$A$2:$A$221,A39)+COUNTIF(Edges!$B$2:$B$221,A39)</f>
        <v>3</v>
      </c>
      <c r="G39" s="1"/>
      <c r="H39" s="1"/>
      <c r="I39" s="1"/>
      <c r="J39" s="1"/>
    </row>
    <row r="40" customFormat="false" ht="15" hidden="false" customHeight="true" outlineLevel="0" collapsed="false">
      <c r="A40" s="23" t="s">
        <v>419</v>
      </c>
      <c r="B40" s="23" t="s">
        <v>420</v>
      </c>
      <c r="C40" s="23" t="s">
        <v>803</v>
      </c>
      <c r="D40" s="23" t="s">
        <v>226</v>
      </c>
      <c r="E40" s="23" t="s">
        <v>841</v>
      </c>
      <c r="F40" s="23" t="n">
        <f aca="false">COUNTIF(Edges!$A$2:$A$221,A40)+COUNTIF(Edges!$B$2:$B$221,A40)</f>
        <v>3</v>
      </c>
      <c r="G40" s="1"/>
      <c r="H40" s="1"/>
      <c r="I40" s="1"/>
      <c r="J40" s="1"/>
    </row>
    <row r="41" customFormat="false" ht="23.25" hidden="false" customHeight="true" outlineLevel="0" collapsed="false">
      <c r="A41" s="23" t="s">
        <v>387</v>
      </c>
      <c r="B41" s="23" t="s">
        <v>388</v>
      </c>
      <c r="C41" s="23" t="s">
        <v>803</v>
      </c>
      <c r="D41" s="23" t="s">
        <v>226</v>
      </c>
      <c r="E41" s="23" t="s">
        <v>842</v>
      </c>
      <c r="F41" s="23" t="n">
        <f aca="false">COUNTIF(Edges!$A$2:$A$221,A41)+COUNTIF(Edges!$B$2:$B$221,A41)</f>
        <v>6</v>
      </c>
      <c r="G41" s="1"/>
      <c r="H41" s="1"/>
      <c r="I41" s="1"/>
      <c r="J41" s="1"/>
    </row>
    <row r="42" customFormat="false" ht="15" hidden="false" customHeight="true" outlineLevel="0" collapsed="false">
      <c r="A42" s="23" t="s">
        <v>711</v>
      </c>
      <c r="B42" s="23" t="s">
        <v>712</v>
      </c>
      <c r="C42" s="23" t="s">
        <v>803</v>
      </c>
      <c r="D42" s="23" t="s">
        <v>226</v>
      </c>
      <c r="E42" s="23" t="s">
        <v>843</v>
      </c>
      <c r="F42" s="23" t="n">
        <f aca="false">COUNTIF(Edges!$A$2:$A$221,A42)+COUNTIF(Edges!$B$2:$B$221,A42)</f>
        <v>2</v>
      </c>
      <c r="G42" s="1"/>
      <c r="H42" s="1"/>
      <c r="I42" s="1"/>
      <c r="J42" s="1"/>
    </row>
    <row r="43" customFormat="false" ht="15" hidden="false" customHeight="true" outlineLevel="0" collapsed="false">
      <c r="A43" s="23" t="s">
        <v>224</v>
      </c>
      <c r="B43" s="23" t="s">
        <v>225</v>
      </c>
      <c r="C43" s="23" t="s">
        <v>795</v>
      </c>
      <c r="D43" s="23" t="s">
        <v>226</v>
      </c>
      <c r="E43" s="23" t="s">
        <v>844</v>
      </c>
      <c r="F43" s="23" t="n">
        <f aca="false">COUNTIF(Edges!$A$2:$A$221,A43)+COUNTIF(Edges!$B$2:$B$221,A43)</f>
        <v>3</v>
      </c>
    </row>
    <row r="44" customFormat="false" ht="15" hidden="false" customHeight="true" outlineLevel="0" collapsed="false">
      <c r="A44" s="23" t="s">
        <v>236</v>
      </c>
      <c r="B44" s="23" t="s">
        <v>237</v>
      </c>
      <c r="C44" s="23" t="s">
        <v>795</v>
      </c>
      <c r="D44" s="23" t="s">
        <v>226</v>
      </c>
      <c r="E44" s="23" t="s">
        <v>845</v>
      </c>
      <c r="F44" s="23" t="n">
        <f aca="false">COUNTIF(Edges!$A$2:$A$221,A44)+COUNTIF(Edges!$B$2:$B$221,A44)</f>
        <v>3</v>
      </c>
    </row>
    <row r="45" customFormat="false" ht="15" hidden="false" customHeight="true" outlineLevel="0" collapsed="false">
      <c r="A45" s="23" t="s">
        <v>240</v>
      </c>
      <c r="B45" s="23" t="s">
        <v>241</v>
      </c>
      <c r="C45" s="23" t="s">
        <v>795</v>
      </c>
      <c r="D45" s="23" t="s">
        <v>242</v>
      </c>
      <c r="E45" s="23" t="s">
        <v>846</v>
      </c>
      <c r="F45" s="23" t="n">
        <f aca="false">COUNTIF(Edges!$A$2:$A$221,A45)+COUNTIF(Edges!$B$2:$B$221,A45)</f>
        <v>14</v>
      </c>
    </row>
    <row r="46" customFormat="false" ht="15" hidden="false" customHeight="true" outlineLevel="0" collapsed="false">
      <c r="A46" s="23" t="s">
        <v>251</v>
      </c>
      <c r="B46" s="23" t="s">
        <v>252</v>
      </c>
      <c r="C46" s="23" t="s">
        <v>795</v>
      </c>
      <c r="D46" s="23" t="s">
        <v>242</v>
      </c>
      <c r="E46" s="23" t="s">
        <v>847</v>
      </c>
      <c r="F46" s="23" t="n">
        <f aca="false">COUNTIF(Edges!$A$2:$A$221,A46)+COUNTIF(Edges!$B$2:$B$221,A46)</f>
        <v>4</v>
      </c>
    </row>
    <row r="47" customFormat="false" ht="15" hidden="false" customHeight="true" outlineLevel="0" collapsed="false">
      <c r="A47" s="23" t="s">
        <v>655</v>
      </c>
      <c r="B47" s="23" t="s">
        <v>656</v>
      </c>
      <c r="C47" s="23" t="s">
        <v>805</v>
      </c>
      <c r="D47" s="23" t="s">
        <v>242</v>
      </c>
      <c r="E47" s="23" t="s">
        <v>848</v>
      </c>
      <c r="F47" s="23" t="n">
        <f aca="false">COUNTIF(Edges!$A$2:$A$221,A47)+COUNTIF(Edges!$B$2:$B$221,A47)</f>
        <v>3</v>
      </c>
    </row>
    <row r="48" customFormat="false" ht="15" hidden="false" customHeight="true" outlineLevel="0" collapsed="false">
      <c r="A48" s="23" t="s">
        <v>379</v>
      </c>
      <c r="B48" s="23" t="s">
        <v>380</v>
      </c>
      <c r="C48" s="23" t="s">
        <v>792</v>
      </c>
      <c r="D48" s="23" t="s">
        <v>242</v>
      </c>
      <c r="E48" s="23" t="s">
        <v>849</v>
      </c>
      <c r="F48" s="23" t="n">
        <f aca="false">COUNTIF(Edges!$A$2:$A$221,A48)+COUNTIF(Edges!$B$2:$B$221,A48)</f>
        <v>6</v>
      </c>
      <c r="G48" s="1"/>
      <c r="H48" s="1"/>
      <c r="I48" s="1"/>
      <c r="J48" s="1"/>
    </row>
    <row r="49" customFormat="false" ht="15" hidden="false" customHeight="true" outlineLevel="0" collapsed="false">
      <c r="A49" s="23" t="s">
        <v>257</v>
      </c>
      <c r="B49" s="23" t="s">
        <v>258</v>
      </c>
      <c r="C49" s="23" t="s">
        <v>795</v>
      </c>
      <c r="D49" s="23" t="s">
        <v>242</v>
      </c>
      <c r="E49" s="23" t="s">
        <v>850</v>
      </c>
      <c r="F49" s="23" t="n">
        <f aca="false">COUNTIF(Edges!$A$2:$A$221,A49)+COUNTIF(Edges!$B$2:$B$221,A49)</f>
        <v>3</v>
      </c>
    </row>
    <row r="50" customFormat="false" ht="15" hidden="false" customHeight="true" outlineLevel="0" collapsed="false">
      <c r="A50" s="23" t="s">
        <v>268</v>
      </c>
      <c r="B50" s="23" t="s">
        <v>851</v>
      </c>
      <c r="C50" s="23" t="s">
        <v>795</v>
      </c>
      <c r="D50" s="23" t="s">
        <v>242</v>
      </c>
      <c r="E50" s="23" t="s">
        <v>852</v>
      </c>
      <c r="F50" s="23" t="n">
        <f aca="false">COUNTIF(Edges!$A$2:$A$221,A50)+COUNTIF(Edges!$B$2:$B$221,A50)</f>
        <v>1</v>
      </c>
    </row>
    <row r="51" customFormat="false" ht="15" hidden="false" customHeight="true" outlineLevel="0" collapsed="false">
      <c r="A51" s="23" t="s">
        <v>278</v>
      </c>
      <c r="B51" s="23" t="s">
        <v>853</v>
      </c>
      <c r="C51" s="23" t="s">
        <v>795</v>
      </c>
      <c r="D51" s="23" t="s">
        <v>242</v>
      </c>
      <c r="E51" s="23" t="s">
        <v>854</v>
      </c>
      <c r="F51" s="23" t="n">
        <f aca="false">COUNTIF(Edges!$A$2:$A$221,A51)+COUNTIF(Edges!$B$2:$B$221,A51)</f>
        <v>1</v>
      </c>
    </row>
    <row r="52" customFormat="false" ht="15" hidden="false" customHeight="true" outlineLevel="0" collapsed="false">
      <c r="A52" s="23" t="s">
        <v>521</v>
      </c>
      <c r="B52" s="23" t="s">
        <v>522</v>
      </c>
      <c r="C52" s="23" t="s">
        <v>792</v>
      </c>
      <c r="D52" s="23" t="s">
        <v>242</v>
      </c>
      <c r="E52" s="23" t="s">
        <v>855</v>
      </c>
      <c r="F52" s="23" t="n">
        <f aca="false">COUNTIF(Edges!$A$2:$A$221,A52)+COUNTIF(Edges!$B$2:$B$221,A52)</f>
        <v>3</v>
      </c>
      <c r="G52" s="1" t="s">
        <v>527</v>
      </c>
      <c r="H52" s="1" t="s">
        <v>528</v>
      </c>
      <c r="I52" s="1" t="s">
        <v>529</v>
      </c>
      <c r="J52" s="1"/>
    </row>
    <row r="53" customFormat="false" ht="15" hidden="false" customHeight="true" outlineLevel="0" collapsed="false">
      <c r="A53" s="23" t="s">
        <v>551</v>
      </c>
      <c r="B53" s="23" t="s">
        <v>552</v>
      </c>
      <c r="C53" s="23" t="s">
        <v>792</v>
      </c>
      <c r="D53" s="23" t="s">
        <v>242</v>
      </c>
      <c r="E53" s="23" t="s">
        <v>856</v>
      </c>
      <c r="F53" s="23" t="n">
        <f aca="false">COUNTIF(Edges!$A$2:$A$221,A53)+COUNTIF(Edges!$B$2:$B$221,A53)</f>
        <v>2</v>
      </c>
      <c r="G53" s="1" t="s">
        <v>556</v>
      </c>
      <c r="H53" s="1" t="s">
        <v>557</v>
      </c>
      <c r="I53" s="1" t="s">
        <v>558</v>
      </c>
      <c r="J53" s="1"/>
    </row>
    <row r="54" customFormat="false" ht="15" hidden="false" customHeight="true" outlineLevel="0" collapsed="false">
      <c r="A54" s="23" t="s">
        <v>351</v>
      </c>
      <c r="B54" s="23" t="s">
        <v>352</v>
      </c>
      <c r="C54" s="23" t="s">
        <v>792</v>
      </c>
      <c r="D54" s="23" t="s">
        <v>242</v>
      </c>
      <c r="E54" s="23" t="s">
        <v>857</v>
      </c>
      <c r="F54" s="23" t="n">
        <f aca="false">COUNTIF(Edges!$A$2:$A$221,A54)+COUNTIF(Edges!$B$2:$B$221,A54)</f>
        <v>9</v>
      </c>
      <c r="G54" s="1" t="s">
        <v>359</v>
      </c>
      <c r="H54" s="1" t="s">
        <v>102</v>
      </c>
      <c r="I54" s="1" t="s">
        <v>360</v>
      </c>
      <c r="J54" s="1"/>
    </row>
    <row r="55" customFormat="false" ht="15" hidden="false" customHeight="true" outlineLevel="0" collapsed="false">
      <c r="A55" s="23" t="s">
        <v>544</v>
      </c>
      <c r="B55" s="23" t="s">
        <v>545</v>
      </c>
      <c r="C55" s="23" t="s">
        <v>792</v>
      </c>
      <c r="D55" s="23" t="s">
        <v>242</v>
      </c>
      <c r="E55" s="23" t="s">
        <v>858</v>
      </c>
      <c r="F55" s="23" t="n">
        <f aca="false">COUNTIF(Edges!$A$2:$A$221,A55)+COUNTIF(Edges!$B$2:$B$221,A55)</f>
        <v>2</v>
      </c>
      <c r="G55" s="1" t="s">
        <v>548</v>
      </c>
      <c r="H55" s="1" t="s">
        <v>549</v>
      </c>
      <c r="I55" s="1" t="s">
        <v>550</v>
      </c>
      <c r="J55" s="1"/>
    </row>
    <row r="56" customFormat="false" ht="23.25" hidden="false" customHeight="true" outlineLevel="0" collapsed="false">
      <c r="A56" s="23" t="s">
        <v>288</v>
      </c>
      <c r="B56" s="23" t="s">
        <v>289</v>
      </c>
      <c r="C56" s="23" t="s">
        <v>795</v>
      </c>
      <c r="D56" s="23" t="s">
        <v>242</v>
      </c>
      <c r="E56" s="23" t="s">
        <v>859</v>
      </c>
      <c r="F56" s="23" t="n">
        <f aca="false">COUNTIF(Edges!$A$2:$A$221,A56)+COUNTIF(Edges!$B$2:$B$221,A56)</f>
        <v>6</v>
      </c>
    </row>
    <row r="57" customFormat="false" ht="23.25" hidden="false" customHeight="true" outlineLevel="0" collapsed="false">
      <c r="A57" s="23" t="s">
        <v>514</v>
      </c>
      <c r="B57" s="23" t="s">
        <v>515</v>
      </c>
      <c r="C57" s="23" t="s">
        <v>792</v>
      </c>
      <c r="D57" s="23" t="s">
        <v>242</v>
      </c>
      <c r="E57" s="23" t="s">
        <v>860</v>
      </c>
      <c r="F57" s="23" t="n">
        <f aca="false">COUNTIF(Edges!$A$2:$A$221,A57)+COUNTIF(Edges!$B$2:$B$221,A57)</f>
        <v>4</v>
      </c>
      <c r="G57" s="1" t="s">
        <v>518</v>
      </c>
      <c r="H57" s="1" t="s">
        <v>519</v>
      </c>
      <c r="I57" s="1" t="s">
        <v>520</v>
      </c>
      <c r="J57" s="1"/>
    </row>
    <row r="58" customFormat="false" ht="15" hidden="false" customHeight="true" outlineLevel="0" collapsed="false">
      <c r="A58" s="23" t="s">
        <v>559</v>
      </c>
      <c r="B58" s="23" t="s">
        <v>560</v>
      </c>
      <c r="C58" s="23" t="s">
        <v>792</v>
      </c>
      <c r="D58" s="23" t="s">
        <v>242</v>
      </c>
      <c r="E58" s="23" t="s">
        <v>861</v>
      </c>
      <c r="F58" s="23" t="n">
        <f aca="false">COUNTIF(Edges!$A$2:$A$221,A58)+COUNTIF(Edges!$B$2:$B$221,A58)</f>
        <v>1</v>
      </c>
      <c r="G58" s="1" t="s">
        <v>563</v>
      </c>
      <c r="H58" s="1" t="s">
        <v>564</v>
      </c>
      <c r="I58" s="1" t="s">
        <v>565</v>
      </c>
      <c r="J58" s="1"/>
    </row>
    <row r="59" customFormat="false" ht="15" hidden="false" customHeight="false" outlineLevel="0" collapsed="false">
      <c r="A59" s="23" t="s">
        <v>299</v>
      </c>
      <c r="B59" s="23" t="s">
        <v>300</v>
      </c>
      <c r="C59" s="23" t="s">
        <v>795</v>
      </c>
      <c r="D59" s="23" t="s">
        <v>242</v>
      </c>
      <c r="E59" s="23" t="s">
        <v>862</v>
      </c>
      <c r="F59" s="23" t="n">
        <f aca="false">COUNTIF(Edges!$A$2:$A$221,A59)+COUNTIF(Edges!$B$2:$B$221,A59)</f>
        <v>15</v>
      </c>
      <c r="G59" s="1"/>
      <c r="H59" s="1"/>
      <c r="I59" s="1"/>
      <c r="J59" s="1"/>
    </row>
    <row r="60" customFormat="false" ht="23.85" hidden="false" customHeight="false" outlineLevel="0" collapsed="false">
      <c r="A60" s="23" t="s">
        <v>413</v>
      </c>
      <c r="B60" s="23" t="s">
        <v>414</v>
      </c>
      <c r="C60" s="23" t="s">
        <v>792</v>
      </c>
      <c r="D60" s="23" t="s">
        <v>242</v>
      </c>
      <c r="E60" s="23" t="s">
        <v>863</v>
      </c>
      <c r="F60" s="23" t="n">
        <f aca="false">COUNTIF(Edges!$A$2:$A$221,A60)+COUNTIF(Edges!$B$2:$B$221,A60)</f>
        <v>5</v>
      </c>
      <c r="G60" s="1"/>
      <c r="H60" s="1"/>
      <c r="I60" s="1"/>
      <c r="J60" s="1"/>
    </row>
    <row r="61" customFormat="false" ht="15" hidden="false" customHeight="false" outlineLevel="0" collapsed="false">
      <c r="A61" s="23" t="s">
        <v>616</v>
      </c>
      <c r="B61" s="23" t="s">
        <v>617</v>
      </c>
      <c r="C61" s="23" t="s">
        <v>795</v>
      </c>
      <c r="D61" s="23" t="s">
        <v>187</v>
      </c>
      <c r="E61" s="23" t="s">
        <v>864</v>
      </c>
      <c r="F61" s="23" t="n">
        <f aca="false">COUNTIF(Edges!$A$2:$A$221,A61)+COUNTIF(Edges!$B$2:$B$221,A61)</f>
        <v>2</v>
      </c>
      <c r="G61" s="1"/>
      <c r="H61" s="1"/>
      <c r="I61" s="1"/>
      <c r="J61" s="1"/>
    </row>
    <row r="62" customFormat="false" ht="23.85" hidden="false" customHeight="false" outlineLevel="0" collapsed="false">
      <c r="A62" s="23" t="s">
        <v>463</v>
      </c>
      <c r="B62" s="23" t="s">
        <v>464</v>
      </c>
      <c r="C62" s="23" t="s">
        <v>795</v>
      </c>
      <c r="D62" s="23" t="s">
        <v>242</v>
      </c>
      <c r="E62" s="23" t="s">
        <v>865</v>
      </c>
      <c r="F62" s="23" t="n">
        <f aca="false">COUNTIF(Edges!$A$2:$A$221,A62)+COUNTIF(Edges!$B$2:$B$221,A62)</f>
        <v>3</v>
      </c>
      <c r="G62" s="1"/>
      <c r="H62" s="1"/>
      <c r="I62" s="1"/>
      <c r="J62" s="1"/>
    </row>
    <row r="63" customFormat="false" ht="15" hidden="false" customHeight="false" outlineLevel="0" collapsed="false">
      <c r="A63" s="23" t="s">
        <v>497</v>
      </c>
      <c r="B63" s="23" t="s">
        <v>498</v>
      </c>
      <c r="C63" s="23" t="s">
        <v>795</v>
      </c>
      <c r="D63" s="23" t="s">
        <v>242</v>
      </c>
      <c r="E63" s="23" t="s">
        <v>866</v>
      </c>
      <c r="F63" s="23" t="n">
        <f aca="false">COUNTIF(Edges!$A$2:$A$221,A63)+COUNTIF(Edges!$B$2:$B$221,A63)</f>
        <v>2</v>
      </c>
      <c r="G63" s="1"/>
      <c r="H63" s="1"/>
      <c r="I63" s="1"/>
      <c r="J63" s="1"/>
    </row>
    <row r="64" customFormat="false" ht="23.85" hidden="false" customHeight="false" outlineLevel="0" collapsed="false">
      <c r="A64" s="23" t="s">
        <v>427</v>
      </c>
      <c r="B64" s="23" t="s">
        <v>428</v>
      </c>
      <c r="C64" s="23" t="s">
        <v>795</v>
      </c>
      <c r="D64" s="23" t="s">
        <v>242</v>
      </c>
      <c r="E64" s="23" t="s">
        <v>867</v>
      </c>
      <c r="F64" s="23" t="n">
        <f aca="false">COUNTIF(Edges!$A$2:$A$221,A64)+COUNTIF(Edges!$B$2:$B$221,A64)</f>
        <v>3</v>
      </c>
      <c r="G64" s="1"/>
      <c r="H64" s="1"/>
      <c r="I64" s="1"/>
      <c r="J64" s="1"/>
    </row>
    <row r="65" customFormat="false" ht="15" hidden="false" customHeight="false" outlineLevel="0" collapsed="false">
      <c r="A65" s="23" t="s">
        <v>455</v>
      </c>
      <c r="B65" s="23" t="s">
        <v>456</v>
      </c>
      <c r="C65" s="23" t="s">
        <v>795</v>
      </c>
      <c r="D65" s="23" t="s">
        <v>242</v>
      </c>
      <c r="E65" s="23" t="s">
        <v>868</v>
      </c>
      <c r="F65" s="23" t="n">
        <f aca="false">COUNTIF(Edges!$A$2:$A$221,A65)+COUNTIF(Edges!$B$2:$B$221,A65)</f>
        <v>2</v>
      </c>
      <c r="G65" s="1"/>
      <c r="H65" s="1"/>
      <c r="I65" s="1"/>
      <c r="J65" s="1"/>
    </row>
    <row r="66" customFormat="false" ht="15" hidden="false" customHeight="false" outlineLevel="0" collapsed="false">
      <c r="A66" s="23" t="s">
        <v>436</v>
      </c>
      <c r="B66" s="23" t="s">
        <v>437</v>
      </c>
      <c r="C66" s="23" t="s">
        <v>795</v>
      </c>
      <c r="D66" s="23" t="s">
        <v>242</v>
      </c>
      <c r="E66" s="23" t="s">
        <v>869</v>
      </c>
      <c r="F66" s="23" t="n">
        <f aca="false">COUNTIF(Edges!$A$2:$A$221,A66)+COUNTIF(Edges!$B$2:$B$221,A66)</f>
        <v>4</v>
      </c>
      <c r="G66" s="1"/>
      <c r="H66" s="1"/>
      <c r="I66" s="1"/>
      <c r="J66" s="1"/>
    </row>
    <row r="67" customFormat="false" ht="15" hidden="false" customHeight="false" outlineLevel="0" collapsed="false">
      <c r="A67" s="23" t="s">
        <v>446</v>
      </c>
      <c r="B67" s="23" t="s">
        <v>447</v>
      </c>
      <c r="C67" s="23" t="s">
        <v>795</v>
      </c>
      <c r="D67" s="23" t="s">
        <v>242</v>
      </c>
      <c r="E67" s="23" t="s">
        <v>870</v>
      </c>
      <c r="F67" s="23" t="n">
        <f aca="false">COUNTIF(Edges!$A$2:$A$221,A67)+COUNTIF(Edges!$B$2:$B$221,A67)</f>
        <v>2</v>
      </c>
      <c r="G67" s="1"/>
      <c r="H67" s="1"/>
      <c r="I67" s="1"/>
      <c r="J67" s="1"/>
    </row>
    <row r="68" customFormat="false" ht="23.85" hidden="false" customHeight="false" outlineLevel="0" collapsed="false">
      <c r="A68" s="23" t="s">
        <v>309</v>
      </c>
      <c r="B68" s="23" t="s">
        <v>310</v>
      </c>
      <c r="C68" s="23" t="s">
        <v>795</v>
      </c>
      <c r="D68" s="23" t="s">
        <v>187</v>
      </c>
      <c r="E68" s="23" t="s">
        <v>871</v>
      </c>
      <c r="F68" s="23" t="n">
        <f aca="false">COUNTIF(Edges!$A$2:$A$221,A68)+COUNTIF(Edges!$B$2:$B$221,A68)</f>
        <v>4</v>
      </c>
      <c r="G68" s="1"/>
      <c r="H68" s="1"/>
      <c r="I68" s="1"/>
      <c r="J68" s="1"/>
    </row>
    <row r="69" customFormat="false" ht="15" hidden="false" customHeight="false" outlineLevel="0" collapsed="false">
      <c r="A69" s="23" t="s">
        <v>478</v>
      </c>
      <c r="B69" s="23" t="s">
        <v>479</v>
      </c>
      <c r="C69" s="23" t="s">
        <v>795</v>
      </c>
      <c r="D69" s="23" t="s">
        <v>187</v>
      </c>
      <c r="E69" s="23" t="s">
        <v>872</v>
      </c>
      <c r="F69" s="23" t="n">
        <f aca="false">COUNTIF(Edges!$A$2:$A$221,A69)+COUNTIF(Edges!$B$2:$B$221,A69)</f>
        <v>2</v>
      </c>
      <c r="G69" s="1"/>
      <c r="H69" s="1"/>
      <c r="I69" s="1"/>
      <c r="J69" s="1"/>
    </row>
    <row r="70" customFormat="false" ht="15" hidden="false" customHeight="false" outlineLevel="0" collapsed="false">
      <c r="A70" s="23" t="s">
        <v>318</v>
      </c>
      <c r="B70" s="23" t="s">
        <v>319</v>
      </c>
      <c r="C70" s="23" t="s">
        <v>795</v>
      </c>
      <c r="D70" s="23" t="s">
        <v>125</v>
      </c>
      <c r="E70" s="23" t="s">
        <v>873</v>
      </c>
      <c r="F70" s="23" t="n">
        <f aca="false">COUNTIF(Edges!$A$2:$A$221,A70)+COUNTIF(Edges!$B$2:$B$221,A70)</f>
        <v>4</v>
      </c>
      <c r="G70" s="1"/>
      <c r="H70" s="1"/>
      <c r="I70" s="1"/>
      <c r="J70" s="1"/>
    </row>
    <row r="71" customFormat="false" ht="23.85" hidden="false" customHeight="false" outlineLevel="0" collapsed="false">
      <c r="A71" s="23" t="s">
        <v>488</v>
      </c>
      <c r="B71" s="23" t="s">
        <v>489</v>
      </c>
      <c r="C71" s="23" t="s">
        <v>795</v>
      </c>
      <c r="D71" s="23" t="s">
        <v>187</v>
      </c>
      <c r="E71" s="23" t="s">
        <v>874</v>
      </c>
      <c r="F71" s="23" t="n">
        <f aca="false">COUNTIF(Edges!$A$2:$A$221,A71)+COUNTIF(Edges!$B$2:$B$221,A71)</f>
        <v>2</v>
      </c>
      <c r="G71" s="1"/>
      <c r="H71" s="1"/>
      <c r="I71" s="1"/>
      <c r="J71" s="1"/>
    </row>
    <row r="72" customFormat="false" ht="23.85" hidden="false" customHeight="false" outlineLevel="0" collapsed="false">
      <c r="A72" s="23" t="s">
        <v>574</v>
      </c>
      <c r="B72" s="23" t="s">
        <v>575</v>
      </c>
      <c r="C72" s="23" t="s">
        <v>792</v>
      </c>
      <c r="D72" s="23" t="s">
        <v>242</v>
      </c>
      <c r="E72" s="23" t="s">
        <v>875</v>
      </c>
      <c r="F72" s="23" t="n">
        <f aca="false">COUNTIF(Edges!$A$2:$A$221,A72)+COUNTIF(Edges!$B$2:$B$221,A72)</f>
        <v>1</v>
      </c>
      <c r="G72" s="1"/>
      <c r="H72" s="1"/>
      <c r="I72" s="1"/>
      <c r="J72" s="1"/>
    </row>
    <row r="73" customFormat="false" ht="15" hidden="false" customHeight="false" outlineLevel="0" collapsed="false">
      <c r="A73" s="23" t="s">
        <v>566</v>
      </c>
      <c r="B73" s="23" t="s">
        <v>567</v>
      </c>
      <c r="C73" s="23" t="s">
        <v>805</v>
      </c>
      <c r="D73" s="23" t="s">
        <v>187</v>
      </c>
      <c r="E73" s="23" t="s">
        <v>876</v>
      </c>
      <c r="F73" s="23" t="n">
        <f aca="false">COUNTIF(Edges!$A$2:$A$221,A73)+COUNTIF(Edges!$B$2:$B$221,A73)</f>
        <v>2</v>
      </c>
      <c r="G73" s="1"/>
      <c r="H73" s="1"/>
      <c r="I73" s="1"/>
      <c r="J73" s="1"/>
    </row>
    <row r="74" customFormat="false" ht="15" hidden="false" customHeight="false" outlineLevel="0" collapsed="false">
      <c r="A74" s="23" t="s">
        <v>718</v>
      </c>
      <c r="B74" s="23" t="s">
        <v>719</v>
      </c>
      <c r="C74" s="23" t="s">
        <v>803</v>
      </c>
      <c r="D74" s="23" t="s">
        <v>226</v>
      </c>
      <c r="E74" s="23" t="s">
        <v>877</v>
      </c>
      <c r="F74" s="23" t="n">
        <f aca="false">COUNTIF(Edges!$A$2:$A$221,A74)+COUNTIF(Edges!$B$2:$B$221,A74)</f>
        <v>2</v>
      </c>
      <c r="G74" s="1"/>
      <c r="H74" s="1"/>
      <c r="I74" s="1"/>
      <c r="J74" s="1"/>
    </row>
    <row r="75" customFormat="false" ht="15" hidden="false" customHeight="false" outlineLevel="0" collapsed="false">
      <c r="A75" s="23" t="s">
        <v>680</v>
      </c>
      <c r="B75" s="23" t="s">
        <v>681</v>
      </c>
      <c r="C75" s="23" t="s">
        <v>805</v>
      </c>
      <c r="D75" s="23" t="s">
        <v>125</v>
      </c>
      <c r="E75" s="23" t="s">
        <v>878</v>
      </c>
      <c r="F75" s="23" t="n">
        <f aca="false">COUNTIF(Edges!$A$2:$A$221,A75)+COUNTIF(Edges!$B$2:$B$221,A75)</f>
        <v>1</v>
      </c>
      <c r="G75" s="1"/>
      <c r="H75" s="1"/>
      <c r="I75" s="1"/>
      <c r="J75" s="1"/>
    </row>
    <row r="76" customFormat="false" ht="15" hidden="false" customHeight="false" outlineLevel="0" collapsed="false">
      <c r="A76" s="23" t="s">
        <v>580</v>
      </c>
      <c r="B76" s="23" t="s">
        <v>581</v>
      </c>
      <c r="C76" s="23" t="s">
        <v>795</v>
      </c>
      <c r="D76" s="23" t="s">
        <v>125</v>
      </c>
      <c r="E76" s="23" t="s">
        <v>879</v>
      </c>
      <c r="F76" s="23" t="n">
        <f aca="false">COUNTIF(Edges!$A$2:$A$221,A76)+COUNTIF(Edges!$B$2:$B$221,A76)</f>
        <v>3</v>
      </c>
      <c r="G76" s="1"/>
      <c r="H76" s="1"/>
      <c r="I76" s="1"/>
      <c r="J76" s="1"/>
    </row>
    <row r="77" customFormat="false" ht="15" hidden="false" customHeight="false" outlineLevel="0" collapsed="false">
      <c r="A77" s="23" t="s">
        <v>588</v>
      </c>
      <c r="B77" s="23" t="s">
        <v>589</v>
      </c>
      <c r="C77" s="23" t="s">
        <v>795</v>
      </c>
      <c r="D77" s="23" t="s">
        <v>125</v>
      </c>
      <c r="E77" s="23" t="s">
        <v>880</v>
      </c>
      <c r="F77" s="23" t="n">
        <f aca="false">COUNTIF(Edges!$A$2:$A$221,A77)+COUNTIF(Edges!$B$2:$B$221,A77)</f>
        <v>1</v>
      </c>
      <c r="G77" s="1"/>
      <c r="H77" s="1"/>
      <c r="I77" s="1"/>
      <c r="J77" s="1"/>
    </row>
    <row r="78" customFormat="false" ht="15" hidden="false" customHeight="false" outlineLevel="0" collapsed="false">
      <c r="A78" s="23"/>
      <c r="B78" s="23"/>
      <c r="C78" s="23"/>
      <c r="D78" s="23"/>
      <c r="E78" s="23"/>
      <c r="F78" s="23"/>
      <c r="G78" s="1"/>
      <c r="H78" s="1"/>
      <c r="I78" s="1"/>
      <c r="J78" s="1"/>
    </row>
    <row r="79" customFormat="false" ht="23.85" hidden="false" customHeight="false" outlineLevel="0" collapsed="false">
      <c r="A79" s="23" t="s">
        <v>602</v>
      </c>
      <c r="B79" s="23" t="s">
        <v>603</v>
      </c>
      <c r="C79" s="23" t="s">
        <v>795</v>
      </c>
      <c r="D79" s="23" t="s">
        <v>125</v>
      </c>
      <c r="E79" s="23" t="s">
        <v>881</v>
      </c>
      <c r="F79" s="23" t="n">
        <f aca="false">COUNTIF(Edges!$A$2:$A$221,A79)+COUNTIF(Edges!$B$2:$B$221,A79)</f>
        <v>2</v>
      </c>
      <c r="G79" s="1"/>
      <c r="H79" s="1"/>
      <c r="I79" s="1"/>
      <c r="J79" s="1"/>
    </row>
    <row r="80" customFormat="false" ht="23.85" hidden="false" customHeight="false" outlineLevel="0" collapsed="false">
      <c r="A80" s="23" t="s">
        <v>595</v>
      </c>
      <c r="B80" s="23" t="s">
        <v>596</v>
      </c>
      <c r="C80" s="23" t="s">
        <v>795</v>
      </c>
      <c r="D80" s="23" t="s">
        <v>125</v>
      </c>
      <c r="E80" s="23" t="s">
        <v>882</v>
      </c>
      <c r="F80" s="23" t="n">
        <f aca="false">COUNTIF(Edges!$A$2:$A$221,A80)+COUNTIF(Edges!$B$2:$B$221,A80)</f>
        <v>2</v>
      </c>
      <c r="G80" s="1"/>
      <c r="H80" s="1"/>
      <c r="I80" s="1"/>
      <c r="J80" s="1"/>
    </row>
    <row r="81" customFormat="false" ht="15" hidden="false" customHeight="false" outlineLevel="0" collapsed="false">
      <c r="A81" s="23" t="s">
        <v>673</v>
      </c>
      <c r="B81" s="23" t="s">
        <v>674</v>
      </c>
      <c r="C81" s="23" t="s">
        <v>805</v>
      </c>
      <c r="D81" s="23" t="s">
        <v>125</v>
      </c>
      <c r="E81" s="23" t="s">
        <v>883</v>
      </c>
      <c r="F81" s="23" t="n">
        <f aca="false">COUNTIF(Edges!$A$2:$A$221,A81)+COUNTIF(Edges!$B$2:$B$221,A81)</f>
        <v>2</v>
      </c>
      <c r="G81" s="1"/>
      <c r="H81" s="1"/>
      <c r="I81" s="1"/>
      <c r="J81" s="1"/>
    </row>
    <row r="82" customFormat="false" ht="15" hidden="false" customHeight="false" outlineLevel="0" collapsed="false">
      <c r="A82" s="23" t="s">
        <v>329</v>
      </c>
      <c r="B82" s="23" t="s">
        <v>330</v>
      </c>
      <c r="C82" s="23" t="s">
        <v>795</v>
      </c>
      <c r="D82" s="23" t="s">
        <v>125</v>
      </c>
      <c r="E82" s="23" t="s">
        <v>884</v>
      </c>
      <c r="F82" s="23" t="n">
        <f aca="false">COUNTIF(Edges!$A$2:$A$221,A82)+COUNTIF(Edges!$B$2:$B$221,A82)</f>
        <v>1</v>
      </c>
      <c r="G82" s="1"/>
      <c r="H82" s="1"/>
      <c r="I82" s="1"/>
      <c r="J82" s="1"/>
    </row>
    <row r="83" customFormat="false" ht="23.85" hidden="false" customHeight="false" outlineLevel="0" collapsed="false">
      <c r="A83" s="23" t="s">
        <v>505</v>
      </c>
      <c r="B83" s="23" t="s">
        <v>506</v>
      </c>
      <c r="C83" s="23" t="s">
        <v>795</v>
      </c>
      <c r="D83" s="23" t="s">
        <v>125</v>
      </c>
      <c r="E83" s="23" t="s">
        <v>885</v>
      </c>
      <c r="F83" s="23" t="n">
        <f aca="false">COUNTIF(Edges!$A$2:$A$221,A83)+COUNTIF(Edges!$B$2:$B$221,A83)</f>
        <v>1</v>
      </c>
      <c r="G83" s="1"/>
      <c r="H83" s="1"/>
      <c r="I83" s="1"/>
      <c r="J83" s="1"/>
    </row>
    <row r="84" customFormat="false" ht="23.85" hidden="false" customHeight="false" outlineLevel="0" collapsed="false">
      <c r="A84" s="23" t="s">
        <v>609</v>
      </c>
      <c r="B84" s="23" t="s">
        <v>610</v>
      </c>
      <c r="C84" s="23" t="s">
        <v>795</v>
      </c>
      <c r="D84" s="23" t="s">
        <v>125</v>
      </c>
      <c r="E84" s="23" t="s">
        <v>886</v>
      </c>
      <c r="F84" s="23" t="n">
        <f aca="false">COUNTIF(Edges!$A$2:$A$221,A84)+COUNTIF(Edges!$B$2:$B$221,A84)</f>
        <v>1</v>
      </c>
      <c r="G84" s="1"/>
      <c r="H84" s="1"/>
      <c r="I84" s="1"/>
      <c r="J84" s="1"/>
    </row>
    <row r="85" customFormat="false" ht="23.85" hidden="false" customHeight="false" outlineLevel="0" collapsed="false">
      <c r="A85" s="23" t="s">
        <v>636</v>
      </c>
      <c r="B85" s="23" t="s">
        <v>637</v>
      </c>
      <c r="C85" s="23" t="s">
        <v>805</v>
      </c>
      <c r="D85" s="23" t="s">
        <v>93</v>
      </c>
      <c r="E85" s="23" t="s">
        <v>887</v>
      </c>
      <c r="F85" s="23" t="n">
        <f aca="false">COUNTIF(Edges!$A$2:$A$221,A85)+COUNTIF(Edges!$B$2:$B$221,A85)</f>
        <v>4</v>
      </c>
      <c r="G85" s="1"/>
      <c r="H85" s="1"/>
      <c r="I85" s="1"/>
      <c r="J85" s="1"/>
    </row>
    <row r="86" customFormat="false" ht="15" hidden="false" customHeight="false" outlineLevel="0" collapsed="false">
      <c r="A86" s="23" t="s">
        <v>630</v>
      </c>
      <c r="B86" s="23" t="s">
        <v>631</v>
      </c>
      <c r="C86" s="23" t="s">
        <v>805</v>
      </c>
      <c r="D86" s="23" t="s">
        <v>93</v>
      </c>
      <c r="E86" s="23" t="s">
        <v>888</v>
      </c>
      <c r="F86" s="23" t="n">
        <f aca="false">COUNTIF(Edges!$A$2:$A$221,A86)+COUNTIF(Edges!$B$2:$B$221,A86)</f>
        <v>4</v>
      </c>
      <c r="G86" s="1"/>
      <c r="H86" s="1"/>
      <c r="I86" s="1"/>
      <c r="J86" s="1"/>
    </row>
    <row r="87" customFormat="false" ht="23.85" hidden="false" customHeight="false" outlineLevel="0" collapsed="false">
      <c r="A87" s="23" t="s">
        <v>661</v>
      </c>
      <c r="B87" s="23" t="s">
        <v>662</v>
      </c>
      <c r="C87" s="23" t="s">
        <v>805</v>
      </c>
      <c r="D87" s="23" t="s">
        <v>93</v>
      </c>
      <c r="E87" s="23" t="s">
        <v>889</v>
      </c>
      <c r="F87" s="23" t="n">
        <f aca="false">COUNTIF(Edges!$A$2:$A$221,A87)+COUNTIF(Edges!$B$2:$B$221,A87)</f>
        <v>2</v>
      </c>
      <c r="G87" s="1"/>
      <c r="H87" s="1"/>
      <c r="I87" s="1"/>
      <c r="J87" s="1"/>
    </row>
    <row r="88" customFormat="false" ht="15" hidden="false" customHeight="false" outlineLevel="0" collapsed="false">
      <c r="A88" s="23" t="s">
        <v>539</v>
      </c>
      <c r="B88" s="23" t="s">
        <v>540</v>
      </c>
      <c r="C88" s="23" t="s">
        <v>792</v>
      </c>
      <c r="D88" s="23" t="s">
        <v>242</v>
      </c>
      <c r="E88" s="23" t="s">
        <v>890</v>
      </c>
      <c r="F88" s="23" t="n">
        <f aca="false">COUNTIF(Edges!$A$2:$A$221,A88)+COUNTIF(Edges!$B$2:$B$221,A88)</f>
        <v>3</v>
      </c>
      <c r="G88" s="1"/>
      <c r="H88" s="1"/>
      <c r="I88" s="1"/>
      <c r="J88" s="1"/>
    </row>
    <row r="89" customFormat="false" ht="15" hidden="false" customHeight="false" outlineLevel="0" collapsed="false">
      <c r="A89" s="23" t="s">
        <v>473</v>
      </c>
      <c r="B89" s="23" t="s">
        <v>474</v>
      </c>
      <c r="C89" s="23" t="s">
        <v>795</v>
      </c>
      <c r="D89" s="23" t="s">
        <v>242</v>
      </c>
      <c r="E89" s="23" t="s">
        <v>891</v>
      </c>
      <c r="F89" s="23" t="n">
        <f aca="false">COUNTIF(Edges!$A$2:$A$221,A89)+COUNTIF(Edges!$B$2:$B$221,A89)</f>
        <v>2</v>
      </c>
      <c r="G89" s="1"/>
      <c r="H89" s="1"/>
      <c r="I89" s="1"/>
      <c r="J89" s="1"/>
    </row>
    <row r="90" customFormat="false" ht="23.85" hidden="false" customHeight="false" outlineLevel="0" collapsed="false">
      <c r="A90" s="23" t="s">
        <v>725</v>
      </c>
      <c r="B90" s="23" t="s">
        <v>726</v>
      </c>
      <c r="C90" s="23" t="s">
        <v>803</v>
      </c>
      <c r="D90" s="23" t="s">
        <v>226</v>
      </c>
      <c r="E90" s="23" t="s">
        <v>892</v>
      </c>
      <c r="F90" s="23" t="n">
        <f aca="false">COUNTIF(Edges!$A$2:$A$221,A90)+COUNTIF(Edges!$B$2:$B$221,A90)</f>
        <v>2</v>
      </c>
      <c r="G90" s="1"/>
      <c r="H90" s="1"/>
      <c r="I90" s="1"/>
      <c r="J90" s="1"/>
    </row>
    <row r="91" customFormat="false" ht="23.85" hidden="false" customHeight="false" outlineLevel="0" collapsed="false">
      <c r="A91" s="23" t="s">
        <v>339</v>
      </c>
      <c r="B91" s="23" t="s">
        <v>340</v>
      </c>
      <c r="C91" s="23" t="s">
        <v>795</v>
      </c>
      <c r="D91" s="23" t="s">
        <v>242</v>
      </c>
      <c r="E91" s="23" t="s">
        <v>893</v>
      </c>
      <c r="F91" s="23" t="n">
        <f aca="false">COUNTIF(Edges!$A$2:$A$221,A91)+COUNTIF(Edges!$B$2:$B$221,A91)</f>
        <v>3</v>
      </c>
      <c r="G91" s="1"/>
      <c r="H91" s="1"/>
      <c r="I91" s="1"/>
      <c r="J91" s="1"/>
    </row>
    <row r="92" customFormat="false" ht="23.85" hidden="false" customHeight="false" outlineLevel="0" collapsed="false">
      <c r="A92" s="23" t="s">
        <v>750</v>
      </c>
      <c r="B92" s="23" t="s">
        <v>751</v>
      </c>
      <c r="C92" s="23" t="s">
        <v>795</v>
      </c>
      <c r="D92" s="23" t="s">
        <v>187</v>
      </c>
      <c r="E92" s="23" t="s">
        <v>894</v>
      </c>
      <c r="F92" s="23" t="n">
        <f aca="false">COUNTIF(Edges!$A$2:$A$221,A92)+COUNTIF(Edges!$B$2:$B$221,A92)</f>
        <v>3</v>
      </c>
      <c r="G92" s="1"/>
      <c r="H92" s="1"/>
      <c r="I92" s="1"/>
      <c r="J92" s="1"/>
    </row>
    <row r="93" customFormat="false" ht="23.85" hidden="false" customHeight="false" outlineLevel="0" collapsed="false">
      <c r="A93" s="23" t="s">
        <v>757</v>
      </c>
      <c r="B93" s="23" t="s">
        <v>758</v>
      </c>
      <c r="C93" s="23" t="s">
        <v>795</v>
      </c>
      <c r="D93" s="23" t="s">
        <v>187</v>
      </c>
      <c r="E93" s="23" t="s">
        <v>895</v>
      </c>
      <c r="F93" s="23" t="n">
        <f aca="false">COUNTIF(Edges!$A$2:$A$221,A93)+COUNTIF(Edges!$B$2:$B$221,A93)</f>
        <v>2</v>
      </c>
      <c r="G93" s="1"/>
      <c r="H93" s="1"/>
      <c r="I93" s="1"/>
      <c r="J93" s="1"/>
    </row>
    <row r="94" customFormat="false" ht="23.85" hidden="false" customHeight="false" outlineLevel="0" collapsed="false">
      <c r="A94" s="23" t="s">
        <v>763</v>
      </c>
      <c r="B94" s="23" t="s">
        <v>764</v>
      </c>
      <c r="C94" s="23" t="s">
        <v>795</v>
      </c>
      <c r="D94" s="23" t="s">
        <v>242</v>
      </c>
      <c r="E94" s="23" t="s">
        <v>896</v>
      </c>
      <c r="F94" s="23" t="n">
        <f aca="false">COUNTIF(Edges!$A$2:$A$221,A94)+COUNTIF(Edges!$B$2:$B$221,A94)</f>
        <v>3</v>
      </c>
      <c r="G94" s="1"/>
      <c r="H94" s="1"/>
      <c r="I94" s="1"/>
      <c r="J94" s="1"/>
    </row>
    <row r="95" customFormat="false" ht="23.85" hidden="false" customHeight="false" outlineLevel="0" collapsed="false">
      <c r="A95" s="23" t="s">
        <v>768</v>
      </c>
      <c r="B95" s="23" t="s">
        <v>769</v>
      </c>
      <c r="C95" s="23" t="s">
        <v>795</v>
      </c>
      <c r="D95" s="23" t="s">
        <v>187</v>
      </c>
      <c r="E95" s="23" t="s">
        <v>897</v>
      </c>
      <c r="F95" s="23" t="n">
        <f aca="false">COUNTIF(Edges!$A$2:$A$221,A95)+COUNTIF(Edges!$B$2:$B$221,A95)</f>
        <v>2</v>
      </c>
      <c r="G95" s="1"/>
      <c r="H95" s="1"/>
      <c r="I95" s="1"/>
      <c r="J95" s="1"/>
    </row>
    <row r="96" customFormat="false" ht="23.85" hidden="false" customHeight="false" outlineLevel="0" collapsed="false">
      <c r="A96" s="23" t="s">
        <v>773</v>
      </c>
      <c r="B96" s="23" t="s">
        <v>774</v>
      </c>
      <c r="C96" s="23" t="s">
        <v>795</v>
      </c>
      <c r="D96" s="23" t="s">
        <v>187</v>
      </c>
      <c r="E96" s="23" t="s">
        <v>898</v>
      </c>
      <c r="F96" s="23" t="n">
        <f aca="false">COUNTIF(Edges!$A$2:$A$221,A96)+COUNTIF(Edges!$B$2:$B$221,A96)</f>
        <v>2</v>
      </c>
      <c r="G96" s="1"/>
      <c r="H96" s="1"/>
      <c r="I96" s="1"/>
      <c r="J96" s="1"/>
    </row>
    <row r="97" customFormat="false" ht="23.85" hidden="false" customHeight="false" outlineLevel="0" collapsed="false">
      <c r="A97" s="23" t="s">
        <v>780</v>
      </c>
      <c r="B97" s="23" t="s">
        <v>781</v>
      </c>
      <c r="C97" s="23" t="s">
        <v>795</v>
      </c>
      <c r="D97" s="23" t="s">
        <v>242</v>
      </c>
      <c r="E97" s="23" t="s">
        <v>899</v>
      </c>
      <c r="F97" s="23" t="n">
        <f aca="false">COUNTIF(Edges!$A$2:$A$221,A97)+COUNTIF(Edges!$B$2:$B$221,A97)</f>
        <v>2</v>
      </c>
      <c r="G97" s="1"/>
      <c r="H97" s="1"/>
      <c r="I97" s="1"/>
      <c r="J97" s="1"/>
    </row>
  </sheetData>
  <autoFilter ref="A1:F5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4"/>
    <col collapsed="false" customWidth="true" hidden="false" outlineLevel="0" max="3" min="3" style="1" width="60"/>
    <col collapsed="false" customWidth="true" hidden="false" outlineLevel="0" max="4" min="4" style="1" width="22"/>
    <col collapsed="false" customWidth="true" hidden="false" outlineLevel="0" max="6" min="5" style="1" width="30"/>
  </cols>
  <sheetData>
    <row r="1" customFormat="false" ht="15" hidden="false" customHeight="true" outlineLevel="0" collapsed="false">
      <c r="A1" s="22" t="s">
        <v>900</v>
      </c>
      <c r="B1" s="22" t="s">
        <v>901</v>
      </c>
      <c r="C1" s="22" t="s">
        <v>786</v>
      </c>
      <c r="D1" s="22" t="s">
        <v>902</v>
      </c>
      <c r="E1" s="22" t="s">
        <v>903</v>
      </c>
      <c r="F1" s="22" t="s">
        <v>904</v>
      </c>
    </row>
    <row r="2" customFormat="false" ht="15" hidden="false" customHeight="true" outlineLevel="0" collapsed="false">
      <c r="A2" s="23" t="s">
        <v>743</v>
      </c>
      <c r="B2" s="23" t="s">
        <v>39</v>
      </c>
      <c r="C2" s="23" t="s">
        <v>905</v>
      </c>
      <c r="D2" s="23" t="s">
        <v>906</v>
      </c>
      <c r="E2" s="23" t="str">
        <f aca="false">INDEX(Nodes!$B$2:$B$97,MATCH(A2,Nodes!$A$2:$A$97,0))</f>
        <v>Associações de aposentados</v>
      </c>
      <c r="F2" s="23" t="str">
        <f aca="false">INDEX(Nodes!$B$2:$B$97,MATCH(B2,Nodes!$A$2:$A$97,0))</f>
        <v>Careca do INSS</v>
      </c>
    </row>
    <row r="3" customFormat="false" ht="15" hidden="false" customHeight="true" outlineLevel="0" collapsed="false">
      <c r="A3" s="23" t="s">
        <v>39</v>
      </c>
      <c r="B3" s="23" t="s">
        <v>54</v>
      </c>
      <c r="C3" s="23" t="s">
        <v>907</v>
      </c>
      <c r="D3" s="23" t="s">
        <v>906</v>
      </c>
      <c r="E3" s="23" t="str">
        <f aca="false">INDEX(Nodes!$B$2:$B$97,MATCH(A3,Nodes!$A$2:$A$97,0))</f>
        <v>Careca do INSS</v>
      </c>
      <c r="F3" s="23" t="str">
        <f aca="false">INDEX(Nodes!$B$2:$B$97,MATCH(B3,Nodes!$A$2:$A$97,0))</f>
        <v>Alexandre Caetano dos Reis</v>
      </c>
    </row>
    <row r="4" customFormat="false" ht="15" hidden="false" customHeight="true" outlineLevel="0" collapsed="false">
      <c r="A4" s="23" t="s">
        <v>54</v>
      </c>
      <c r="B4" s="23" t="s">
        <v>63</v>
      </c>
      <c r="C4" s="23" t="s">
        <v>908</v>
      </c>
      <c r="D4" s="23" t="s">
        <v>906</v>
      </c>
      <c r="E4" s="23" t="str">
        <f aca="false">INDEX(Nodes!$B$2:$B$97,MATCH(A4,Nodes!$A$2:$A$97,0))</f>
        <v>Alexandre Caetano dos Reis</v>
      </c>
      <c r="F4" s="23" t="str">
        <f aca="false">INDEX(Nodes!$B$2:$B$97,MATCH(B4,Nodes!$A$2:$A$97,0))</f>
        <v>Letícia Caetano dos Reis</v>
      </c>
    </row>
    <row r="5" customFormat="false" ht="15" hidden="false" customHeight="true" outlineLevel="0" collapsed="false">
      <c r="A5" s="23" t="s">
        <v>63</v>
      </c>
      <c r="B5" s="23" t="s">
        <v>649</v>
      </c>
      <c r="C5" s="23" t="s">
        <v>909</v>
      </c>
      <c r="D5" s="23" t="s">
        <v>906</v>
      </c>
      <c r="E5" s="23" t="str">
        <f aca="false">INDEX(Nodes!$B$2:$B$97,MATCH(A5,Nodes!$A$2:$A$97,0))</f>
        <v>Letícia Caetano dos Reis</v>
      </c>
      <c r="F5" s="23" t="str">
        <f aca="false">INDEX(Nodes!$B$2:$B$97,MATCH(B5,Nodes!$A$2:$A$97,0))</f>
        <v>Escritório de advocacia de Flávio</v>
      </c>
    </row>
    <row r="6" customFormat="false" ht="15" hidden="false" customHeight="true" outlineLevel="0" collapsed="false">
      <c r="A6" s="23" t="s">
        <v>54</v>
      </c>
      <c r="B6" s="23" t="s">
        <v>649</v>
      </c>
      <c r="C6" s="23" t="s">
        <v>910</v>
      </c>
      <c r="D6" s="23" t="s">
        <v>906</v>
      </c>
      <c r="E6" s="23" t="str">
        <f aca="false">INDEX(Nodes!$B$2:$B$97,MATCH(A6,Nodes!$A$2:$A$97,0))</f>
        <v>Alexandre Caetano dos Reis</v>
      </c>
      <c r="F6" s="23" t="str">
        <f aca="false">INDEX(Nodes!$B$2:$B$97,MATCH(B6,Nodes!$A$2:$A$97,0))</f>
        <v>Escritório de advocacia de Flávio</v>
      </c>
    </row>
    <row r="7" customFormat="false" ht="15" hidden="false" customHeight="true" outlineLevel="0" collapsed="false">
      <c r="A7" s="23" t="s">
        <v>91</v>
      </c>
      <c r="B7" s="23" t="s">
        <v>63</v>
      </c>
      <c r="C7" s="23" t="s">
        <v>911</v>
      </c>
      <c r="D7" s="23" t="s">
        <v>912</v>
      </c>
      <c r="E7" s="23" t="str">
        <f aca="false">INDEX(Nodes!$B$2:$B$97,MATCH(A7,Nodes!$A$2:$A$97,0))</f>
        <v>Willer Tomaz</v>
      </c>
      <c r="F7" s="23" t="str">
        <f aca="false">INDEX(Nodes!$B$2:$B$97,MATCH(B7,Nodes!$A$2:$A$97,0))</f>
        <v>Letícia Caetano dos Reis</v>
      </c>
    </row>
    <row r="8" customFormat="false" ht="15" hidden="false" customHeight="true" outlineLevel="0" collapsed="false">
      <c r="A8" s="23" t="s">
        <v>91</v>
      </c>
      <c r="B8" s="23" t="s">
        <v>54</v>
      </c>
      <c r="C8" s="23" t="s">
        <v>913</v>
      </c>
      <c r="D8" s="23" t="s">
        <v>906</v>
      </c>
      <c r="E8" s="23" t="str">
        <f aca="false">INDEX(Nodes!$B$2:$B$97,MATCH(A8,Nodes!$A$2:$A$97,0))</f>
        <v>Willer Tomaz</v>
      </c>
      <c r="F8" s="23" t="str">
        <f aca="false">INDEX(Nodes!$B$2:$B$97,MATCH(B8,Nodes!$A$2:$A$97,0))</f>
        <v>Alexandre Caetano dos Reis</v>
      </c>
    </row>
    <row r="9" customFormat="false" ht="15" hidden="false" customHeight="true" outlineLevel="0" collapsed="false">
      <c r="A9" s="23" t="s">
        <v>91</v>
      </c>
      <c r="B9" s="23" t="s">
        <v>39</v>
      </c>
      <c r="C9" s="23" t="s">
        <v>914</v>
      </c>
      <c r="D9" s="23" t="s">
        <v>906</v>
      </c>
      <c r="E9" s="23" t="str">
        <f aca="false">INDEX(Nodes!$B$2:$B$97,MATCH(A9,Nodes!$A$2:$A$97,0))</f>
        <v>Willer Tomaz</v>
      </c>
      <c r="F9" s="23" t="str">
        <f aca="false">INDEX(Nodes!$B$2:$B$97,MATCH(B9,Nodes!$A$2:$A$97,0))</f>
        <v>Careca do INSS</v>
      </c>
    </row>
    <row r="10" customFormat="false" ht="15" hidden="false" customHeight="true" outlineLevel="0" collapsed="false">
      <c r="A10" s="23" t="s">
        <v>351</v>
      </c>
      <c r="B10" s="23" t="s">
        <v>39</v>
      </c>
      <c r="C10" s="23" t="s">
        <v>915</v>
      </c>
      <c r="D10" s="23" t="s">
        <v>906</v>
      </c>
      <c r="E10" s="23" t="str">
        <f aca="false">INDEX(Nodes!$B$2:$B$97,MATCH(A10,Nodes!$A$2:$A$97,0))</f>
        <v>Polícia Federal</v>
      </c>
      <c r="F10" s="23" t="str">
        <f aca="false">INDEX(Nodes!$B$2:$B$97,MATCH(B10,Nodes!$A$2:$A$97,0))</f>
        <v>Careca do INSS</v>
      </c>
    </row>
    <row r="11" customFormat="false" ht="15" hidden="false" customHeight="true" outlineLevel="0" collapsed="false">
      <c r="A11" s="23" t="s">
        <v>73</v>
      </c>
      <c r="B11" s="23" t="s">
        <v>39</v>
      </c>
      <c r="C11" s="23" t="s">
        <v>916</v>
      </c>
      <c r="D11" s="23" t="s">
        <v>912</v>
      </c>
      <c r="E11" s="23" t="str">
        <f aca="false">INDEX(Nodes!$B$2:$B$97,MATCH(A11,Nodes!$A$2:$A$97,0))</f>
        <v>Lulinha</v>
      </c>
      <c r="F11" s="23" t="str">
        <f aca="false">INDEX(Nodes!$B$2:$B$97,MATCH(B11,Nodes!$A$2:$A$97,0))</f>
        <v>Careca do INSS</v>
      </c>
    </row>
    <row r="12" customFormat="false" ht="15" hidden="false" customHeight="true" outlineLevel="0" collapsed="false">
      <c r="A12" s="23" t="s">
        <v>73</v>
      </c>
      <c r="B12" s="23" t="s">
        <v>82</v>
      </c>
      <c r="C12" s="23" t="s">
        <v>917</v>
      </c>
      <c r="D12" s="23" t="s">
        <v>912</v>
      </c>
      <c r="E12" s="23" t="str">
        <f aca="false">INDEX(Nodes!$B$2:$B$97,MATCH(A12,Nodes!$A$2:$A$97,0))</f>
        <v>Lulinha</v>
      </c>
      <c r="F12" s="23" t="str">
        <f aca="false">INDEX(Nodes!$B$2:$B$97,MATCH(B12,Nodes!$A$2:$A$97,0))</f>
        <v>Roberta (lobista)</v>
      </c>
    </row>
    <row r="13" customFormat="false" ht="15" hidden="false" customHeight="true" outlineLevel="0" collapsed="false">
      <c r="A13" s="23" t="s">
        <v>82</v>
      </c>
      <c r="B13" s="23" t="s">
        <v>39</v>
      </c>
      <c r="C13" s="23" t="s">
        <v>918</v>
      </c>
      <c r="D13" s="23" t="s">
        <v>906</v>
      </c>
      <c r="E13" s="23" t="str">
        <f aca="false">INDEX(Nodes!$B$2:$B$97,MATCH(A13,Nodes!$A$2:$A$97,0))</f>
        <v>Roberta (lobista)</v>
      </c>
      <c r="F13" s="23" t="str">
        <f aca="false">INDEX(Nodes!$B$2:$B$97,MATCH(B13,Nodes!$A$2:$A$97,0))</f>
        <v>Careca do INSS</v>
      </c>
    </row>
    <row r="14" customFormat="false" ht="15" hidden="false" customHeight="true" outlineLevel="0" collapsed="false">
      <c r="A14" s="23" t="s">
        <v>39</v>
      </c>
      <c r="B14" s="23" t="s">
        <v>732</v>
      </c>
      <c r="C14" s="23" t="s">
        <v>919</v>
      </c>
      <c r="D14" s="23" t="s">
        <v>906</v>
      </c>
      <c r="E14" s="23" t="str">
        <f aca="false">INDEX(Nodes!$B$2:$B$97,MATCH(A14,Nodes!$A$2:$A$97,0))</f>
        <v>Careca do INSS</v>
      </c>
      <c r="F14" s="23" t="str">
        <f aca="false">INDEX(Nodes!$B$2:$B$97,MATCH(B14,Nodes!$A$2:$A$97,0))</f>
        <v>Sala em Águas Claras (DF)</v>
      </c>
    </row>
    <row r="15" customFormat="false" ht="15" hidden="false" customHeight="true" outlineLevel="0" collapsed="false">
      <c r="A15" s="23" t="s">
        <v>642</v>
      </c>
      <c r="B15" s="23" t="s">
        <v>732</v>
      </c>
      <c r="C15" s="23" t="s">
        <v>920</v>
      </c>
      <c r="D15" s="23" t="s">
        <v>906</v>
      </c>
      <c r="E15" s="23" t="str">
        <f aca="false">INDEX(Nodes!$B$2:$B$97,MATCH(A15,Nodes!$A$2:$A$97,0))</f>
        <v>Bravo Grafeno</v>
      </c>
      <c r="F15" s="23" t="str">
        <f aca="false">INDEX(Nodes!$B$2:$B$97,MATCH(B15,Nodes!$A$2:$A$97,0))</f>
        <v>Sala em Águas Claras (DF)</v>
      </c>
    </row>
    <row r="16" customFormat="false" ht="15" hidden="false" customHeight="true" outlineLevel="0" collapsed="false">
      <c r="A16" s="23" t="s">
        <v>642</v>
      </c>
      <c r="B16" s="23" t="s">
        <v>123</v>
      </c>
      <c r="C16" s="23" t="s">
        <v>921</v>
      </c>
      <c r="D16" s="23" t="s">
        <v>906</v>
      </c>
      <c r="E16" s="23" t="str">
        <f aca="false">INDEX(Nodes!$B$2:$B$97,MATCH(A16,Nodes!$A$2:$A$97,0))</f>
        <v>Bravo Grafeno</v>
      </c>
      <c r="F16" s="23" t="str">
        <f aca="false">INDEX(Nodes!$B$2:$B$97,MATCH(B16,Nodes!$A$2:$A$97,0))</f>
        <v>Flávio Bolsonaro</v>
      </c>
    </row>
    <row r="17" customFormat="false" ht="15" hidden="false" customHeight="true" outlineLevel="0" collapsed="false">
      <c r="A17" s="23" t="s">
        <v>642</v>
      </c>
      <c r="B17" s="23" t="s">
        <v>139</v>
      </c>
      <c r="C17" s="23" t="s">
        <v>922</v>
      </c>
      <c r="D17" s="23" t="s">
        <v>906</v>
      </c>
      <c r="E17" s="23" t="str">
        <f aca="false">INDEX(Nodes!$B$2:$B$97,MATCH(A17,Nodes!$A$2:$A$97,0))</f>
        <v>Bravo Grafeno</v>
      </c>
      <c r="F17" s="23" t="str">
        <f aca="false">INDEX(Nodes!$B$2:$B$97,MATCH(B17,Nodes!$A$2:$A$97,0))</f>
        <v>Carlos Bolsonaro</v>
      </c>
    </row>
    <row r="18" customFormat="false" ht="15" hidden="false" customHeight="true" outlineLevel="0" collapsed="false">
      <c r="A18" s="23" t="s">
        <v>123</v>
      </c>
      <c r="B18" s="23" t="s">
        <v>139</v>
      </c>
      <c r="C18" s="23" t="s">
        <v>908</v>
      </c>
      <c r="D18" s="23" t="s">
        <v>906</v>
      </c>
      <c r="E18" s="23" t="str">
        <f aca="false">INDEX(Nodes!$B$2:$B$97,MATCH(A18,Nodes!$A$2:$A$97,0))</f>
        <v>Flávio Bolsonaro</v>
      </c>
      <c r="F18" s="23" t="str">
        <f aca="false">INDEX(Nodes!$B$2:$B$97,MATCH(B18,Nodes!$A$2:$A$97,0))</f>
        <v>Carlos Bolsonaro</v>
      </c>
    </row>
    <row r="19" customFormat="false" ht="15" hidden="false" customHeight="true" outlineLevel="0" collapsed="false">
      <c r="A19" s="23" t="s">
        <v>91</v>
      </c>
      <c r="B19" s="23" t="s">
        <v>737</v>
      </c>
      <c r="C19" s="23" t="s">
        <v>923</v>
      </c>
      <c r="D19" s="23" t="s">
        <v>906</v>
      </c>
      <c r="E19" s="23" t="str">
        <f aca="false">INDEX(Nodes!$B$2:$B$97,MATCH(A19,Nodes!$A$2:$A$97,0))</f>
        <v>Willer Tomaz</v>
      </c>
      <c r="F19" s="23" t="str">
        <f aca="false">INDEX(Nodes!$B$2:$B$97,MATCH(B19,Nodes!$A$2:$A$97,0))</f>
        <v>Escritório de Willer</v>
      </c>
    </row>
    <row r="20" customFormat="false" ht="15" hidden="false" customHeight="true" outlineLevel="0" collapsed="false">
      <c r="A20" s="23" t="s">
        <v>91</v>
      </c>
      <c r="B20" s="23" t="s">
        <v>696</v>
      </c>
      <c r="C20" s="23" t="s">
        <v>924</v>
      </c>
      <c r="D20" s="23" t="s">
        <v>906</v>
      </c>
      <c r="E20" s="23" t="str">
        <f aca="false">INDEX(Nodes!$B$2:$B$97,MATCH(A20,Nodes!$A$2:$A$97,0))</f>
        <v>Willer Tomaz</v>
      </c>
      <c r="F20" s="23" t="str">
        <f aca="false">INDEX(Nodes!$B$2:$B$97,MATCH(B20,Nodes!$A$2:$A$97,0))</f>
        <v>Blaze e sites de apostas</v>
      </c>
    </row>
    <row r="21" customFormat="false" ht="15" hidden="false" customHeight="true" outlineLevel="0" collapsed="false">
      <c r="A21" s="23" t="s">
        <v>91</v>
      </c>
      <c r="B21" s="23" t="s">
        <v>104</v>
      </c>
      <c r="C21" s="23" t="s">
        <v>925</v>
      </c>
      <c r="D21" s="23" t="s">
        <v>906</v>
      </c>
      <c r="E21" s="23" t="str">
        <f aca="false">INDEX(Nodes!$B$2:$B$97,MATCH(A21,Nodes!$A$2:$A$97,0))</f>
        <v>Willer Tomaz</v>
      </c>
      <c r="F21" s="23" t="str">
        <f aca="false">INDEX(Nodes!$B$2:$B$97,MATCH(B21,Nodes!$A$2:$A$97,0))</f>
        <v>Lídia Mazelli</v>
      </c>
    </row>
    <row r="22" customFormat="false" ht="15" hidden="false" customHeight="true" outlineLevel="0" collapsed="false">
      <c r="A22" s="23" t="s">
        <v>104</v>
      </c>
      <c r="B22" s="23" t="s">
        <v>407</v>
      </c>
      <c r="C22" s="23" t="s">
        <v>926</v>
      </c>
      <c r="D22" s="23" t="s">
        <v>906</v>
      </c>
      <c r="E22" s="23" t="str">
        <f aca="false">INDEX(Nodes!$B$2:$B$97,MATCH(A22,Nodes!$A$2:$A$97,0))</f>
        <v>Lídia Mazelli</v>
      </c>
      <c r="F22" s="23" t="str">
        <f aca="false">INDEX(Nodes!$B$2:$B$97,MATCH(B22,Nodes!$A$2:$A$97,0))</f>
        <v>WT (e outras 13 empresas)</v>
      </c>
    </row>
    <row r="23" customFormat="false" ht="15" hidden="false" customHeight="true" outlineLevel="0" collapsed="false">
      <c r="A23" s="23" t="s">
        <v>91</v>
      </c>
      <c r="B23" s="23" t="s">
        <v>400</v>
      </c>
      <c r="C23" s="23" t="s">
        <v>927</v>
      </c>
      <c r="D23" s="23" t="s">
        <v>906</v>
      </c>
      <c r="E23" s="23" t="str">
        <f aca="false">INDEX(Nodes!$B$2:$B$97,MATCH(A23,Nodes!$A$2:$A$97,0))</f>
        <v>Willer Tomaz</v>
      </c>
      <c r="F23" s="23" t="str">
        <f aca="false">INDEX(Nodes!$B$2:$B$97,MATCH(B23,Nodes!$A$2:$A$97,0))</f>
        <v>Alcazar Holdings</v>
      </c>
    </row>
    <row r="24" customFormat="false" ht="15" hidden="false" customHeight="true" outlineLevel="0" collapsed="false">
      <c r="A24" s="23" t="s">
        <v>400</v>
      </c>
      <c r="B24" s="23" t="s">
        <v>687</v>
      </c>
      <c r="C24" s="23" t="s">
        <v>928</v>
      </c>
      <c r="D24" s="23" t="s">
        <v>906</v>
      </c>
      <c r="E24" s="23" t="str">
        <f aca="false">INDEX(Nodes!$B$2:$B$97,MATCH(A24,Nodes!$A$2:$A$97,0))</f>
        <v>Alcazar Holdings</v>
      </c>
      <c r="F24" s="23" t="str">
        <f aca="false">INDEX(Nodes!$B$2:$B$97,MATCH(B24,Nodes!$A$2:$A$97,0))</f>
        <v>Santander</v>
      </c>
    </row>
    <row r="25" customFormat="false" ht="15" hidden="false" customHeight="true" outlineLevel="0" collapsed="false">
      <c r="A25" s="23" t="s">
        <v>687</v>
      </c>
      <c r="B25" s="23" t="s">
        <v>123</v>
      </c>
      <c r="C25" s="23" t="s">
        <v>929</v>
      </c>
      <c r="D25" s="23" t="s">
        <v>912</v>
      </c>
      <c r="E25" s="23" t="str">
        <f aca="false">INDEX(Nodes!$B$2:$B$97,MATCH(A25,Nodes!$A$2:$A$97,0))</f>
        <v>Santander</v>
      </c>
      <c r="F25" s="23" t="str">
        <f aca="false">INDEX(Nodes!$B$2:$B$97,MATCH(B25,Nodes!$A$2:$A$97,0))</f>
        <v>Flávio Bolsonaro</v>
      </c>
    </row>
    <row r="26" customFormat="false" ht="15" hidden="false" customHeight="true" outlineLevel="0" collapsed="false">
      <c r="A26" s="23" t="s">
        <v>400</v>
      </c>
      <c r="B26" s="23" t="s">
        <v>123</v>
      </c>
      <c r="C26" s="23" t="s">
        <v>930</v>
      </c>
      <c r="D26" s="23" t="s">
        <v>912</v>
      </c>
      <c r="E26" s="23" t="str">
        <f aca="false">INDEX(Nodes!$B$2:$B$97,MATCH(A26,Nodes!$A$2:$A$97,0))</f>
        <v>Alcazar Holdings</v>
      </c>
      <c r="F26" s="23" t="str">
        <f aca="false">INDEX(Nodes!$B$2:$B$97,MATCH(B26,Nodes!$A$2:$A$97,0))</f>
        <v>Flávio Bolsonaro</v>
      </c>
    </row>
    <row r="27" customFormat="false" ht="15" hidden="false" customHeight="true" outlineLevel="0" collapsed="false">
      <c r="A27" s="23" t="s">
        <v>91</v>
      </c>
      <c r="B27" s="23" t="s">
        <v>123</v>
      </c>
      <c r="C27" s="23" t="s">
        <v>931</v>
      </c>
      <c r="D27" s="23" t="s">
        <v>912</v>
      </c>
      <c r="E27" s="23" t="str">
        <f aca="false">INDEX(Nodes!$B$2:$B$97,MATCH(A27,Nodes!$A$2:$A$97,0))</f>
        <v>Willer Tomaz</v>
      </c>
      <c r="F27" s="23" t="str">
        <f aca="false">INDEX(Nodes!$B$2:$B$97,MATCH(B27,Nodes!$A$2:$A$97,0))</f>
        <v>Flávio Bolsonaro</v>
      </c>
    </row>
    <row r="28" customFormat="false" ht="15" hidden="false" customHeight="true" outlineLevel="0" collapsed="false">
      <c r="A28" s="23" t="s">
        <v>530</v>
      </c>
      <c r="B28" s="23" t="s">
        <v>91</v>
      </c>
      <c r="C28" s="23" t="s">
        <v>932</v>
      </c>
      <c r="D28" s="23" t="s">
        <v>906</v>
      </c>
      <c r="E28" s="23" t="str">
        <f aca="false">INDEX(Nodes!$B$2:$B$97,MATCH(A28,Nodes!$A$2:$A$97,0))</f>
        <v>CPI da pandemia (Covaxin)</v>
      </c>
      <c r="F28" s="23" t="str">
        <f aca="false">INDEX(Nodes!$B$2:$B$97,MATCH(B28,Nodes!$A$2:$A$97,0))</f>
        <v>Willer Tomaz</v>
      </c>
    </row>
    <row r="29" customFormat="false" ht="15" hidden="false" customHeight="true" outlineLevel="0" collapsed="false">
      <c r="A29" s="23" t="s">
        <v>112</v>
      </c>
      <c r="B29" s="23" t="s">
        <v>530</v>
      </c>
      <c r="C29" s="23" t="s">
        <v>933</v>
      </c>
      <c r="D29" s="23" t="s">
        <v>906</v>
      </c>
      <c r="E29" s="23" t="str">
        <f aca="false">INDEX(Nodes!$B$2:$B$97,MATCH(A29,Nodes!$A$2:$A$97,0))</f>
        <v>Renan Calheiros</v>
      </c>
      <c r="F29" s="23" t="str">
        <f aca="false">INDEX(Nodes!$B$2:$B$97,MATCH(B29,Nodes!$A$2:$A$97,0))</f>
        <v>CPI da pandemia (Covaxin)</v>
      </c>
    </row>
    <row r="30" customFormat="false" ht="15" hidden="false" customHeight="true" outlineLevel="0" collapsed="false">
      <c r="A30" s="23" t="s">
        <v>530</v>
      </c>
      <c r="B30" s="23" t="s">
        <v>123</v>
      </c>
      <c r="C30" s="23" t="s">
        <v>934</v>
      </c>
      <c r="D30" s="23" t="s">
        <v>906</v>
      </c>
      <c r="E30" s="23" t="str">
        <f aca="false">INDEX(Nodes!$B$2:$B$97,MATCH(A30,Nodes!$A$2:$A$97,0))</f>
        <v>CPI da pandemia (Covaxin)</v>
      </c>
      <c r="F30" s="23" t="str">
        <f aca="false">INDEX(Nodes!$B$2:$B$97,MATCH(B30,Nodes!$A$2:$A$97,0))</f>
        <v>Flávio Bolsonaro</v>
      </c>
    </row>
    <row r="31" customFormat="false" ht="15" hidden="false" customHeight="true" outlineLevel="0" collapsed="false">
      <c r="A31" s="23" t="s">
        <v>91</v>
      </c>
      <c r="B31" s="23" t="s">
        <v>161</v>
      </c>
      <c r="C31" s="23" t="s">
        <v>935</v>
      </c>
      <c r="D31" s="23" t="s">
        <v>906</v>
      </c>
      <c r="E31" s="23" t="str">
        <f aca="false">INDEX(Nodes!$B$2:$B$97,MATCH(A31,Nodes!$A$2:$A$97,0))</f>
        <v>Willer Tomaz</v>
      </c>
      <c r="F31" s="23" t="str">
        <f aca="false">INDEX(Nodes!$B$2:$B$97,MATCH(B31,Nodes!$A$2:$A$97,0))</f>
        <v>Frederick Wassef</v>
      </c>
    </row>
    <row r="32" customFormat="false" ht="15" hidden="false" customHeight="true" outlineLevel="0" collapsed="false">
      <c r="A32" s="23" t="s">
        <v>161</v>
      </c>
      <c r="B32" s="23" t="s">
        <v>123</v>
      </c>
      <c r="C32" s="23" t="s">
        <v>936</v>
      </c>
      <c r="D32" s="23" t="s">
        <v>906</v>
      </c>
      <c r="E32" s="23" t="str">
        <f aca="false">INDEX(Nodes!$B$2:$B$97,MATCH(A32,Nodes!$A$2:$A$97,0))</f>
        <v>Frederick Wassef</v>
      </c>
      <c r="F32" s="23" t="str">
        <f aca="false">INDEX(Nodes!$B$2:$B$97,MATCH(B32,Nodes!$A$2:$A$97,0))</f>
        <v>Flávio Bolsonaro</v>
      </c>
    </row>
    <row r="33" customFormat="false" ht="15" hidden="false" customHeight="true" outlineLevel="0" collapsed="false">
      <c r="A33" s="23" t="s">
        <v>91</v>
      </c>
      <c r="B33" s="23" t="s">
        <v>240</v>
      </c>
      <c r="C33" s="23" t="s">
        <v>937</v>
      </c>
      <c r="D33" s="23" t="s">
        <v>912</v>
      </c>
      <c r="E33" s="23" t="str">
        <f aca="false">INDEX(Nodes!$B$2:$B$97,MATCH(A33,Nodes!$A$2:$A$97,0))</f>
        <v>Willer Tomaz</v>
      </c>
      <c r="F33" s="23" t="str">
        <f aca="false">INDEX(Nodes!$B$2:$B$97,MATCH(B33,Nodes!$A$2:$A$97,0))</f>
        <v>Kássio Nunes Marques</v>
      </c>
    </row>
    <row r="34" customFormat="false" ht="15" hidden="false" customHeight="true" outlineLevel="0" collapsed="false">
      <c r="A34" s="23" t="s">
        <v>161</v>
      </c>
      <c r="B34" s="23" t="s">
        <v>240</v>
      </c>
      <c r="C34" s="23" t="s">
        <v>937</v>
      </c>
      <c r="D34" s="23" t="s">
        <v>912</v>
      </c>
      <c r="E34" s="23" t="str">
        <f aca="false">INDEX(Nodes!$B$2:$B$97,MATCH(A34,Nodes!$A$2:$A$97,0))</f>
        <v>Frederick Wassef</v>
      </c>
      <c r="F34" s="23" t="str">
        <f aca="false">INDEX(Nodes!$B$2:$B$97,MATCH(B34,Nodes!$A$2:$A$97,0))</f>
        <v>Kássio Nunes Marques</v>
      </c>
    </row>
    <row r="35" customFormat="false" ht="23.25" hidden="false" customHeight="true" outlineLevel="0" collapsed="false">
      <c r="A35" s="23" t="s">
        <v>123</v>
      </c>
      <c r="B35" s="23" t="s">
        <v>240</v>
      </c>
      <c r="C35" s="23" t="s">
        <v>938</v>
      </c>
      <c r="D35" s="23" t="s">
        <v>912</v>
      </c>
      <c r="E35" s="23" t="str">
        <f aca="false">INDEX(Nodes!$B$2:$B$97,MATCH(A35,Nodes!$A$2:$A$97,0))</f>
        <v>Flávio Bolsonaro</v>
      </c>
      <c r="F35" s="23" t="str">
        <f aca="false">INDEX(Nodes!$B$2:$B$97,MATCH(B35,Nodes!$A$2:$A$97,0))</f>
        <v>Kássio Nunes Marques</v>
      </c>
    </row>
    <row r="36" customFormat="false" ht="15" hidden="false" customHeight="true" outlineLevel="0" collapsed="false">
      <c r="A36" s="23" t="s">
        <v>151</v>
      </c>
      <c r="B36" s="23" t="s">
        <v>240</v>
      </c>
      <c r="C36" s="23" t="s">
        <v>939</v>
      </c>
      <c r="D36" s="23" t="s">
        <v>906</v>
      </c>
      <c r="E36" s="23" t="str">
        <f aca="false">INDEX(Nodes!$B$2:$B$97,MATCH(A36,Nodes!$A$2:$A$97,0))</f>
        <v>Jair Bolsonaro</v>
      </c>
      <c r="F36" s="23" t="str">
        <f aca="false">INDEX(Nodes!$B$2:$B$97,MATCH(B36,Nodes!$A$2:$A$97,0))</f>
        <v>Kássio Nunes Marques</v>
      </c>
    </row>
    <row r="37" customFormat="false" ht="15" hidden="false" customHeight="true" outlineLevel="0" collapsed="false">
      <c r="A37" s="23" t="s">
        <v>91</v>
      </c>
      <c r="B37" s="23" t="s">
        <v>361</v>
      </c>
      <c r="C37" s="23" t="s">
        <v>940</v>
      </c>
      <c r="D37" s="23" t="s">
        <v>906</v>
      </c>
      <c r="E37" s="23" t="str">
        <f aca="false">INDEX(Nodes!$B$2:$B$97,MATCH(A37,Nodes!$A$2:$A$97,0))</f>
        <v>Willer Tomaz</v>
      </c>
      <c r="F37" s="23" t="str">
        <f aca="false">INDEX(Nodes!$B$2:$B$97,MATCH(B37,Nodes!$A$2:$A$97,0))</f>
        <v>Mansão em Angra dos Reis</v>
      </c>
    </row>
    <row r="38" customFormat="false" ht="15" hidden="false" customHeight="true" outlineLevel="0" collapsed="false">
      <c r="A38" s="23" t="s">
        <v>400</v>
      </c>
      <c r="B38" s="23" t="s">
        <v>387</v>
      </c>
      <c r="C38" s="23" t="s">
        <v>941</v>
      </c>
      <c r="D38" s="23" t="s">
        <v>906</v>
      </c>
      <c r="E38" s="23" t="str">
        <f aca="false">INDEX(Nodes!$B$2:$B$97,MATCH(A38,Nodes!$A$2:$A$97,0))</f>
        <v>Alcazar Holdings</v>
      </c>
      <c r="F38" s="23" t="str">
        <f aca="false">INDEX(Nodes!$B$2:$B$97,MATCH(B38,Nodes!$A$2:$A$97,0))</f>
        <v>Jato (3 cotistas)</v>
      </c>
    </row>
    <row r="39" customFormat="false" ht="15" hidden="false" customHeight="true" outlineLevel="0" collapsed="false">
      <c r="A39" s="23" t="s">
        <v>394</v>
      </c>
      <c r="B39" s="23" t="s">
        <v>387</v>
      </c>
      <c r="C39" s="23" t="s">
        <v>941</v>
      </c>
      <c r="D39" s="23" t="s">
        <v>906</v>
      </c>
      <c r="E39" s="23" t="str">
        <f aca="false">INDEX(Nodes!$B$2:$B$97,MATCH(A39,Nodes!$A$2:$A$97,0))</f>
        <v>Prime U</v>
      </c>
      <c r="F39" s="23" t="str">
        <f aca="false">INDEX(Nodes!$B$2:$B$97,MATCH(B39,Nodes!$A$2:$A$97,0))</f>
        <v>Jato (3 cotistas)</v>
      </c>
    </row>
    <row r="40" customFormat="false" ht="15" hidden="false" customHeight="true" outlineLevel="0" collapsed="false">
      <c r="A40" s="23" t="s">
        <v>123</v>
      </c>
      <c r="B40" s="23" t="s">
        <v>387</v>
      </c>
      <c r="C40" s="23" t="s">
        <v>942</v>
      </c>
      <c r="D40" s="23" t="s">
        <v>906</v>
      </c>
      <c r="E40" s="23" t="str">
        <f aca="false">INDEX(Nodes!$B$2:$B$97,MATCH(A40,Nodes!$A$2:$A$97,0))</f>
        <v>Flávio Bolsonaro</v>
      </c>
      <c r="F40" s="23" t="str">
        <f aca="false">INDEX(Nodes!$B$2:$B$97,MATCH(B40,Nodes!$A$2:$A$97,0))</f>
        <v>Jato (3 cotistas)</v>
      </c>
    </row>
    <row r="41" customFormat="false" ht="15" hidden="false" customHeight="true" outlineLevel="0" collapsed="false">
      <c r="A41" s="23" t="s">
        <v>185</v>
      </c>
      <c r="B41" s="23" t="s">
        <v>387</v>
      </c>
      <c r="C41" s="23" t="s">
        <v>943</v>
      </c>
      <c r="D41" s="23" t="s">
        <v>906</v>
      </c>
      <c r="E41" s="23" t="str">
        <f aca="false">INDEX(Nodes!$B$2:$B$97,MATCH(A41,Nodes!$A$2:$A$97,0))</f>
        <v>Daniel Vorcaro</v>
      </c>
      <c r="F41" s="23" t="str">
        <f aca="false">INDEX(Nodes!$B$2:$B$97,MATCH(B41,Nodes!$A$2:$A$97,0))</f>
        <v>Jato (3 cotistas)</v>
      </c>
    </row>
    <row r="42" customFormat="false" ht="15" hidden="false" customHeight="true" outlineLevel="0" collapsed="false">
      <c r="A42" s="23" t="s">
        <v>91</v>
      </c>
      <c r="B42" s="23" t="s">
        <v>387</v>
      </c>
      <c r="C42" s="23" t="s">
        <v>944</v>
      </c>
      <c r="D42" s="23" t="s">
        <v>906</v>
      </c>
      <c r="E42" s="23" t="str">
        <f aca="false">INDEX(Nodes!$B$2:$B$97,MATCH(A42,Nodes!$A$2:$A$97,0))</f>
        <v>Willer Tomaz</v>
      </c>
      <c r="F42" s="23" t="str">
        <f aca="false">INDEX(Nodes!$B$2:$B$97,MATCH(B42,Nodes!$A$2:$A$97,0))</f>
        <v>Jato (3 cotistas)</v>
      </c>
    </row>
    <row r="43" customFormat="false" ht="15" hidden="false" customHeight="true" outlineLevel="0" collapsed="false">
      <c r="A43" s="23" t="s">
        <v>135</v>
      </c>
      <c r="B43" s="23" t="s">
        <v>387</v>
      </c>
      <c r="C43" s="23" t="s">
        <v>942</v>
      </c>
      <c r="D43" s="23" t="s">
        <v>906</v>
      </c>
      <c r="E43" s="23" t="str">
        <f aca="false">INDEX(Nodes!$B$2:$B$97,MATCH(A43,Nodes!$A$2:$A$97,0))</f>
        <v>Família de Flávio</v>
      </c>
      <c r="F43" s="23" t="str">
        <f aca="false">INDEX(Nodes!$B$2:$B$97,MATCH(B43,Nodes!$A$2:$A$97,0))</f>
        <v>Jato (3 cotistas)</v>
      </c>
    </row>
    <row r="44" customFormat="false" ht="15" hidden="false" customHeight="true" outlineLevel="0" collapsed="false">
      <c r="A44" s="23" t="s">
        <v>123</v>
      </c>
      <c r="B44" s="23" t="s">
        <v>135</v>
      </c>
      <c r="C44" s="23" t="s">
        <v>945</v>
      </c>
      <c r="D44" s="23" t="s">
        <v>906</v>
      </c>
      <c r="E44" s="23" t="str">
        <f aca="false">INDEX(Nodes!$B$2:$B$97,MATCH(A44,Nodes!$A$2:$A$97,0))</f>
        <v>Flávio Bolsonaro</v>
      </c>
      <c r="F44" s="23" t="str">
        <f aca="false">INDEX(Nodes!$B$2:$B$97,MATCH(B44,Nodes!$A$2:$A$97,0))</f>
        <v>Família de Flávio</v>
      </c>
    </row>
    <row r="45" customFormat="false" ht="15" hidden="false" customHeight="true" outlineLevel="0" collapsed="false">
      <c r="A45" s="23" t="s">
        <v>185</v>
      </c>
      <c r="B45" s="23" t="s">
        <v>394</v>
      </c>
      <c r="C45" s="23" t="s">
        <v>946</v>
      </c>
      <c r="D45" s="23" t="s">
        <v>906</v>
      </c>
      <c r="E45" s="23" t="str">
        <f aca="false">INDEX(Nodes!$B$2:$B$97,MATCH(A45,Nodes!$A$2:$A$97,0))</f>
        <v>Daniel Vorcaro</v>
      </c>
      <c r="F45" s="23" t="str">
        <f aca="false">INDEX(Nodes!$B$2:$B$97,MATCH(B45,Nodes!$A$2:$A$97,0))</f>
        <v>Prime U</v>
      </c>
    </row>
    <row r="46" customFormat="false" ht="15" hidden="false" customHeight="true" outlineLevel="0" collapsed="false">
      <c r="A46" s="23" t="s">
        <v>394</v>
      </c>
      <c r="B46" s="23" t="s">
        <v>219</v>
      </c>
      <c r="C46" s="23" t="s">
        <v>947</v>
      </c>
      <c r="D46" s="23" t="s">
        <v>906</v>
      </c>
      <c r="E46" s="23" t="str">
        <f aca="false">INDEX(Nodes!$B$2:$B$97,MATCH(A46,Nodes!$A$2:$A$97,0))</f>
        <v>Prime U</v>
      </c>
      <c r="F46" s="23" t="str">
        <f aca="false">INDEX(Nodes!$B$2:$B$97,MATCH(B46,Nodes!$A$2:$A$97,0))</f>
        <v>Mulheres das festas</v>
      </c>
    </row>
    <row r="47" customFormat="false" ht="15" hidden="false" customHeight="true" outlineLevel="0" collapsed="false">
      <c r="A47" s="23" t="s">
        <v>394</v>
      </c>
      <c r="B47" s="23" t="s">
        <v>361</v>
      </c>
      <c r="C47" s="23" t="s">
        <v>948</v>
      </c>
      <c r="D47" s="23" t="s">
        <v>906</v>
      </c>
      <c r="E47" s="23" t="str">
        <f aca="false">INDEX(Nodes!$B$2:$B$97,MATCH(A47,Nodes!$A$2:$A$97,0))</f>
        <v>Prime U</v>
      </c>
      <c r="F47" s="23" t="str">
        <f aca="false">INDEX(Nodes!$B$2:$B$97,MATCH(B47,Nodes!$A$2:$A$97,0))</f>
        <v>Mansão em Angra dos Reis</v>
      </c>
    </row>
    <row r="48" customFormat="false" ht="15" hidden="false" customHeight="true" outlineLevel="0" collapsed="false">
      <c r="A48" s="23" t="s">
        <v>185</v>
      </c>
      <c r="B48" s="23" t="s">
        <v>667</v>
      </c>
      <c r="C48" s="23" t="s">
        <v>949</v>
      </c>
      <c r="D48" s="23" t="s">
        <v>906</v>
      </c>
      <c r="E48" s="23" t="str">
        <f aca="false">INDEX(Nodes!$B$2:$B$97,MATCH(A48,Nodes!$A$2:$A$97,0))</f>
        <v>Daniel Vorcaro</v>
      </c>
      <c r="F48" s="23" t="str">
        <f aca="false">INDEX(Nodes!$B$2:$B$97,MATCH(B48,Nodes!$A$2:$A$97,0))</f>
        <v>Allure Eventos</v>
      </c>
    </row>
    <row r="49" customFormat="false" ht="15" hidden="false" customHeight="true" outlineLevel="0" collapsed="false">
      <c r="A49" s="23" t="s">
        <v>185</v>
      </c>
      <c r="B49" s="23" t="s">
        <v>419</v>
      </c>
      <c r="C49" s="23" t="s">
        <v>950</v>
      </c>
      <c r="D49" s="23" t="s">
        <v>906</v>
      </c>
      <c r="E49" s="23" t="str">
        <f aca="false">INDEX(Nodes!$B$2:$B$97,MATCH(A49,Nodes!$A$2:$A$97,0))</f>
        <v>Daniel Vorcaro</v>
      </c>
      <c r="F49" s="23" t="str">
        <f aca="false">INDEX(Nodes!$B$2:$B$97,MATCH(B49,Nodes!$A$2:$A$97,0))</f>
        <v>Triplex de Vorcaro</v>
      </c>
    </row>
    <row r="50" customFormat="false" ht="15" hidden="false" customHeight="true" outlineLevel="0" collapsed="false">
      <c r="A50" s="23" t="s">
        <v>185</v>
      </c>
      <c r="B50" s="23" t="s">
        <v>369</v>
      </c>
      <c r="C50" s="23" t="s">
        <v>951</v>
      </c>
      <c r="D50" s="23" t="s">
        <v>906</v>
      </c>
      <c r="E50" s="23" t="str">
        <f aca="false">INDEX(Nodes!$B$2:$B$97,MATCH(A50,Nodes!$A$2:$A$97,0))</f>
        <v>Daniel Vorcaro</v>
      </c>
      <c r="F50" s="23" t="str">
        <f aca="false">INDEX(Nodes!$B$2:$B$97,MATCH(B50,Nodes!$A$2:$A$97,0))</f>
        <v>Banco Master</v>
      </c>
    </row>
    <row r="51" customFormat="false" ht="15" hidden="false" customHeight="true" outlineLevel="0" collapsed="false">
      <c r="A51" s="23" t="s">
        <v>185</v>
      </c>
      <c r="B51" s="23" t="s">
        <v>196</v>
      </c>
      <c r="C51" s="23" t="s">
        <v>952</v>
      </c>
      <c r="D51" s="23" t="s">
        <v>906</v>
      </c>
      <c r="E51" s="23" t="str">
        <f aca="false">INDEX(Nodes!$B$2:$B$97,MATCH(A51,Nodes!$A$2:$A$97,0))</f>
        <v>Daniel Vorcaro</v>
      </c>
      <c r="F51" s="23" t="str">
        <f aca="false">INDEX(Nodes!$B$2:$B$97,MATCH(B51,Nodes!$A$2:$A$97,0))</f>
        <v>Fabiano Zettel</v>
      </c>
    </row>
    <row r="52" customFormat="false" ht="15" hidden="false" customHeight="true" outlineLevel="0" collapsed="false">
      <c r="A52" s="23" t="s">
        <v>196</v>
      </c>
      <c r="B52" s="23" t="s">
        <v>705</v>
      </c>
      <c r="C52" s="23" t="s">
        <v>953</v>
      </c>
      <c r="D52" s="23" t="s">
        <v>906</v>
      </c>
      <c r="E52" s="23" t="str">
        <f aca="false">INDEX(Nodes!$B$2:$B$97,MATCH(A52,Nodes!$A$2:$A$97,0))</f>
        <v>Fabiano Zettel</v>
      </c>
      <c r="F52" s="23" t="str">
        <f aca="false">INDEX(Nodes!$B$2:$B$97,MATCH(B52,Nodes!$A$2:$A$97,0))</f>
        <v>Apartamento de luxo em SP</v>
      </c>
    </row>
    <row r="53" customFormat="false" ht="15" hidden="false" customHeight="true" outlineLevel="0" collapsed="false">
      <c r="A53" s="23" t="s">
        <v>407</v>
      </c>
      <c r="B53" s="23" t="s">
        <v>705</v>
      </c>
      <c r="C53" s="23" t="s">
        <v>954</v>
      </c>
      <c r="D53" s="23" t="s">
        <v>906</v>
      </c>
      <c r="E53" s="23" t="str">
        <f aca="false">INDEX(Nodes!$B$2:$B$97,MATCH(A53,Nodes!$A$2:$A$97,0))</f>
        <v>WT (e outras 13 empresas)</v>
      </c>
      <c r="F53" s="23" t="str">
        <f aca="false">INDEX(Nodes!$B$2:$B$97,MATCH(B53,Nodes!$A$2:$A$97,0))</f>
        <v>Apartamento de luxo em SP</v>
      </c>
    </row>
    <row r="54" customFormat="false" ht="15" hidden="false" customHeight="true" outlineLevel="0" collapsed="false">
      <c r="A54" s="23" t="s">
        <v>407</v>
      </c>
      <c r="B54" s="23" t="s">
        <v>361</v>
      </c>
      <c r="C54" s="23" t="s">
        <v>955</v>
      </c>
      <c r="D54" s="23" t="s">
        <v>906</v>
      </c>
      <c r="E54" s="23" t="str">
        <f aca="false">INDEX(Nodes!$B$2:$B$97,MATCH(A54,Nodes!$A$2:$A$97,0))</f>
        <v>WT (e outras 13 empresas)</v>
      </c>
      <c r="F54" s="23" t="str">
        <f aca="false">INDEX(Nodes!$B$2:$B$97,MATCH(B54,Nodes!$A$2:$A$97,0))</f>
        <v>Mansão em Angra dos Reis</v>
      </c>
    </row>
    <row r="55" customFormat="false" ht="15" hidden="false" customHeight="true" outlineLevel="0" collapsed="false">
      <c r="A55" s="23" t="s">
        <v>361</v>
      </c>
      <c r="B55" s="23" t="s">
        <v>224</v>
      </c>
      <c r="C55" s="23" t="s">
        <v>956</v>
      </c>
      <c r="D55" s="23" t="s">
        <v>906</v>
      </c>
      <c r="E55" s="23" t="str">
        <f aca="false">INDEX(Nodes!$B$2:$B$97,MATCH(A55,Nodes!$A$2:$A$97,0))</f>
        <v>Mansão em Angra dos Reis</v>
      </c>
      <c r="F55" s="23" t="str">
        <f aca="false">INDEX(Nodes!$B$2:$B$97,MATCH(B55,Nodes!$A$2:$A$97,0))</f>
        <v>Richarlison</v>
      </c>
    </row>
    <row r="56" customFormat="false" ht="15" hidden="false" customHeight="true" outlineLevel="0" collapsed="false">
      <c r="A56" s="23" t="s">
        <v>361</v>
      </c>
      <c r="B56" s="23" t="s">
        <v>236</v>
      </c>
      <c r="C56" s="23" t="s">
        <v>957</v>
      </c>
      <c r="D56" s="23" t="s">
        <v>912</v>
      </c>
      <c r="E56" s="23" t="str">
        <f aca="false">INDEX(Nodes!$B$2:$B$97,MATCH(A56,Nodes!$A$2:$A$97,0))</f>
        <v>Mansão em Angra dos Reis</v>
      </c>
      <c r="F56" s="23" t="str">
        <f aca="false">INDEX(Nodes!$B$2:$B$97,MATCH(B56,Nodes!$A$2:$A$97,0))</f>
        <v>Ex-possuidor da mansão (nome não confirmado)</v>
      </c>
    </row>
    <row r="57" customFormat="false" ht="15" hidden="false" customHeight="true" outlineLevel="0" collapsed="false">
      <c r="A57" s="23" t="s">
        <v>123</v>
      </c>
      <c r="B57" s="23" t="s">
        <v>361</v>
      </c>
      <c r="C57" s="23" t="s">
        <v>958</v>
      </c>
      <c r="D57" s="23" t="s">
        <v>906</v>
      </c>
      <c r="E57" s="23" t="str">
        <f aca="false">INDEX(Nodes!$B$2:$B$97,MATCH(A57,Nodes!$A$2:$A$97,0))</f>
        <v>Flávio Bolsonaro</v>
      </c>
      <c r="F57" s="23" t="str">
        <f aca="false">INDEX(Nodes!$B$2:$B$97,MATCH(B57,Nodes!$A$2:$A$97,0))</f>
        <v>Mansão em Angra dos Reis</v>
      </c>
    </row>
    <row r="58" customFormat="false" ht="15" hidden="false" customHeight="true" outlineLevel="0" collapsed="false">
      <c r="A58" s="23" t="s">
        <v>123</v>
      </c>
      <c r="B58" s="23" t="s">
        <v>705</v>
      </c>
      <c r="C58" s="23" t="s">
        <v>959</v>
      </c>
      <c r="D58" s="23" t="s">
        <v>906</v>
      </c>
      <c r="E58" s="23" t="str">
        <f aca="false">INDEX(Nodes!$B$2:$B$97,MATCH(A58,Nodes!$A$2:$A$97,0))</f>
        <v>Flávio Bolsonaro</v>
      </c>
      <c r="F58" s="23" t="str">
        <f aca="false">INDEX(Nodes!$B$2:$B$97,MATCH(B58,Nodes!$A$2:$A$97,0))</f>
        <v>Apartamento de luxo em SP</v>
      </c>
    </row>
    <row r="59" customFormat="false" ht="15" hidden="false" customHeight="true" outlineLevel="0" collapsed="false">
      <c r="A59" s="23" t="s">
        <v>185</v>
      </c>
      <c r="B59" s="23" t="s">
        <v>123</v>
      </c>
      <c r="C59" s="23" t="s">
        <v>960</v>
      </c>
      <c r="D59" s="23" t="s">
        <v>906</v>
      </c>
      <c r="E59" s="23" t="str">
        <f aca="false">INDEX(Nodes!$B$2:$B$97,MATCH(A59,Nodes!$A$2:$A$97,0))</f>
        <v>Daniel Vorcaro</v>
      </c>
      <c r="F59" s="23" t="str">
        <f aca="false">INDEX(Nodes!$B$2:$B$97,MATCH(B59,Nodes!$A$2:$A$97,0))</f>
        <v>Flávio Bolsonaro</v>
      </c>
    </row>
    <row r="60" customFormat="false" ht="23.25" hidden="false" customHeight="true" outlineLevel="0" collapsed="false">
      <c r="A60" s="23" t="s">
        <v>185</v>
      </c>
      <c r="B60" s="23" t="s">
        <v>123</v>
      </c>
      <c r="C60" s="23" t="s">
        <v>961</v>
      </c>
      <c r="D60" s="23" t="s">
        <v>912</v>
      </c>
      <c r="E60" s="23" t="str">
        <f aca="false">INDEX(Nodes!$B$2:$B$97,MATCH(A60,Nodes!$A$2:$A$97,0))</f>
        <v>Daniel Vorcaro</v>
      </c>
      <c r="F60" s="23" t="str">
        <f aca="false">INDEX(Nodes!$B$2:$B$97,MATCH(B60,Nodes!$A$2:$A$97,0))</f>
        <v>Flávio Bolsonaro</v>
      </c>
    </row>
    <row r="61" customFormat="false" ht="15" hidden="false" customHeight="true" outlineLevel="0" collapsed="false">
      <c r="A61" s="23" t="s">
        <v>623</v>
      </c>
      <c r="B61" s="23" t="s">
        <v>123</v>
      </c>
      <c r="C61" s="23" t="s">
        <v>962</v>
      </c>
      <c r="D61" s="23" t="s">
        <v>912</v>
      </c>
      <c r="E61" s="23" t="str">
        <f aca="false">INDEX(Nodes!$B$2:$B$97,MATCH(A61,Nodes!$A$2:$A$97,0))</f>
        <v>ONG e produtora do filme</v>
      </c>
      <c r="F61" s="23" t="str">
        <f aca="false">INDEX(Nodes!$B$2:$B$97,MATCH(B61,Nodes!$A$2:$A$97,0))</f>
        <v>Flávio Bolsonaro</v>
      </c>
    </row>
    <row r="62" customFormat="false" ht="15" hidden="false" customHeight="true" outlineLevel="0" collapsed="false">
      <c r="A62" s="23" t="s">
        <v>623</v>
      </c>
      <c r="B62" s="23" t="s">
        <v>185</v>
      </c>
      <c r="C62" s="23" t="s">
        <v>963</v>
      </c>
      <c r="D62" s="23" t="s">
        <v>912</v>
      </c>
      <c r="E62" s="23" t="str">
        <f aca="false">INDEX(Nodes!$B$2:$B$97,MATCH(A62,Nodes!$A$2:$A$97,0))</f>
        <v>ONG e produtora do filme</v>
      </c>
      <c r="F62" s="23" t="str">
        <f aca="false">INDEX(Nodes!$B$2:$B$97,MATCH(B62,Nodes!$A$2:$A$97,0))</f>
        <v>Daniel Vorcaro</v>
      </c>
    </row>
    <row r="63" customFormat="false" ht="15" hidden="false" customHeight="true" outlineLevel="0" collapsed="false">
      <c r="A63" s="23" t="s">
        <v>623</v>
      </c>
      <c r="B63" s="23" t="s">
        <v>222</v>
      </c>
      <c r="C63" s="23" t="s">
        <v>964</v>
      </c>
      <c r="D63" s="23" t="s">
        <v>906</v>
      </c>
      <c r="E63" s="23" t="str">
        <f aca="false">INDEX(Nodes!$B$2:$B$97,MATCH(A63,Nodes!$A$2:$A$97,0))</f>
        <v>ONG e produtora do filme</v>
      </c>
      <c r="F63" s="23" t="str">
        <f aca="false">INDEX(Nodes!$B$2:$B$97,MATCH(B63,Nodes!$A$2:$A$97,0))</f>
        <v>Eletricista</v>
      </c>
    </row>
    <row r="64" customFormat="false" ht="23.25" hidden="false" customHeight="true" outlineLevel="0" collapsed="false">
      <c r="A64" s="23"/>
      <c r="B64" s="23"/>
      <c r="C64" s="23"/>
      <c r="D64" s="23"/>
      <c r="E64" s="23"/>
      <c r="F64" s="23"/>
    </row>
    <row r="65" customFormat="false" ht="15" hidden="false" customHeight="true" outlineLevel="0" collapsed="false">
      <c r="A65" s="23" t="s">
        <v>419</v>
      </c>
      <c r="B65" s="23" t="s">
        <v>219</v>
      </c>
      <c r="C65" s="23" t="s">
        <v>965</v>
      </c>
      <c r="D65" s="23" t="s">
        <v>912</v>
      </c>
      <c r="E65" s="23" t="str">
        <f aca="false">INDEX(Nodes!$B$2:$B$97,MATCH(A65,Nodes!$A$2:$A$97,0))</f>
        <v>Triplex de Vorcaro</v>
      </c>
      <c r="F65" s="23" t="str">
        <f aca="false">INDEX(Nodes!$B$2:$B$97,MATCH(B65,Nodes!$A$2:$A$97,0))</f>
        <v>Mulheres das festas</v>
      </c>
    </row>
    <row r="66" customFormat="false" ht="15" hidden="false" customHeight="true" outlineLevel="0" collapsed="false">
      <c r="A66" s="23" t="s">
        <v>667</v>
      </c>
      <c r="B66" s="23" t="s">
        <v>219</v>
      </c>
      <c r="C66" s="23" t="s">
        <v>966</v>
      </c>
      <c r="D66" s="23" t="s">
        <v>912</v>
      </c>
      <c r="E66" s="23" t="str">
        <f aca="false">INDEX(Nodes!$B$2:$B$97,MATCH(A66,Nodes!$A$2:$A$97,0))</f>
        <v>Allure Eventos</v>
      </c>
      <c r="F66" s="23" t="str">
        <f aca="false">INDEX(Nodes!$B$2:$B$97,MATCH(B66,Nodes!$A$2:$A$97,0))</f>
        <v>Mulheres das festas</v>
      </c>
    </row>
    <row r="67" customFormat="false" ht="15" hidden="false" customHeight="true" outlineLevel="0" collapsed="false">
      <c r="A67" s="23" t="s">
        <v>211</v>
      </c>
      <c r="B67" s="23" t="s">
        <v>219</v>
      </c>
      <c r="C67" s="23" t="s">
        <v>967</v>
      </c>
      <c r="D67" s="23" t="s">
        <v>912</v>
      </c>
      <c r="E67" s="23" t="str">
        <f aca="false">INDEX(Nodes!$B$2:$B$97,MATCH(A67,Nodes!$A$2:$A$97,0))</f>
        <v>Promoter</v>
      </c>
      <c r="F67" s="23" t="str">
        <f aca="false">INDEX(Nodes!$B$2:$B$97,MATCH(B67,Nodes!$A$2:$A$97,0))</f>
        <v>Mulheres das festas</v>
      </c>
    </row>
    <row r="68" customFormat="false" ht="15" hidden="false" customHeight="true" outlineLevel="0" collapsed="false">
      <c r="A68" s="23" t="s">
        <v>211</v>
      </c>
      <c r="B68" s="23" t="s">
        <v>185</v>
      </c>
      <c r="C68" s="23" t="s">
        <v>968</v>
      </c>
      <c r="D68" s="23" t="s">
        <v>912</v>
      </c>
      <c r="E68" s="23" t="str">
        <f aca="false">INDEX(Nodes!$B$2:$B$97,MATCH(A68,Nodes!$A$2:$A$97,0))</f>
        <v>Promoter</v>
      </c>
      <c r="F68" s="23" t="str">
        <f aca="false">INDEX(Nodes!$B$2:$B$97,MATCH(B68,Nodes!$A$2:$A$97,0))</f>
        <v>Daniel Vorcaro</v>
      </c>
    </row>
    <row r="69" customFormat="false" ht="15" hidden="false" customHeight="true" outlineLevel="0" collapsed="false">
      <c r="A69" s="23" t="s">
        <v>214</v>
      </c>
      <c r="B69" s="23" t="s">
        <v>419</v>
      </c>
      <c r="C69" s="23" t="s">
        <v>969</v>
      </c>
      <c r="D69" s="23" t="s">
        <v>906</v>
      </c>
      <c r="E69" s="23" t="str">
        <f aca="false">INDEX(Nodes!$B$2:$B$97,MATCH(A69,Nodes!$A$2:$A$97,0))</f>
        <v>Mordomo do triplex</v>
      </c>
      <c r="F69" s="23" t="str">
        <f aca="false">INDEX(Nodes!$B$2:$B$97,MATCH(B69,Nodes!$A$2:$A$97,0))</f>
        <v>Triplex de Vorcaro</v>
      </c>
    </row>
    <row r="70" customFormat="false" ht="15" hidden="false" customHeight="true" outlineLevel="0" collapsed="false">
      <c r="A70" s="23" t="s">
        <v>214</v>
      </c>
      <c r="B70" s="23" t="s">
        <v>185</v>
      </c>
      <c r="C70" s="23" t="s">
        <v>970</v>
      </c>
      <c r="D70" s="23" t="s">
        <v>912</v>
      </c>
      <c r="E70" s="23" t="str">
        <f aca="false">INDEX(Nodes!$B$2:$B$97,MATCH(A70,Nodes!$A$2:$A$97,0))</f>
        <v>Mordomo do triplex</v>
      </c>
      <c r="F70" s="23" t="str">
        <f aca="false">INDEX(Nodes!$B$2:$B$97,MATCH(B70,Nodes!$A$2:$A$97,0))</f>
        <v>Daniel Vorcaro</v>
      </c>
    </row>
    <row r="71" customFormat="false" ht="15" hidden="false" customHeight="true" outlineLevel="0" collapsed="false">
      <c r="A71" s="23"/>
      <c r="B71" s="23"/>
      <c r="C71" s="23"/>
      <c r="D71" s="23"/>
      <c r="E71" s="23"/>
      <c r="F71" s="23"/>
    </row>
    <row r="72" customFormat="false" ht="15" hidden="false" customHeight="true" outlineLevel="0" collapsed="false">
      <c r="A72" s="23" t="s">
        <v>208</v>
      </c>
      <c r="B72" s="23" t="s">
        <v>369</v>
      </c>
      <c r="C72" s="23" t="s">
        <v>971</v>
      </c>
      <c r="D72" s="23" t="s">
        <v>906</v>
      </c>
      <c r="E72" s="23" t="str">
        <f aca="false">INDEX(Nodes!$B$2:$B$97,MATCH(A72,Nodes!$A$2:$A$97,0))</f>
        <v>Diretor jurídico do Master</v>
      </c>
      <c r="F72" s="23" t="str">
        <f aca="false">INDEX(Nodes!$B$2:$B$97,MATCH(B72,Nodes!$A$2:$A$97,0))</f>
        <v>Banco Master</v>
      </c>
    </row>
    <row r="73" customFormat="false" ht="15" hidden="false" customHeight="true" outlineLevel="0" collapsed="false">
      <c r="A73" s="23" t="s">
        <v>208</v>
      </c>
      <c r="B73" s="23" t="s">
        <v>185</v>
      </c>
      <c r="C73" s="23" t="s">
        <v>972</v>
      </c>
      <c r="D73" s="23" t="s">
        <v>912</v>
      </c>
      <c r="E73" s="23" t="str">
        <f aca="false">INDEX(Nodes!$B$2:$B$97,MATCH(A73,Nodes!$A$2:$A$97,0))</f>
        <v>Diretor jurídico do Master</v>
      </c>
      <c r="F73" s="23" t="str">
        <f aca="false">INDEX(Nodes!$B$2:$B$97,MATCH(B73,Nodes!$A$2:$A$97,0))</f>
        <v>Daniel Vorcaro</v>
      </c>
    </row>
    <row r="74" customFormat="false" ht="23.25" hidden="false" customHeight="true" outlineLevel="0" collapsed="false">
      <c r="A74" s="23" t="s">
        <v>208</v>
      </c>
      <c r="B74" s="23" t="s">
        <v>251</v>
      </c>
      <c r="C74" s="23" t="s">
        <v>973</v>
      </c>
      <c r="D74" s="23" t="s">
        <v>912</v>
      </c>
      <c r="E74" s="23" t="str">
        <f aca="false">INDEX(Nodes!$B$2:$B$97,MATCH(A74,Nodes!$A$2:$A$97,0))</f>
        <v>Diretor jurídico do Master</v>
      </c>
      <c r="F74" s="23" t="str">
        <f aca="false">INDEX(Nodes!$B$2:$B$97,MATCH(B74,Nodes!$A$2:$A$97,0))</f>
        <v>Kevin Marques</v>
      </c>
    </row>
    <row r="75" customFormat="false" ht="15" hidden="false" customHeight="true" outlineLevel="0" collapsed="false">
      <c r="A75" s="23" t="s">
        <v>369</v>
      </c>
      <c r="B75" s="23" t="s">
        <v>655</v>
      </c>
      <c r="C75" s="23" t="s">
        <v>974</v>
      </c>
      <c r="D75" s="23" t="s">
        <v>906</v>
      </c>
      <c r="E75" s="23" t="str">
        <f aca="false">INDEX(Nodes!$B$2:$B$97,MATCH(A75,Nodes!$A$2:$A$97,0))</f>
        <v>Banco Master</v>
      </c>
      <c r="F75" s="23" t="str">
        <f aca="false">INDEX(Nodes!$B$2:$B$97,MATCH(B75,Nodes!$A$2:$A$97,0))</f>
        <v>Consultoria do amigo de Nunes</v>
      </c>
    </row>
    <row r="76" customFormat="false" ht="15" hidden="false" customHeight="true" outlineLevel="0" collapsed="false">
      <c r="A76" s="23" t="s">
        <v>655</v>
      </c>
      <c r="B76" s="23" t="s">
        <v>251</v>
      </c>
      <c r="C76" s="23" t="s">
        <v>975</v>
      </c>
      <c r="D76" s="23" t="s">
        <v>906</v>
      </c>
      <c r="E76" s="23" t="str">
        <f aca="false">INDEX(Nodes!$B$2:$B$97,MATCH(A76,Nodes!$A$2:$A$97,0))</f>
        <v>Consultoria do amigo de Nunes</v>
      </c>
      <c r="F76" s="23" t="str">
        <f aca="false">INDEX(Nodes!$B$2:$B$97,MATCH(B76,Nodes!$A$2:$A$97,0))</f>
        <v>Kevin Marques</v>
      </c>
    </row>
    <row r="77" customFormat="false" ht="15" hidden="false" customHeight="true" outlineLevel="0" collapsed="false">
      <c r="A77" s="23" t="s">
        <v>655</v>
      </c>
      <c r="B77" s="23" t="s">
        <v>240</v>
      </c>
      <c r="C77" s="23" t="s">
        <v>976</v>
      </c>
      <c r="D77" s="23" t="s">
        <v>906</v>
      </c>
      <c r="E77" s="23" t="str">
        <f aca="false">INDEX(Nodes!$B$2:$B$97,MATCH(A77,Nodes!$A$2:$A$97,0))</f>
        <v>Consultoria do amigo de Nunes</v>
      </c>
      <c r="F77" s="23" t="str">
        <f aca="false">INDEX(Nodes!$B$2:$B$97,MATCH(B77,Nodes!$A$2:$A$97,0))</f>
        <v>Kássio Nunes Marques</v>
      </c>
    </row>
    <row r="78" customFormat="false" ht="15" hidden="false" customHeight="true" outlineLevel="0" collapsed="false">
      <c r="A78" s="23" t="s">
        <v>251</v>
      </c>
      <c r="B78" s="23" t="s">
        <v>240</v>
      </c>
      <c r="C78" s="23" t="s">
        <v>977</v>
      </c>
      <c r="D78" s="23" t="s">
        <v>906</v>
      </c>
      <c r="E78" s="23" t="str">
        <f aca="false">INDEX(Nodes!$B$2:$B$97,MATCH(A78,Nodes!$A$2:$A$97,0))</f>
        <v>Kevin Marques</v>
      </c>
      <c r="F78" s="23" t="str">
        <f aca="false">INDEX(Nodes!$B$2:$B$97,MATCH(B78,Nodes!$A$2:$A$97,0))</f>
        <v>Kássio Nunes Marques</v>
      </c>
    </row>
    <row r="79" customFormat="false" ht="15" hidden="false" customHeight="true" outlineLevel="0" collapsed="false">
      <c r="A79" s="23" t="s">
        <v>240</v>
      </c>
      <c r="B79" s="23" t="s">
        <v>379</v>
      </c>
      <c r="C79" s="23" t="s">
        <v>978</v>
      </c>
      <c r="D79" s="23" t="s">
        <v>906</v>
      </c>
      <c r="E79" s="23" t="str">
        <f aca="false">INDEX(Nodes!$B$2:$B$97,MATCH(A79,Nodes!$A$2:$A$97,0))</f>
        <v>Kássio Nunes Marques</v>
      </c>
      <c r="F79" s="23" t="str">
        <f aca="false">INDEX(Nodes!$B$2:$B$97,MATCH(B79,Nodes!$A$2:$A$97,0))</f>
        <v>Caso rachadinha / COAF</v>
      </c>
    </row>
    <row r="80" customFormat="false" ht="15" hidden="false" customHeight="true" outlineLevel="0" collapsed="false">
      <c r="A80" s="23" t="s">
        <v>379</v>
      </c>
      <c r="B80" s="23" t="s">
        <v>123</v>
      </c>
      <c r="C80" s="23" t="s">
        <v>979</v>
      </c>
      <c r="D80" s="23" t="s">
        <v>906</v>
      </c>
      <c r="E80" s="23" t="str">
        <f aca="false">INDEX(Nodes!$B$2:$B$97,MATCH(A80,Nodes!$A$2:$A$97,0))</f>
        <v>Caso rachadinha / COAF</v>
      </c>
      <c r="F80" s="23" t="str">
        <f aca="false">INDEX(Nodes!$B$2:$B$97,MATCH(B80,Nodes!$A$2:$A$97,0))</f>
        <v>Flávio Bolsonaro</v>
      </c>
    </row>
    <row r="81" customFormat="false" ht="15" hidden="false" customHeight="true" outlineLevel="0" collapsed="false">
      <c r="A81" s="23" t="s">
        <v>379</v>
      </c>
      <c r="B81" s="23" t="s">
        <v>172</v>
      </c>
      <c r="C81" s="23" t="s">
        <v>980</v>
      </c>
      <c r="D81" s="23" t="s">
        <v>906</v>
      </c>
      <c r="E81" s="23" t="str">
        <f aca="false">INDEX(Nodes!$B$2:$B$97,MATCH(A81,Nodes!$A$2:$A$97,0))</f>
        <v>Caso rachadinha / COAF</v>
      </c>
      <c r="F81" s="23" t="str">
        <f aca="false">INDEX(Nodes!$B$2:$B$97,MATCH(B81,Nodes!$A$2:$A$97,0))</f>
        <v>Fabrício Queiroz</v>
      </c>
    </row>
    <row r="82" customFormat="false" ht="15" hidden="false" customHeight="true" outlineLevel="0" collapsed="false">
      <c r="A82" s="23" t="s">
        <v>172</v>
      </c>
      <c r="B82" s="23" t="s">
        <v>711</v>
      </c>
      <c r="C82" s="23" t="s">
        <v>981</v>
      </c>
      <c r="D82" s="23" t="s">
        <v>906</v>
      </c>
      <c r="E82" s="23" t="str">
        <f aca="false">INDEX(Nodes!$B$2:$B$97,MATCH(A82,Nodes!$A$2:$A$97,0))</f>
        <v>Fabrício Queiroz</v>
      </c>
      <c r="F82" s="23" t="str">
        <f aca="false">INDEX(Nodes!$B$2:$B$97,MATCH(B82,Nodes!$A$2:$A$97,0))</f>
        <v>Casa de Wassef em Atibaia</v>
      </c>
    </row>
    <row r="83" customFormat="false" ht="15" hidden="false" customHeight="true" outlineLevel="0" collapsed="false">
      <c r="A83" s="23" t="s">
        <v>161</v>
      </c>
      <c r="B83" s="23" t="s">
        <v>711</v>
      </c>
      <c r="C83" s="23" t="s">
        <v>982</v>
      </c>
      <c r="D83" s="23" t="s">
        <v>906</v>
      </c>
      <c r="E83" s="23" t="str">
        <f aca="false">INDEX(Nodes!$B$2:$B$97,MATCH(A83,Nodes!$A$2:$A$97,0))</f>
        <v>Frederick Wassef</v>
      </c>
      <c r="F83" s="23" t="str">
        <f aca="false">INDEX(Nodes!$B$2:$B$97,MATCH(B83,Nodes!$A$2:$A$97,0))</f>
        <v>Casa de Wassef em Atibaia</v>
      </c>
    </row>
    <row r="84" customFormat="false" ht="15" hidden="false" customHeight="true" outlineLevel="0" collapsed="false">
      <c r="A84" s="23" t="s">
        <v>151</v>
      </c>
      <c r="B84" s="23" t="s">
        <v>123</v>
      </c>
      <c r="C84" s="23" t="s">
        <v>983</v>
      </c>
      <c r="D84" s="23" t="s">
        <v>906</v>
      </c>
      <c r="E84" s="23" t="str">
        <f aca="false">INDEX(Nodes!$B$2:$B$97,MATCH(A84,Nodes!$A$2:$A$97,0))</f>
        <v>Jair Bolsonaro</v>
      </c>
      <c r="F84" s="23" t="str">
        <f aca="false">INDEX(Nodes!$B$2:$B$97,MATCH(B84,Nodes!$A$2:$A$97,0))</f>
        <v>Flávio Bolsonaro</v>
      </c>
    </row>
    <row r="85" customFormat="false" ht="15" hidden="false" customHeight="true" outlineLevel="0" collapsed="false">
      <c r="A85" s="23" t="s">
        <v>151</v>
      </c>
      <c r="B85" s="23" t="s">
        <v>161</v>
      </c>
      <c r="C85" s="23" t="s">
        <v>984</v>
      </c>
      <c r="D85" s="23" t="s">
        <v>906</v>
      </c>
      <c r="E85" s="23" t="str">
        <f aca="false">INDEX(Nodes!$B$2:$B$97,MATCH(A85,Nodes!$A$2:$A$97,0))</f>
        <v>Jair Bolsonaro</v>
      </c>
      <c r="F85" s="23" t="str">
        <f aca="false">INDEX(Nodes!$B$2:$B$97,MATCH(B85,Nodes!$A$2:$A$97,0))</f>
        <v>Frederick Wassef</v>
      </c>
    </row>
    <row r="86" customFormat="false" ht="15" hidden="false" customHeight="true" outlineLevel="0" collapsed="false">
      <c r="A86" s="23" t="s">
        <v>151</v>
      </c>
      <c r="B86" s="23" t="s">
        <v>521</v>
      </c>
      <c r="C86" s="23" t="s">
        <v>985</v>
      </c>
      <c r="D86" s="23" t="s">
        <v>906</v>
      </c>
      <c r="E86" s="23" t="str">
        <f aca="false">INDEX(Nodes!$B$2:$B$97,MATCH(A86,Nodes!$A$2:$A$97,0))</f>
        <v>Jair Bolsonaro</v>
      </c>
      <c r="F86" s="23" t="str">
        <f aca="false">INDEX(Nodes!$B$2:$B$97,MATCH(B86,Nodes!$A$2:$A$97,0))</f>
        <v>Abin</v>
      </c>
    </row>
    <row r="87" customFormat="false" ht="15" hidden="false" customHeight="true" outlineLevel="0" collapsed="false">
      <c r="A87" s="23" t="s">
        <v>521</v>
      </c>
      <c r="B87" s="23" t="s">
        <v>257</v>
      </c>
      <c r="C87" s="23" t="s">
        <v>986</v>
      </c>
      <c r="D87" s="23" t="s">
        <v>906</v>
      </c>
      <c r="E87" s="23" t="str">
        <f aca="false">INDEX(Nodes!$B$2:$B$97,MATCH(A87,Nodes!$A$2:$A$97,0))</f>
        <v>Abin</v>
      </c>
      <c r="F87" s="23" t="str">
        <f aca="false">INDEX(Nodes!$B$2:$B$97,MATCH(B87,Nodes!$A$2:$A$97,0))</f>
        <v>Alexandre Ramagem</v>
      </c>
    </row>
    <row r="88" customFormat="false" ht="15" hidden="false" customHeight="true" outlineLevel="0" collapsed="false">
      <c r="A88" s="23" t="s">
        <v>521</v>
      </c>
      <c r="B88" s="23" t="s">
        <v>123</v>
      </c>
      <c r="C88" s="23" t="s">
        <v>855</v>
      </c>
      <c r="D88" s="23" t="s">
        <v>906</v>
      </c>
      <c r="E88" s="23" t="str">
        <f aca="false">INDEX(Nodes!$B$2:$B$97,MATCH(A88,Nodes!$A$2:$A$97,0))</f>
        <v>Abin</v>
      </c>
      <c r="F88" s="23" t="str">
        <f aca="false">INDEX(Nodes!$B$2:$B$97,MATCH(B88,Nodes!$A$2:$A$97,0))</f>
        <v>Flávio Bolsonaro</v>
      </c>
    </row>
    <row r="89" customFormat="false" ht="15" hidden="false" customHeight="true" outlineLevel="0" collapsed="false">
      <c r="A89" s="23" t="s">
        <v>268</v>
      </c>
      <c r="B89" s="23" t="s">
        <v>151</v>
      </c>
      <c r="C89" s="23" t="s">
        <v>987</v>
      </c>
      <c r="D89" s="23" t="s">
        <v>906</v>
      </c>
      <c r="E89" s="23" t="str">
        <f aca="false">INDEX(Nodes!$B$2:$B$97,MATCH(A89,Nodes!$A$2:$A$97,0))</f>
        <v>General Heleno</v>
      </c>
      <c r="F89" s="23" t="str">
        <f aca="false">INDEX(Nodes!$B$2:$B$97,MATCH(B89,Nodes!$A$2:$A$97,0))</f>
        <v>Jair Bolsonaro</v>
      </c>
    </row>
    <row r="90" customFormat="false" ht="15" hidden="false" customHeight="true" outlineLevel="0" collapsed="false">
      <c r="A90" s="23" t="s">
        <v>257</v>
      </c>
      <c r="B90" s="23" t="s">
        <v>151</v>
      </c>
      <c r="C90" s="23" t="s">
        <v>987</v>
      </c>
      <c r="D90" s="23" t="s">
        <v>906</v>
      </c>
      <c r="E90" s="23" t="str">
        <f aca="false">INDEX(Nodes!$B$2:$B$97,MATCH(A90,Nodes!$A$2:$A$97,0))</f>
        <v>Alexandre Ramagem</v>
      </c>
      <c r="F90" s="23" t="str">
        <f aca="false">INDEX(Nodes!$B$2:$B$97,MATCH(B90,Nodes!$A$2:$A$97,0))</f>
        <v>Jair Bolsonaro</v>
      </c>
    </row>
    <row r="91" customFormat="false" ht="15" hidden="false" customHeight="true" outlineLevel="0" collapsed="false">
      <c r="A91" s="23" t="s">
        <v>257</v>
      </c>
      <c r="B91" s="23" t="s">
        <v>123</v>
      </c>
      <c r="C91" s="23" t="s">
        <v>988</v>
      </c>
      <c r="D91" s="23" t="s">
        <v>906</v>
      </c>
      <c r="E91" s="23" t="str">
        <f aca="false">INDEX(Nodes!$B$2:$B$97,MATCH(A91,Nodes!$A$2:$A$97,0))</f>
        <v>Alexandre Ramagem</v>
      </c>
      <c r="F91" s="23" t="str">
        <f aca="false">INDEX(Nodes!$B$2:$B$97,MATCH(B91,Nodes!$A$2:$A$97,0))</f>
        <v>Flávio Bolsonaro</v>
      </c>
    </row>
    <row r="92" customFormat="false" ht="15" hidden="false" customHeight="true" outlineLevel="0" collapsed="false">
      <c r="A92" s="23" t="s">
        <v>551</v>
      </c>
      <c r="B92" s="23" t="s">
        <v>123</v>
      </c>
      <c r="C92" s="23" t="s">
        <v>989</v>
      </c>
      <c r="D92" s="23" t="s">
        <v>906</v>
      </c>
      <c r="E92" s="23" t="str">
        <f aca="false">INDEX(Nodes!$B$2:$B$97,MATCH(A92,Nodes!$A$2:$A$97,0))</f>
        <v>Receita Federal</v>
      </c>
      <c r="F92" s="23" t="str">
        <f aca="false">INDEX(Nodes!$B$2:$B$97,MATCH(B92,Nodes!$A$2:$A$97,0))</f>
        <v>Flávio Bolsonaro</v>
      </c>
    </row>
    <row r="93" customFormat="false" ht="15" hidden="false" customHeight="true" outlineLevel="0" collapsed="false">
      <c r="A93" s="23" t="s">
        <v>151</v>
      </c>
      <c r="B93" s="23" t="s">
        <v>551</v>
      </c>
      <c r="C93" s="23" t="s">
        <v>990</v>
      </c>
      <c r="D93" s="23" t="s">
        <v>906</v>
      </c>
      <c r="E93" s="23" t="str">
        <f aca="false">INDEX(Nodes!$B$2:$B$97,MATCH(A93,Nodes!$A$2:$A$97,0))</f>
        <v>Jair Bolsonaro</v>
      </c>
      <c r="F93" s="23" t="str">
        <f aca="false">INDEX(Nodes!$B$2:$B$97,MATCH(B93,Nodes!$A$2:$A$97,0))</f>
        <v>Receita Federal</v>
      </c>
    </row>
    <row r="94" customFormat="false" ht="15" hidden="false" customHeight="true" outlineLevel="0" collapsed="false">
      <c r="A94" s="23" t="s">
        <v>151</v>
      </c>
      <c r="B94" s="23" t="s">
        <v>351</v>
      </c>
      <c r="C94" s="23" t="s">
        <v>991</v>
      </c>
      <c r="D94" s="23" t="s">
        <v>906</v>
      </c>
      <c r="E94" s="23" t="str">
        <f aca="false">INDEX(Nodes!$B$2:$B$97,MATCH(A94,Nodes!$A$2:$A$97,0))</f>
        <v>Jair Bolsonaro</v>
      </c>
      <c r="F94" s="23" t="str">
        <f aca="false">INDEX(Nodes!$B$2:$B$97,MATCH(B94,Nodes!$A$2:$A$97,0))</f>
        <v>Polícia Federal</v>
      </c>
    </row>
    <row r="95" customFormat="false" ht="15" hidden="false" customHeight="true" outlineLevel="0" collapsed="false">
      <c r="A95" s="23" t="s">
        <v>278</v>
      </c>
      <c r="B95" s="23" t="s">
        <v>151</v>
      </c>
      <c r="C95" s="23" t="s">
        <v>992</v>
      </c>
      <c r="D95" s="23" t="s">
        <v>906</v>
      </c>
      <c r="E95" s="23" t="str">
        <f aca="false">INDEX(Nodes!$B$2:$B$97,MATCH(A95,Nodes!$A$2:$A$97,0))</f>
        <v>Sérgio Moro</v>
      </c>
      <c r="F95" s="23" t="str">
        <f aca="false">INDEX(Nodes!$B$2:$B$97,MATCH(B95,Nodes!$A$2:$A$97,0))</f>
        <v>Jair Bolsonaro</v>
      </c>
    </row>
    <row r="96" customFormat="false" ht="15" hidden="false" customHeight="true" outlineLevel="0" collapsed="false">
      <c r="A96" s="23" t="s">
        <v>351</v>
      </c>
      <c r="B96" s="23" t="s">
        <v>91</v>
      </c>
      <c r="C96" s="23" t="s">
        <v>915</v>
      </c>
      <c r="D96" s="23" t="s">
        <v>906</v>
      </c>
      <c r="E96" s="23" t="str">
        <f aca="false">INDEX(Nodes!$B$2:$B$97,MATCH(A96,Nodes!$A$2:$A$97,0))</f>
        <v>Polícia Federal</v>
      </c>
      <c r="F96" s="23" t="str">
        <f aca="false">INDEX(Nodes!$B$2:$B$97,MATCH(B96,Nodes!$A$2:$A$97,0))</f>
        <v>Willer Tomaz</v>
      </c>
    </row>
    <row r="97" customFormat="false" ht="15" hidden="false" customHeight="true" outlineLevel="0" collapsed="false">
      <c r="A97" s="23" t="s">
        <v>123</v>
      </c>
      <c r="B97" s="23" t="s">
        <v>351</v>
      </c>
      <c r="C97" s="23" t="s">
        <v>993</v>
      </c>
      <c r="D97" s="23" t="s">
        <v>912</v>
      </c>
      <c r="E97" s="23" t="str">
        <f aca="false">INDEX(Nodes!$B$2:$B$97,MATCH(A97,Nodes!$A$2:$A$97,0))</f>
        <v>Flávio Bolsonaro</v>
      </c>
      <c r="F97" s="23" t="str">
        <f aca="false">INDEX(Nodes!$B$2:$B$97,MATCH(B97,Nodes!$A$2:$A$97,0))</f>
        <v>Polícia Federal</v>
      </c>
    </row>
    <row r="98" customFormat="false" ht="15" hidden="false" customHeight="true" outlineLevel="0" collapsed="false">
      <c r="A98" s="23" t="s">
        <v>123</v>
      </c>
      <c r="B98" s="23" t="s">
        <v>544</v>
      </c>
      <c r="C98" s="23" t="s">
        <v>994</v>
      </c>
      <c r="D98" s="23" t="s">
        <v>912</v>
      </c>
      <c r="E98" s="23" t="str">
        <f aca="false">INDEX(Nodes!$B$2:$B$97,MATCH(A98,Nodes!$A$2:$A$97,0))</f>
        <v>Flávio Bolsonaro</v>
      </c>
      <c r="F98" s="23" t="str">
        <f aca="false">INDEX(Nodes!$B$2:$B$97,MATCH(B98,Nodes!$A$2:$A$97,0))</f>
        <v>Procuradoria-Geral (PGR)</v>
      </c>
    </row>
    <row r="99" customFormat="false" ht="15" hidden="false" customHeight="true" outlineLevel="0" collapsed="false">
      <c r="A99" s="23" t="s">
        <v>544</v>
      </c>
      <c r="B99" s="23" t="s">
        <v>185</v>
      </c>
      <c r="C99" s="23" t="s">
        <v>995</v>
      </c>
      <c r="D99" s="23" t="s">
        <v>906</v>
      </c>
      <c r="E99" s="23" t="str">
        <f aca="false">INDEX(Nodes!$B$2:$B$97,MATCH(A99,Nodes!$A$2:$A$97,0))</f>
        <v>Procuradoria-Geral (PGR)</v>
      </c>
      <c r="F99" s="23" t="str">
        <f aca="false">INDEX(Nodes!$B$2:$B$97,MATCH(B99,Nodes!$A$2:$A$97,0))</f>
        <v>Daniel Vorcaro</v>
      </c>
    </row>
    <row r="100" customFormat="false" ht="23.25" hidden="false" customHeight="true" outlineLevel="0" collapsed="false">
      <c r="A100" s="23" t="s">
        <v>91</v>
      </c>
      <c r="B100" s="23" t="s">
        <v>185</v>
      </c>
      <c r="C100" s="23" t="s">
        <v>996</v>
      </c>
      <c r="D100" s="23" t="s">
        <v>912</v>
      </c>
      <c r="E100" s="23" t="str">
        <f aca="false">INDEX(Nodes!$B$2:$B$97,MATCH(A100,Nodes!$A$2:$A$97,0))</f>
        <v>Willer Tomaz</v>
      </c>
      <c r="F100" s="23" t="str">
        <f aca="false">INDEX(Nodes!$B$2:$B$97,MATCH(B100,Nodes!$A$2:$A$97,0))</f>
        <v>Daniel Vorcaro</v>
      </c>
    </row>
    <row r="101" customFormat="false" ht="15" hidden="false" customHeight="true" outlineLevel="0" collapsed="false">
      <c r="A101" s="23" t="s">
        <v>91</v>
      </c>
      <c r="B101" s="23" t="s">
        <v>407</v>
      </c>
      <c r="C101" s="23" t="s">
        <v>997</v>
      </c>
      <c r="D101" s="23" t="s">
        <v>906</v>
      </c>
      <c r="E101" s="23" t="str">
        <f aca="false">INDEX(Nodes!$B$2:$B$97,MATCH(A101,Nodes!$A$2:$A$97,0))</f>
        <v>Willer Tomaz</v>
      </c>
      <c r="F101" s="23" t="str">
        <f aca="false">INDEX(Nodes!$B$2:$B$97,MATCH(B101,Nodes!$A$2:$A$97,0))</f>
        <v>WT (e outras 13 empresas)</v>
      </c>
    </row>
    <row r="102" customFormat="false" ht="15" hidden="false" customHeight="true" outlineLevel="0" collapsed="false">
      <c r="A102" s="23" t="s">
        <v>123</v>
      </c>
      <c r="B102" s="23" t="s">
        <v>649</v>
      </c>
      <c r="C102" s="23" t="s">
        <v>998</v>
      </c>
      <c r="D102" s="23" t="s">
        <v>906</v>
      </c>
      <c r="E102" s="23" t="str">
        <f aca="false">INDEX(Nodes!$B$2:$B$97,MATCH(A102,Nodes!$A$2:$A$97,0))</f>
        <v>Flávio Bolsonaro</v>
      </c>
      <c r="F102" s="23" t="str">
        <f aca="false">INDEX(Nodes!$B$2:$B$97,MATCH(B102,Nodes!$A$2:$A$97,0))</f>
        <v>Escritório de advocacia de Flávio</v>
      </c>
    </row>
    <row r="103" customFormat="false" ht="15" hidden="false" customHeight="true" outlineLevel="0" collapsed="false">
      <c r="A103" s="23" t="s">
        <v>112</v>
      </c>
      <c r="B103" s="23" t="s">
        <v>91</v>
      </c>
      <c r="C103" s="23" t="s">
        <v>999</v>
      </c>
      <c r="D103" s="23" t="s">
        <v>906</v>
      </c>
      <c r="E103" s="23" t="str">
        <f aca="false">INDEX(Nodes!$B$2:$B$97,MATCH(A103,Nodes!$A$2:$A$97,0))</f>
        <v>Renan Calheiros</v>
      </c>
      <c r="F103" s="23" t="str">
        <f aca="false">INDEX(Nodes!$B$2:$B$97,MATCH(B103,Nodes!$A$2:$A$97,0))</f>
        <v>Willer Tomaz</v>
      </c>
    </row>
    <row r="104" customFormat="false" ht="15" hidden="false" customHeight="true" outlineLevel="0" collapsed="false">
      <c r="A104" s="23" t="s">
        <v>172</v>
      </c>
      <c r="B104" s="23" t="s">
        <v>123</v>
      </c>
      <c r="C104" s="23" t="s">
        <v>1000</v>
      </c>
      <c r="D104" s="23" t="s">
        <v>906</v>
      </c>
      <c r="E104" s="23" t="str">
        <f aca="false">INDEX(Nodes!$B$2:$B$97,MATCH(A104,Nodes!$A$2:$A$97,0))</f>
        <v>Fabrício Queiroz</v>
      </c>
      <c r="F104" s="23" t="str">
        <f aca="false">INDEX(Nodes!$B$2:$B$97,MATCH(B104,Nodes!$A$2:$A$97,0))</f>
        <v>Flávio Bolsonaro</v>
      </c>
    </row>
    <row r="105" customFormat="false" ht="15" hidden="false" customHeight="true" outlineLevel="0" collapsed="false">
      <c r="A105" s="23" t="s">
        <v>236</v>
      </c>
      <c r="B105" s="23" t="s">
        <v>123</v>
      </c>
      <c r="C105" s="23" t="s">
        <v>1001</v>
      </c>
      <c r="D105" s="23" t="s">
        <v>912</v>
      </c>
      <c r="E105" s="23" t="str">
        <f aca="false">INDEX(Nodes!$B$2:$B$97,MATCH(A105,Nodes!$A$2:$A$97,0))</f>
        <v>Ex-possuidor da mansão (nome não confirmado)</v>
      </c>
      <c r="F105" s="23" t="str">
        <f aca="false">INDEX(Nodes!$B$2:$B$97,MATCH(B105,Nodes!$A$2:$A$97,0))</f>
        <v>Flávio Bolsonaro</v>
      </c>
    </row>
    <row r="106" customFormat="false" ht="15" hidden="false" customHeight="true" outlineLevel="0" collapsed="false">
      <c r="A106" s="23" t="s">
        <v>236</v>
      </c>
      <c r="B106" s="23" t="s">
        <v>91</v>
      </c>
      <c r="C106" s="23" t="s">
        <v>1001</v>
      </c>
      <c r="D106" s="23" t="s">
        <v>912</v>
      </c>
      <c r="E106" s="23" t="str">
        <f aca="false">INDEX(Nodes!$B$2:$B$97,MATCH(A106,Nodes!$A$2:$A$97,0))</f>
        <v>Ex-possuidor da mansão (nome não confirmado)</v>
      </c>
      <c r="F106" s="23" t="str">
        <f aca="false">INDEX(Nodes!$B$2:$B$97,MATCH(B106,Nodes!$A$2:$A$97,0))</f>
        <v>Willer Tomaz</v>
      </c>
    </row>
    <row r="107" customFormat="false" ht="15" hidden="false" customHeight="true" outlineLevel="0" collapsed="false">
      <c r="A107" s="23" t="s">
        <v>224</v>
      </c>
      <c r="B107" s="23" t="s">
        <v>123</v>
      </c>
      <c r="C107" s="23" t="s">
        <v>1002</v>
      </c>
      <c r="D107" s="23" t="s">
        <v>912</v>
      </c>
      <c r="E107" s="23" t="str">
        <f aca="false">INDEX(Nodes!$B$2:$B$97,MATCH(A107,Nodes!$A$2:$A$97,0))</f>
        <v>Richarlison</v>
      </c>
      <c r="F107" s="23" t="str">
        <f aca="false">INDEX(Nodes!$B$2:$B$97,MATCH(B107,Nodes!$A$2:$A$97,0))</f>
        <v>Flávio Bolsonaro</v>
      </c>
    </row>
    <row r="108" customFormat="false" ht="15" hidden="false" customHeight="true" outlineLevel="0" collapsed="false">
      <c r="A108" s="23" t="s">
        <v>224</v>
      </c>
      <c r="B108" s="23" t="s">
        <v>91</v>
      </c>
      <c r="C108" s="23" t="s">
        <v>1002</v>
      </c>
      <c r="D108" s="23" t="s">
        <v>912</v>
      </c>
      <c r="E108" s="23" t="str">
        <f aca="false">INDEX(Nodes!$B$2:$B$97,MATCH(A108,Nodes!$A$2:$A$97,0))</f>
        <v>Richarlison</v>
      </c>
      <c r="F108" s="23" t="str">
        <f aca="false">INDEX(Nodes!$B$2:$B$97,MATCH(B108,Nodes!$A$2:$A$97,0))</f>
        <v>Willer Tomaz</v>
      </c>
    </row>
    <row r="109" customFormat="false" ht="15" hidden="false" customHeight="true" outlineLevel="0" collapsed="false">
      <c r="A109" s="23"/>
      <c r="B109" s="23"/>
      <c r="C109" s="23"/>
      <c r="D109" s="23"/>
      <c r="E109" s="23"/>
      <c r="F109" s="23"/>
    </row>
    <row r="110" customFormat="false" ht="15" hidden="false" customHeight="true" outlineLevel="0" collapsed="false">
      <c r="A110" s="23" t="s">
        <v>240</v>
      </c>
      <c r="B110" s="23" t="s">
        <v>369</v>
      </c>
      <c r="C110" s="23" t="s">
        <v>1003</v>
      </c>
      <c r="D110" s="23" t="s">
        <v>912</v>
      </c>
      <c r="E110" s="23" t="str">
        <f aca="false">INDEX(Nodes!$B$2:$B$97,MATCH(A110,Nodes!$A$2:$A$97,0))</f>
        <v>Kássio Nunes Marques</v>
      </c>
      <c r="F110" s="23" t="str">
        <f aca="false">INDEX(Nodes!$B$2:$B$97,MATCH(B110,Nodes!$A$2:$A$97,0))</f>
        <v>Banco Master</v>
      </c>
    </row>
    <row r="111" customFormat="false" ht="23.25" hidden="false" customHeight="true" outlineLevel="0" collapsed="false">
      <c r="A111" s="23"/>
      <c r="B111" s="23"/>
      <c r="C111" s="23"/>
      <c r="D111" s="23"/>
      <c r="E111" s="23"/>
      <c r="F111" s="23"/>
    </row>
    <row r="112" customFormat="false" ht="15" hidden="false" customHeight="true" outlineLevel="0" collapsed="false">
      <c r="A112" s="23" t="s">
        <v>182</v>
      </c>
      <c r="B112" s="23" t="s">
        <v>151</v>
      </c>
      <c r="C112" s="23" t="s">
        <v>1004</v>
      </c>
      <c r="D112" s="23" t="s">
        <v>906</v>
      </c>
      <c r="E112" s="23" t="str">
        <f aca="false">INDEX(Nodes!$B$2:$B$97,MATCH(A112,Nodes!$A$2:$A$97,0))</f>
        <v>Advogadas de Flávio (2)</v>
      </c>
      <c r="F112" s="23" t="str">
        <f aca="false">INDEX(Nodes!$B$2:$B$97,MATCH(B112,Nodes!$A$2:$A$97,0))</f>
        <v>Jair Bolsonaro</v>
      </c>
    </row>
    <row r="113" customFormat="false" ht="15" hidden="false" customHeight="true" outlineLevel="0" collapsed="false">
      <c r="A113" s="23" t="s">
        <v>182</v>
      </c>
      <c r="B113" s="23" t="s">
        <v>123</v>
      </c>
      <c r="C113" s="23" t="s">
        <v>1005</v>
      </c>
      <c r="D113" s="23" t="s">
        <v>906</v>
      </c>
      <c r="E113" s="23" t="str">
        <f aca="false">INDEX(Nodes!$B$2:$B$97,MATCH(A113,Nodes!$A$2:$A$97,0))</f>
        <v>Advogadas de Flávio (2)</v>
      </c>
      <c r="F113" s="23" t="str">
        <f aca="false">INDEX(Nodes!$B$2:$B$97,MATCH(B113,Nodes!$A$2:$A$97,0))</f>
        <v>Flávio Bolsonaro</v>
      </c>
    </row>
    <row r="114" customFormat="false" ht="15" hidden="false" customHeight="true" outlineLevel="0" collapsed="false">
      <c r="A114" s="23" t="s">
        <v>288</v>
      </c>
      <c r="B114" s="23" t="s">
        <v>240</v>
      </c>
      <c r="C114" s="23" t="s">
        <v>1006</v>
      </c>
      <c r="D114" s="23" t="s">
        <v>912</v>
      </c>
      <c r="E114" s="23" t="str">
        <f aca="false">INDEX(Nodes!$B$2:$B$97,MATCH(A114,Nodes!$A$2:$A$97,0))</f>
        <v>Ciro Nogueira</v>
      </c>
      <c r="F114" s="23" t="str">
        <f aca="false">INDEX(Nodes!$B$2:$B$97,MATCH(B114,Nodes!$A$2:$A$97,0))</f>
        <v>Kássio Nunes Marques</v>
      </c>
    </row>
    <row r="115" customFormat="false" ht="15" hidden="false" customHeight="true" outlineLevel="0" collapsed="false">
      <c r="A115" s="23" t="s">
        <v>288</v>
      </c>
      <c r="B115" s="23" t="s">
        <v>123</v>
      </c>
      <c r="C115" s="23" t="s">
        <v>1007</v>
      </c>
      <c r="D115" s="23" t="s">
        <v>912</v>
      </c>
      <c r="E115" s="23" t="str">
        <f aca="false">INDEX(Nodes!$B$2:$B$97,MATCH(A115,Nodes!$A$2:$A$97,0))</f>
        <v>Ciro Nogueira</v>
      </c>
      <c r="F115" s="23" t="str">
        <f aca="false">INDEX(Nodes!$B$2:$B$97,MATCH(B115,Nodes!$A$2:$A$97,0))</f>
        <v>Flávio Bolsonaro</v>
      </c>
    </row>
    <row r="116" customFormat="false" ht="15" hidden="false" customHeight="true" outlineLevel="0" collapsed="false">
      <c r="A116" s="23" t="s">
        <v>514</v>
      </c>
      <c r="B116" s="23" t="s">
        <v>240</v>
      </c>
      <c r="C116" s="23" t="s">
        <v>1008</v>
      </c>
      <c r="D116" s="23" t="s">
        <v>906</v>
      </c>
      <c r="E116" s="23" t="str">
        <f aca="false">INDEX(Nodes!$B$2:$B$97,MATCH(A116,Nodes!$A$2:$A$97,0))</f>
        <v>STF</v>
      </c>
      <c r="F116" s="23" t="str">
        <f aca="false">INDEX(Nodes!$B$2:$B$97,MATCH(B116,Nodes!$A$2:$A$97,0))</f>
        <v>Kássio Nunes Marques</v>
      </c>
    </row>
    <row r="117" customFormat="false" ht="15" hidden="false" customHeight="true" outlineLevel="0" collapsed="false">
      <c r="A117" s="23" t="s">
        <v>514</v>
      </c>
      <c r="B117" s="23" t="s">
        <v>73</v>
      </c>
      <c r="C117" s="23" t="s">
        <v>1009</v>
      </c>
      <c r="D117" s="23" t="s">
        <v>906</v>
      </c>
      <c r="E117" s="23" t="str">
        <f aca="false">INDEX(Nodes!$B$2:$B$97,MATCH(A117,Nodes!$A$2:$A$97,0))</f>
        <v>STF</v>
      </c>
      <c r="F117" s="23" t="str">
        <f aca="false">INDEX(Nodes!$B$2:$B$97,MATCH(B117,Nodes!$A$2:$A$97,0))</f>
        <v>Lulinha</v>
      </c>
    </row>
    <row r="118" customFormat="false" ht="15" hidden="false" customHeight="true" outlineLevel="0" collapsed="false">
      <c r="A118" s="23" t="s">
        <v>514</v>
      </c>
      <c r="B118" s="23" t="s">
        <v>123</v>
      </c>
      <c r="C118" s="23" t="s">
        <v>1010</v>
      </c>
      <c r="D118" s="23" t="s">
        <v>906</v>
      </c>
      <c r="E118" s="23" t="str">
        <f aca="false">INDEX(Nodes!$B$2:$B$97,MATCH(A118,Nodes!$A$2:$A$97,0))</f>
        <v>STF</v>
      </c>
      <c r="F118" s="23" t="str">
        <f aca="false">INDEX(Nodes!$B$2:$B$97,MATCH(B118,Nodes!$A$2:$A$97,0))</f>
        <v>Flávio Bolsonaro</v>
      </c>
    </row>
    <row r="119" customFormat="false" ht="15" hidden="false" customHeight="true" outlineLevel="0" collapsed="false">
      <c r="A119" s="23" t="s">
        <v>514</v>
      </c>
      <c r="B119" s="23" t="s">
        <v>379</v>
      </c>
      <c r="C119" s="23" t="s">
        <v>1011</v>
      </c>
      <c r="D119" s="23" t="s">
        <v>906</v>
      </c>
      <c r="E119" s="23" t="str">
        <f aca="false">INDEX(Nodes!$B$2:$B$97,MATCH(A119,Nodes!$A$2:$A$97,0))</f>
        <v>STF</v>
      </c>
      <c r="F119" s="23" t="str">
        <f aca="false">INDEX(Nodes!$B$2:$B$97,MATCH(B119,Nodes!$A$2:$A$97,0))</f>
        <v>Caso rachadinha / COAF</v>
      </c>
    </row>
    <row r="120" customFormat="false" ht="15" hidden="false" customHeight="true" outlineLevel="0" collapsed="false">
      <c r="A120" s="23" t="s">
        <v>559</v>
      </c>
      <c r="B120" s="23" t="s">
        <v>240</v>
      </c>
      <c r="C120" s="23" t="s">
        <v>1012</v>
      </c>
      <c r="D120" s="23" t="s">
        <v>906</v>
      </c>
      <c r="E120" s="23" t="str">
        <f aca="false">INDEX(Nodes!$B$2:$B$97,MATCH(A120,Nodes!$A$2:$A$97,0))</f>
        <v>TSE</v>
      </c>
      <c r="F120" s="23" t="str">
        <f aca="false">INDEX(Nodes!$B$2:$B$97,MATCH(B120,Nodes!$A$2:$A$97,0))</f>
        <v>Kássio Nunes Marques</v>
      </c>
    </row>
    <row r="121" customFormat="false" ht="15" hidden="false" customHeight="false" outlineLevel="0" collapsed="false">
      <c r="A121" s="23" t="s">
        <v>185</v>
      </c>
      <c r="B121" s="23" t="s">
        <v>123</v>
      </c>
      <c r="C121" s="23" t="s">
        <v>1013</v>
      </c>
      <c r="D121" s="23" t="s">
        <v>912</v>
      </c>
      <c r="E121" s="23" t="str">
        <f aca="false">INDEX(Nodes!$B$2:$B$97,MATCH(A121,Nodes!$A$2:$A$97,0))</f>
        <v>Daniel Vorcaro</v>
      </c>
      <c r="F121" s="23" t="str">
        <f aca="false">INDEX(Nodes!$B$2:$B$97,MATCH(B121,Nodes!$A$2:$A$97,0))</f>
        <v>Flávio Bolsonaro</v>
      </c>
    </row>
    <row r="122" customFormat="false" ht="23.85" hidden="false" customHeight="false" outlineLevel="0" collapsed="false">
      <c r="A122" s="23" t="s">
        <v>185</v>
      </c>
      <c r="B122" s="23" t="s">
        <v>123</v>
      </c>
      <c r="C122" s="23" t="s">
        <v>1014</v>
      </c>
      <c r="D122" s="23" t="s">
        <v>912</v>
      </c>
      <c r="E122" s="23" t="str">
        <f aca="false">INDEX(Nodes!$B$2:$B$97,MATCH(A122,Nodes!$A$2:$A$97,0))</f>
        <v>Daniel Vorcaro</v>
      </c>
      <c r="F122" s="23" t="str">
        <f aca="false">INDEX(Nodes!$B$2:$B$97,MATCH(B122,Nodes!$A$2:$A$97,0))</f>
        <v>Flávio Bolsonaro</v>
      </c>
    </row>
    <row r="123" customFormat="false" ht="23.85" hidden="false" customHeight="false" outlineLevel="0" collapsed="false">
      <c r="A123" s="23" t="s">
        <v>185</v>
      </c>
      <c r="B123" s="23" t="s">
        <v>123</v>
      </c>
      <c r="C123" s="23" t="s">
        <v>1015</v>
      </c>
      <c r="D123" s="23" t="s">
        <v>912</v>
      </c>
      <c r="E123" s="23" t="str">
        <f aca="false">INDEX(Nodes!$B$2:$B$97,MATCH(A123,Nodes!$A$2:$A$97,0))</f>
        <v>Daniel Vorcaro</v>
      </c>
      <c r="F123" s="23" t="str">
        <f aca="false">INDEX(Nodes!$B$2:$B$97,MATCH(B123,Nodes!$A$2:$A$97,0))</f>
        <v>Flávio Bolsonaro</v>
      </c>
    </row>
    <row r="124" customFormat="false" ht="35.05" hidden="false" customHeight="false" outlineLevel="0" collapsed="false">
      <c r="A124" s="23" t="s">
        <v>566</v>
      </c>
      <c r="B124" s="23" t="s">
        <v>123</v>
      </c>
      <c r="C124" s="23" t="s">
        <v>1016</v>
      </c>
      <c r="D124" s="23" t="s">
        <v>912</v>
      </c>
      <c r="E124" s="23" t="str">
        <f aca="false">INDEX(Nodes!$B$2:$B$97,MATCH(A124,Nodes!$A$2:$A$97,0))</f>
        <v>BRB (Banco de Brasília)</v>
      </c>
      <c r="F124" s="23" t="str">
        <f aca="false">INDEX(Nodes!$B$2:$B$97,MATCH(B124,Nodes!$A$2:$A$97,0))</f>
        <v>Flávio Bolsonaro</v>
      </c>
    </row>
    <row r="125" customFormat="false" ht="15" hidden="false" customHeight="false" outlineLevel="0" collapsed="false">
      <c r="A125" s="23" t="s">
        <v>566</v>
      </c>
      <c r="B125" s="23" t="s">
        <v>718</v>
      </c>
      <c r="C125" s="23" t="s">
        <v>1017</v>
      </c>
      <c r="D125" s="23" t="s">
        <v>906</v>
      </c>
      <c r="E125" s="23" t="str">
        <f aca="false">INDEX(Nodes!$B$2:$B$97,MATCH(A125,Nodes!$A$2:$A$97,0))</f>
        <v>BRB (Banco de Brasília)</v>
      </c>
      <c r="F125" s="23" t="str">
        <f aca="false">INDEX(Nodes!$B$2:$B$97,MATCH(B125,Nodes!$A$2:$A$97,0))</f>
        <v>Mansão de Flávio em Brasília</v>
      </c>
    </row>
    <row r="126" customFormat="false" ht="15" hidden="false" customHeight="false" outlineLevel="0" collapsed="false">
      <c r="A126" s="23" t="s">
        <v>123</v>
      </c>
      <c r="B126" s="23" t="s">
        <v>718</v>
      </c>
      <c r="C126" s="23" t="s">
        <v>1018</v>
      </c>
      <c r="D126" s="23" t="s">
        <v>906</v>
      </c>
      <c r="E126" s="23" t="str">
        <f aca="false">INDEX(Nodes!$B$2:$B$97,MATCH(A126,Nodes!$A$2:$A$97,0))</f>
        <v>Flávio Bolsonaro</v>
      </c>
      <c r="F126" s="23" t="str">
        <f aca="false">INDEX(Nodes!$B$2:$B$97,MATCH(B126,Nodes!$A$2:$A$97,0))</f>
        <v>Mansão de Flávio em Brasília</v>
      </c>
    </row>
    <row r="127" customFormat="false" ht="23.85" hidden="false" customHeight="false" outlineLevel="0" collapsed="false">
      <c r="A127" s="23" t="s">
        <v>196</v>
      </c>
      <c r="B127" s="23" t="s">
        <v>151</v>
      </c>
      <c r="C127" s="23" t="s">
        <v>1019</v>
      </c>
      <c r="D127" s="23" t="s">
        <v>906</v>
      </c>
      <c r="E127" s="23" t="str">
        <f aca="false">INDEX(Nodes!$B$2:$B$97,MATCH(A127,Nodes!$A$2:$A$97,0))</f>
        <v>Fabiano Zettel</v>
      </c>
      <c r="F127" s="23" t="str">
        <f aca="false">INDEX(Nodes!$B$2:$B$97,MATCH(B127,Nodes!$A$2:$A$97,0))</f>
        <v>Jair Bolsonaro</v>
      </c>
    </row>
    <row r="128" customFormat="false" ht="23.85" hidden="false" customHeight="false" outlineLevel="0" collapsed="false">
      <c r="A128" s="23" t="s">
        <v>196</v>
      </c>
      <c r="B128" s="23" t="s">
        <v>427</v>
      </c>
      <c r="C128" s="23" t="s">
        <v>1020</v>
      </c>
      <c r="D128" s="23" t="s">
        <v>906</v>
      </c>
      <c r="E128" s="23" t="str">
        <f aca="false">INDEX(Nodes!$B$2:$B$97,MATCH(A128,Nodes!$A$2:$A$97,0))</f>
        <v>Fabiano Zettel</v>
      </c>
      <c r="F128" s="23" t="str">
        <f aca="false">INDEX(Nodes!$B$2:$B$97,MATCH(B128,Nodes!$A$2:$A$97,0))</f>
        <v>Tarcísio de Freitas</v>
      </c>
    </row>
    <row r="129" customFormat="false" ht="23.85" hidden="false" customHeight="false" outlineLevel="0" collapsed="false">
      <c r="A129" s="23" t="s">
        <v>369</v>
      </c>
      <c r="B129" s="23" t="s">
        <v>240</v>
      </c>
      <c r="C129" s="23" t="s">
        <v>1021</v>
      </c>
      <c r="D129" s="23" t="s">
        <v>912</v>
      </c>
      <c r="E129" s="23" t="str">
        <f aca="false">INDEX(Nodes!$B$2:$B$97,MATCH(A129,Nodes!$A$2:$A$97,0))</f>
        <v>Banco Master</v>
      </c>
      <c r="F129" s="23" t="str">
        <f aca="false">INDEX(Nodes!$B$2:$B$97,MATCH(B129,Nodes!$A$2:$A$97,0))</f>
        <v>Kássio Nunes Marques</v>
      </c>
    </row>
    <row r="130" customFormat="false" ht="23.85" hidden="false" customHeight="false" outlineLevel="0" collapsed="false">
      <c r="A130" s="23" t="s">
        <v>185</v>
      </c>
      <c r="B130" s="23" t="s">
        <v>251</v>
      </c>
      <c r="C130" s="23" t="s">
        <v>1022</v>
      </c>
      <c r="D130" s="23" t="s">
        <v>912</v>
      </c>
      <c r="E130" s="23" t="str">
        <f aca="false">INDEX(Nodes!$B$2:$B$97,MATCH(A130,Nodes!$A$2:$A$97,0))</f>
        <v>Daniel Vorcaro</v>
      </c>
      <c r="F130" s="23" t="str">
        <f aca="false">INDEX(Nodes!$B$2:$B$97,MATCH(B130,Nodes!$A$2:$A$97,0))</f>
        <v>Kevin Marques</v>
      </c>
    </row>
    <row r="131" customFormat="false" ht="15" hidden="false" customHeight="false" outlineLevel="0" collapsed="false">
      <c r="A131" s="23"/>
      <c r="B131" s="23"/>
      <c r="C131" s="23"/>
      <c r="D131" s="23"/>
      <c r="E131" s="23"/>
      <c r="F131" s="23"/>
    </row>
    <row r="132" customFormat="false" ht="15" hidden="false" customHeight="false" outlineLevel="0" collapsed="false">
      <c r="A132" s="23" t="s">
        <v>151</v>
      </c>
      <c r="B132" s="23" t="s">
        <v>299</v>
      </c>
      <c r="C132" s="23" t="s">
        <v>1023</v>
      </c>
      <c r="D132" s="23" t="s">
        <v>906</v>
      </c>
      <c r="E132" s="23" t="str">
        <f aca="false">INDEX(Nodes!$B$2:$B$97,MATCH(A132,Nodes!$A$2:$A$97,0))</f>
        <v>Jair Bolsonaro</v>
      </c>
      <c r="F132" s="23" t="str">
        <f aca="false">INDEX(Nodes!$B$2:$B$97,MATCH(B132,Nodes!$A$2:$A$97,0))</f>
        <v>André Mendonça</v>
      </c>
    </row>
    <row r="133" customFormat="false" ht="15" hidden="false" customHeight="false" outlineLevel="0" collapsed="false">
      <c r="A133" s="23" t="s">
        <v>616</v>
      </c>
      <c r="B133" s="23" t="s">
        <v>185</v>
      </c>
      <c r="C133" s="23" t="s">
        <v>1024</v>
      </c>
      <c r="D133" s="23" t="s">
        <v>906</v>
      </c>
      <c r="E133" s="23" t="str">
        <f aca="false">INDEX(Nodes!$B$2:$B$97,MATCH(A133,Nodes!$A$2:$A$97,0))</f>
        <v>Ciro Rocha Soares</v>
      </c>
      <c r="F133" s="23" t="str">
        <f aca="false">INDEX(Nodes!$B$2:$B$97,MATCH(B133,Nodes!$A$2:$A$97,0))</f>
        <v>Daniel Vorcaro</v>
      </c>
    </row>
    <row r="134" customFormat="false" ht="23.85" hidden="false" customHeight="false" outlineLevel="0" collapsed="false">
      <c r="A134" s="23" t="s">
        <v>616</v>
      </c>
      <c r="B134" s="23" t="s">
        <v>299</v>
      </c>
      <c r="C134" s="23" t="s">
        <v>1025</v>
      </c>
      <c r="D134" s="23" t="s">
        <v>912</v>
      </c>
      <c r="E134" s="23" t="str">
        <f aca="false">INDEX(Nodes!$B$2:$B$97,MATCH(A134,Nodes!$A$2:$A$97,0))</f>
        <v>Ciro Rocha Soares</v>
      </c>
      <c r="F134" s="23" t="str">
        <f aca="false">INDEX(Nodes!$B$2:$B$97,MATCH(B134,Nodes!$A$2:$A$97,0))</f>
        <v>André Mendonça</v>
      </c>
    </row>
    <row r="135" customFormat="false" ht="23.85" hidden="false" customHeight="false" outlineLevel="0" collapsed="false">
      <c r="A135" s="23" t="s">
        <v>299</v>
      </c>
      <c r="B135" s="23" t="s">
        <v>185</v>
      </c>
      <c r="C135" s="23" t="s">
        <v>1026</v>
      </c>
      <c r="D135" s="23" t="s">
        <v>912</v>
      </c>
      <c r="E135" s="23" t="str">
        <f aca="false">INDEX(Nodes!$B$2:$B$97,MATCH(A135,Nodes!$A$2:$A$97,0))</f>
        <v>André Mendonça</v>
      </c>
      <c r="F135" s="23" t="str">
        <f aca="false">INDEX(Nodes!$B$2:$B$97,MATCH(B135,Nodes!$A$2:$A$97,0))</f>
        <v>Daniel Vorcaro</v>
      </c>
    </row>
    <row r="136" customFormat="false" ht="23.85" hidden="false" customHeight="false" outlineLevel="0" collapsed="false">
      <c r="A136" s="23" t="s">
        <v>299</v>
      </c>
      <c r="B136" s="23" t="s">
        <v>185</v>
      </c>
      <c r="C136" s="23" t="s">
        <v>1027</v>
      </c>
      <c r="D136" s="23" t="s">
        <v>912</v>
      </c>
      <c r="E136" s="23" t="str">
        <f aca="false">INDEX(Nodes!$B$2:$B$97,MATCH(A136,Nodes!$A$2:$A$97,0))</f>
        <v>André Mendonça</v>
      </c>
      <c r="F136" s="23" t="str">
        <f aca="false">INDEX(Nodes!$B$2:$B$97,MATCH(B136,Nodes!$A$2:$A$97,0))</f>
        <v>Daniel Vorcaro</v>
      </c>
    </row>
    <row r="137" customFormat="false" ht="15" hidden="false" customHeight="false" outlineLevel="0" collapsed="false">
      <c r="A137" s="23" t="s">
        <v>497</v>
      </c>
      <c r="B137" s="23" t="s">
        <v>299</v>
      </c>
      <c r="C137" s="23" t="s">
        <v>1028</v>
      </c>
      <c r="D137" s="23" t="s">
        <v>912</v>
      </c>
      <c r="E137" s="23" t="str">
        <f aca="false">INDEX(Nodes!$B$2:$B$97,MATCH(A137,Nodes!$A$2:$A$97,0))</f>
        <v>Bruno Bianco Leal</v>
      </c>
      <c r="F137" s="23" t="str">
        <f aca="false">INDEX(Nodes!$B$2:$B$97,MATCH(B137,Nodes!$A$2:$A$97,0))</f>
        <v>André Mendonça</v>
      </c>
    </row>
    <row r="138" customFormat="false" ht="15" hidden="false" customHeight="false" outlineLevel="0" collapsed="false">
      <c r="A138" s="23" t="s">
        <v>463</v>
      </c>
      <c r="B138" s="23" t="s">
        <v>299</v>
      </c>
      <c r="C138" s="23" t="s">
        <v>1029</v>
      </c>
      <c r="D138" s="23" t="s">
        <v>912</v>
      </c>
      <c r="E138" s="23" t="str">
        <f aca="false">INDEX(Nodes!$B$2:$B$97,MATCH(A138,Nodes!$A$2:$A$97,0))</f>
        <v>Cezinha de Madureira</v>
      </c>
      <c r="F138" s="23" t="str">
        <f aca="false">INDEX(Nodes!$B$2:$B$97,MATCH(B138,Nodes!$A$2:$A$97,0))</f>
        <v>André Mendonça</v>
      </c>
    </row>
    <row r="139" customFormat="false" ht="15" hidden="false" customHeight="false" outlineLevel="0" collapsed="false">
      <c r="A139" s="23" t="s">
        <v>427</v>
      </c>
      <c r="B139" s="23" t="s">
        <v>463</v>
      </c>
      <c r="C139" s="23" t="s">
        <v>1030</v>
      </c>
      <c r="D139" s="23" t="s">
        <v>906</v>
      </c>
      <c r="E139" s="23" t="str">
        <f aca="false">INDEX(Nodes!$B$2:$B$97,MATCH(A139,Nodes!$A$2:$A$97,0))</f>
        <v>Tarcísio de Freitas</v>
      </c>
      <c r="F139" s="23" t="str">
        <f aca="false">INDEX(Nodes!$B$2:$B$97,MATCH(B139,Nodes!$A$2:$A$97,0))</f>
        <v>Cezinha de Madureira</v>
      </c>
    </row>
    <row r="140" customFormat="false" ht="15" hidden="false" customHeight="false" outlineLevel="0" collapsed="false">
      <c r="A140" s="23" t="s">
        <v>299</v>
      </c>
      <c r="B140" s="23" t="s">
        <v>413</v>
      </c>
      <c r="C140" s="23" t="s">
        <v>1031</v>
      </c>
      <c r="D140" s="23" t="s">
        <v>906</v>
      </c>
      <c r="E140" s="23" t="str">
        <f aca="false">INDEX(Nodes!$B$2:$B$97,MATCH(A140,Nodes!$A$2:$A$97,0))</f>
        <v>André Mendonça</v>
      </c>
      <c r="F140" s="23" t="str">
        <f aca="false">INDEX(Nodes!$B$2:$B$97,MATCH(B140,Nodes!$A$2:$A$97,0))</f>
        <v>Instituto ITER</v>
      </c>
    </row>
    <row r="141" customFormat="false" ht="23.85" hidden="false" customHeight="false" outlineLevel="0" collapsed="false">
      <c r="A141" s="23" t="s">
        <v>185</v>
      </c>
      <c r="B141" s="23" t="s">
        <v>413</v>
      </c>
      <c r="C141" s="23" t="s">
        <v>1032</v>
      </c>
      <c r="D141" s="23" t="s">
        <v>912</v>
      </c>
      <c r="E141" s="23" t="str">
        <f aca="false">INDEX(Nodes!$B$2:$B$97,MATCH(A141,Nodes!$A$2:$A$97,0))</f>
        <v>Daniel Vorcaro</v>
      </c>
      <c r="F141" s="23" t="str">
        <f aca="false">INDEX(Nodes!$B$2:$B$97,MATCH(B141,Nodes!$A$2:$A$97,0))</f>
        <v>Instituto ITER</v>
      </c>
    </row>
    <row r="142" customFormat="false" ht="23.85" hidden="false" customHeight="false" outlineLevel="0" collapsed="false">
      <c r="A142" s="23" t="s">
        <v>299</v>
      </c>
      <c r="B142" s="23" t="s">
        <v>369</v>
      </c>
      <c r="C142" s="23" t="s">
        <v>1033</v>
      </c>
      <c r="D142" s="23" t="s">
        <v>906</v>
      </c>
      <c r="E142" s="23" t="str">
        <f aca="false">INDEX(Nodes!$B$2:$B$97,MATCH(A142,Nodes!$A$2:$A$97,0))</f>
        <v>André Mendonça</v>
      </c>
      <c r="F142" s="23" t="str">
        <f aca="false">INDEX(Nodes!$B$2:$B$97,MATCH(B142,Nodes!$A$2:$A$97,0))</f>
        <v>Banco Master</v>
      </c>
    </row>
    <row r="143" customFormat="false" ht="23.85" hidden="false" customHeight="false" outlineLevel="0" collapsed="false">
      <c r="A143" s="23" t="s">
        <v>299</v>
      </c>
      <c r="B143" s="23" t="s">
        <v>351</v>
      </c>
      <c r="C143" s="23" t="s">
        <v>1034</v>
      </c>
      <c r="D143" s="23" t="s">
        <v>906</v>
      </c>
      <c r="E143" s="23" t="str">
        <f aca="false">INDEX(Nodes!$B$2:$B$97,MATCH(A143,Nodes!$A$2:$A$97,0))</f>
        <v>André Mendonça</v>
      </c>
      <c r="F143" s="23" t="str">
        <f aca="false">INDEX(Nodes!$B$2:$B$97,MATCH(B143,Nodes!$A$2:$A$97,0))</f>
        <v>Polícia Federal</v>
      </c>
    </row>
    <row r="144" customFormat="false" ht="15" hidden="false" customHeight="false" outlineLevel="0" collapsed="false">
      <c r="A144" s="23" t="s">
        <v>299</v>
      </c>
      <c r="B144" s="23" t="s">
        <v>39</v>
      </c>
      <c r="C144" s="23" t="s">
        <v>1035</v>
      </c>
      <c r="D144" s="23" t="s">
        <v>906</v>
      </c>
      <c r="E144" s="23" t="str">
        <f aca="false">INDEX(Nodes!$B$2:$B$97,MATCH(A144,Nodes!$A$2:$A$97,0))</f>
        <v>André Mendonça</v>
      </c>
      <c r="F144" s="23" t="str">
        <f aca="false">INDEX(Nodes!$B$2:$B$97,MATCH(B144,Nodes!$A$2:$A$97,0))</f>
        <v>Careca do INSS</v>
      </c>
    </row>
    <row r="145" customFormat="false" ht="23.85" hidden="false" customHeight="false" outlineLevel="0" collapsed="false">
      <c r="A145" s="23" t="s">
        <v>351</v>
      </c>
      <c r="B145" s="23" t="s">
        <v>299</v>
      </c>
      <c r="C145" s="23" t="s">
        <v>1036</v>
      </c>
      <c r="D145" s="23" t="s">
        <v>912</v>
      </c>
      <c r="E145" s="23" t="str">
        <f aca="false">INDEX(Nodes!$B$2:$B$97,MATCH(A145,Nodes!$A$2:$A$97,0))</f>
        <v>Polícia Federal</v>
      </c>
      <c r="F145" s="23" t="str">
        <f aca="false">INDEX(Nodes!$B$2:$B$97,MATCH(B145,Nodes!$A$2:$A$97,0))</f>
        <v>André Mendonça</v>
      </c>
    </row>
    <row r="146" customFormat="false" ht="23.85" hidden="false" customHeight="false" outlineLevel="0" collapsed="false">
      <c r="A146" s="23" t="s">
        <v>299</v>
      </c>
      <c r="B146" s="23" t="s">
        <v>446</v>
      </c>
      <c r="C146" s="23" t="s">
        <v>1037</v>
      </c>
      <c r="D146" s="23" t="s">
        <v>912</v>
      </c>
      <c r="E146" s="23" t="str">
        <f aca="false">INDEX(Nodes!$B$2:$B$97,MATCH(A146,Nodes!$A$2:$A$97,0))</f>
        <v>André Mendonça</v>
      </c>
      <c r="F146" s="23" t="str">
        <f aca="false">INDEX(Nodes!$B$2:$B$97,MATCH(B146,Nodes!$A$2:$A$97,0))</f>
        <v>Alexandre de Moraes</v>
      </c>
    </row>
    <row r="147" customFormat="false" ht="15" hidden="false" customHeight="false" outlineLevel="0" collapsed="false">
      <c r="A147" s="23" t="s">
        <v>299</v>
      </c>
      <c r="B147" s="23" t="s">
        <v>240</v>
      </c>
      <c r="C147" s="23" t="s">
        <v>1038</v>
      </c>
      <c r="D147" s="23" t="s">
        <v>912</v>
      </c>
      <c r="E147" s="23" t="str">
        <f aca="false">INDEX(Nodes!$B$2:$B$97,MATCH(A147,Nodes!$A$2:$A$97,0))</f>
        <v>André Mendonça</v>
      </c>
      <c r="F147" s="23" t="str">
        <f aca="false">INDEX(Nodes!$B$2:$B$97,MATCH(B147,Nodes!$A$2:$A$97,0))</f>
        <v>Kássio Nunes Marques</v>
      </c>
    </row>
    <row r="148" customFormat="false" ht="15" hidden="false" customHeight="false" outlineLevel="0" collapsed="false">
      <c r="A148" s="23" t="s">
        <v>427</v>
      </c>
      <c r="B148" s="23" t="s">
        <v>413</v>
      </c>
      <c r="C148" s="23" t="s">
        <v>1039</v>
      </c>
      <c r="D148" s="23" t="s">
        <v>906</v>
      </c>
      <c r="E148" s="23" t="str">
        <f aca="false">INDEX(Nodes!$B$2:$B$97,MATCH(A148,Nodes!$A$2:$A$97,0))</f>
        <v>Tarcísio de Freitas</v>
      </c>
      <c r="F148" s="23" t="str">
        <f aca="false">INDEX(Nodes!$B$2:$B$97,MATCH(B148,Nodes!$A$2:$A$97,0))</f>
        <v>Instituto ITER</v>
      </c>
    </row>
    <row r="149" customFormat="false" ht="15" hidden="false" customHeight="false" outlineLevel="0" collapsed="false">
      <c r="A149" s="23" t="s">
        <v>455</v>
      </c>
      <c r="B149" s="23" t="s">
        <v>413</v>
      </c>
      <c r="C149" s="23" t="s">
        <v>1040</v>
      </c>
      <c r="D149" s="23" t="s">
        <v>906</v>
      </c>
      <c r="E149" s="23" t="str">
        <f aca="false">INDEX(Nodes!$B$2:$B$97,MATCH(A149,Nodes!$A$2:$A$97,0))</f>
        <v>Ricardo Nunes</v>
      </c>
      <c r="F149" s="23" t="str">
        <f aca="false">INDEX(Nodes!$B$2:$B$97,MATCH(B149,Nodes!$A$2:$A$97,0))</f>
        <v>Instituto ITER</v>
      </c>
    </row>
    <row r="150" customFormat="false" ht="15" hidden="false" customHeight="false" outlineLevel="0" collapsed="false">
      <c r="A150" s="23" t="s">
        <v>455</v>
      </c>
      <c r="B150" s="23" t="s">
        <v>299</v>
      </c>
      <c r="C150" s="23" t="s">
        <v>1041</v>
      </c>
      <c r="D150" s="23" t="s">
        <v>912</v>
      </c>
      <c r="E150" s="23" t="str">
        <f aca="false">INDEX(Nodes!$B$2:$B$97,MATCH(A150,Nodes!$A$2:$A$97,0))</f>
        <v>Ricardo Nunes</v>
      </c>
      <c r="F150" s="23" t="str">
        <f aca="false">INDEX(Nodes!$B$2:$B$97,MATCH(B150,Nodes!$A$2:$A$97,0))</f>
        <v>André Mendonça</v>
      </c>
    </row>
    <row r="151" customFormat="false" ht="15" hidden="false" customHeight="false" outlineLevel="0" collapsed="false">
      <c r="A151" s="23" t="s">
        <v>436</v>
      </c>
      <c r="B151" s="23" t="s">
        <v>413</v>
      </c>
      <c r="C151" s="23" t="s">
        <v>1042</v>
      </c>
      <c r="D151" s="23" t="s">
        <v>906</v>
      </c>
      <c r="E151" s="23" t="str">
        <f aca="false">INDEX(Nodes!$B$2:$B$97,MATCH(A151,Nodes!$A$2:$A$97,0))</f>
        <v>Cláudio Castro</v>
      </c>
      <c r="F151" s="23" t="str">
        <f aca="false">INDEX(Nodes!$B$2:$B$97,MATCH(B151,Nodes!$A$2:$A$97,0))</f>
        <v>Instituto ITER</v>
      </c>
    </row>
    <row r="152" customFormat="false" ht="15" hidden="false" customHeight="false" outlineLevel="0" collapsed="false">
      <c r="A152" s="23" t="s">
        <v>299</v>
      </c>
      <c r="B152" s="23" t="s">
        <v>436</v>
      </c>
      <c r="C152" s="23" t="s">
        <v>1043</v>
      </c>
      <c r="D152" s="23" t="s">
        <v>912</v>
      </c>
      <c r="E152" s="23" t="str">
        <f aca="false">INDEX(Nodes!$B$2:$B$97,MATCH(A152,Nodes!$A$2:$A$97,0))</f>
        <v>André Mendonça</v>
      </c>
      <c r="F152" s="23" t="str">
        <f aca="false">INDEX(Nodes!$B$2:$B$97,MATCH(B152,Nodes!$A$2:$A$97,0))</f>
        <v>Cláudio Castro</v>
      </c>
    </row>
    <row r="153" customFormat="false" ht="46.25" hidden="false" customHeight="false" outlineLevel="0" collapsed="false">
      <c r="A153" s="23" t="s">
        <v>185</v>
      </c>
      <c r="B153" s="23" t="s">
        <v>288</v>
      </c>
      <c r="C153" s="23" t="s">
        <v>1044</v>
      </c>
      <c r="D153" s="23" t="s">
        <v>912</v>
      </c>
      <c r="E153" s="23" t="str">
        <f aca="false">INDEX(Nodes!$B$2:$B$97,MATCH(A153,Nodes!$A$2:$A$97,0))</f>
        <v>Daniel Vorcaro</v>
      </c>
      <c r="F153" s="23" t="str">
        <f aca="false">INDEX(Nodes!$B$2:$B$97,MATCH(B153,Nodes!$A$2:$A$97,0))</f>
        <v>Ciro Nogueira</v>
      </c>
    </row>
    <row r="154" customFormat="false" ht="15" hidden="false" customHeight="false" outlineLevel="0" collapsed="false">
      <c r="A154" s="23" t="s">
        <v>288</v>
      </c>
      <c r="B154" s="23" t="s">
        <v>369</v>
      </c>
      <c r="C154" s="23" t="s">
        <v>1045</v>
      </c>
      <c r="D154" s="23" t="s">
        <v>906</v>
      </c>
      <c r="E154" s="23" t="str">
        <f aca="false">INDEX(Nodes!$B$2:$B$97,MATCH(A154,Nodes!$A$2:$A$97,0))</f>
        <v>Ciro Nogueira</v>
      </c>
      <c r="F154" s="23" t="str">
        <f aca="false">INDEX(Nodes!$B$2:$B$97,MATCH(B154,Nodes!$A$2:$A$97,0))</f>
        <v>Banco Master</v>
      </c>
    </row>
    <row r="155" customFormat="false" ht="15" hidden="false" customHeight="false" outlineLevel="0" collapsed="false">
      <c r="A155" s="23" t="s">
        <v>351</v>
      </c>
      <c r="B155" s="23" t="s">
        <v>288</v>
      </c>
      <c r="C155" s="23" t="s">
        <v>1046</v>
      </c>
      <c r="D155" s="23" t="s">
        <v>906</v>
      </c>
      <c r="E155" s="23" t="str">
        <f aca="false">INDEX(Nodes!$B$2:$B$97,MATCH(A155,Nodes!$A$2:$A$97,0))</f>
        <v>Polícia Federal</v>
      </c>
      <c r="F155" s="23" t="str">
        <f aca="false">INDEX(Nodes!$B$2:$B$97,MATCH(B155,Nodes!$A$2:$A$97,0))</f>
        <v>Ciro Nogueira</v>
      </c>
    </row>
    <row r="156" customFormat="false" ht="15" hidden="false" customHeight="false" outlineLevel="0" collapsed="false">
      <c r="A156" s="23" t="s">
        <v>151</v>
      </c>
      <c r="B156" s="23" t="s">
        <v>309</v>
      </c>
      <c r="C156" s="23" t="s">
        <v>1047</v>
      </c>
      <c r="D156" s="23" t="s">
        <v>906</v>
      </c>
      <c r="E156" s="23" t="str">
        <f aca="false">INDEX(Nodes!$B$2:$B$97,MATCH(A156,Nodes!$A$2:$A$97,0))</f>
        <v>Jair Bolsonaro</v>
      </c>
      <c r="F156" s="23" t="str">
        <f aca="false">INDEX(Nodes!$B$2:$B$97,MATCH(B156,Nodes!$A$2:$A$97,0))</f>
        <v>Fábio Faria</v>
      </c>
    </row>
    <row r="157" customFormat="false" ht="23.85" hidden="false" customHeight="false" outlineLevel="0" collapsed="false">
      <c r="A157" s="23" t="s">
        <v>309</v>
      </c>
      <c r="B157" s="23" t="s">
        <v>185</v>
      </c>
      <c r="C157" s="23" t="s">
        <v>1048</v>
      </c>
      <c r="D157" s="23" t="s">
        <v>912</v>
      </c>
      <c r="E157" s="23" t="str">
        <f aca="false">INDEX(Nodes!$B$2:$B$97,MATCH(A157,Nodes!$A$2:$A$97,0))</f>
        <v>Fábio Faria</v>
      </c>
      <c r="F157" s="23" t="str">
        <f aca="false">INDEX(Nodes!$B$2:$B$97,MATCH(B157,Nodes!$A$2:$A$97,0))</f>
        <v>Daniel Vorcaro</v>
      </c>
    </row>
    <row r="158" customFormat="false" ht="15" hidden="false" customHeight="false" outlineLevel="0" collapsed="false">
      <c r="A158" s="23" t="s">
        <v>309</v>
      </c>
      <c r="B158" s="23" t="s">
        <v>446</v>
      </c>
      <c r="C158" s="23" t="s">
        <v>1049</v>
      </c>
      <c r="D158" s="23" t="s">
        <v>912</v>
      </c>
      <c r="E158" s="23" t="str">
        <f aca="false">INDEX(Nodes!$B$2:$B$97,MATCH(A158,Nodes!$A$2:$A$97,0))</f>
        <v>Fábio Faria</v>
      </c>
      <c r="F158" s="23" t="str">
        <f aca="false">INDEX(Nodes!$B$2:$B$97,MATCH(B158,Nodes!$A$2:$A$97,0))</f>
        <v>Alexandre de Moraes</v>
      </c>
    </row>
    <row r="159" customFormat="false" ht="15" hidden="false" customHeight="false" outlineLevel="0" collapsed="false">
      <c r="A159" s="23" t="s">
        <v>478</v>
      </c>
      <c r="B159" s="23" t="s">
        <v>185</v>
      </c>
      <c r="C159" s="23" t="s">
        <v>1050</v>
      </c>
      <c r="D159" s="23" t="s">
        <v>912</v>
      </c>
      <c r="E159" s="23" t="str">
        <f aca="false">INDEX(Nodes!$B$2:$B$97,MATCH(A159,Nodes!$A$2:$A$97,0))</f>
        <v>Hugo Motta</v>
      </c>
      <c r="F159" s="23" t="str">
        <f aca="false">INDEX(Nodes!$B$2:$B$97,MATCH(B159,Nodes!$A$2:$A$97,0))</f>
        <v>Daniel Vorcaro</v>
      </c>
    </row>
    <row r="160" customFormat="false" ht="15" hidden="false" customHeight="false" outlineLevel="0" collapsed="false">
      <c r="A160" s="23" t="s">
        <v>151</v>
      </c>
      <c r="B160" s="23" t="s">
        <v>318</v>
      </c>
      <c r="C160" s="23" t="s">
        <v>1051</v>
      </c>
      <c r="D160" s="23" t="s">
        <v>906</v>
      </c>
      <c r="E160" s="23" t="str">
        <f aca="false">INDEX(Nodes!$B$2:$B$97,MATCH(A160,Nodes!$A$2:$A$97,0))</f>
        <v>Jair Bolsonaro</v>
      </c>
      <c r="F160" s="23" t="str">
        <f aca="false">INDEX(Nodes!$B$2:$B$97,MATCH(B160,Nodes!$A$2:$A$97,0))</f>
        <v>Mario Frias</v>
      </c>
    </row>
    <row r="161" customFormat="false" ht="15" hidden="false" customHeight="false" outlineLevel="0" collapsed="false">
      <c r="A161" s="23" t="s">
        <v>318</v>
      </c>
      <c r="B161" s="23" t="s">
        <v>623</v>
      </c>
      <c r="C161" s="23" t="s">
        <v>1052</v>
      </c>
      <c r="D161" s="23" t="s">
        <v>906</v>
      </c>
      <c r="E161" s="23" t="str">
        <f aca="false">INDEX(Nodes!$B$2:$B$97,MATCH(A161,Nodes!$A$2:$A$97,0))</f>
        <v>Mario Frias</v>
      </c>
      <c r="F161" s="23" t="str">
        <f aca="false">INDEX(Nodes!$B$2:$B$97,MATCH(B161,Nodes!$A$2:$A$97,0))</f>
        <v>ONG e produtora do filme</v>
      </c>
    </row>
    <row r="162" customFormat="false" ht="15" hidden="false" customHeight="false" outlineLevel="0" collapsed="false">
      <c r="A162" s="23" t="s">
        <v>318</v>
      </c>
      <c r="B162" s="23" t="s">
        <v>185</v>
      </c>
      <c r="C162" s="23" t="s">
        <v>1053</v>
      </c>
      <c r="D162" s="23" t="s">
        <v>912</v>
      </c>
      <c r="E162" s="23" t="str">
        <f aca="false">INDEX(Nodes!$B$2:$B$97,MATCH(A162,Nodes!$A$2:$A$97,0))</f>
        <v>Mario Frias</v>
      </c>
      <c r="F162" s="23" t="str">
        <f aca="false">INDEX(Nodes!$B$2:$B$97,MATCH(B162,Nodes!$A$2:$A$97,0))</f>
        <v>Daniel Vorcaro</v>
      </c>
    </row>
    <row r="163" customFormat="false" ht="15" hidden="false" customHeight="false" outlineLevel="0" collapsed="false">
      <c r="A163" s="23" t="s">
        <v>394</v>
      </c>
      <c r="B163" s="23" t="s">
        <v>488</v>
      </c>
      <c r="C163" s="23" t="s">
        <v>1054</v>
      </c>
      <c r="D163" s="23" t="s">
        <v>906</v>
      </c>
      <c r="E163" s="23" t="str">
        <f aca="false">INDEX(Nodes!$B$2:$B$97,MATCH(A163,Nodes!$A$2:$A$97,0))</f>
        <v>Prime U</v>
      </c>
      <c r="F163" s="23" t="str">
        <f aca="false">INDEX(Nodes!$B$2:$B$97,MATCH(B163,Nodes!$A$2:$A$97,0))</f>
        <v>Pablo Marçal</v>
      </c>
    </row>
    <row r="164" customFormat="false" ht="23.85" hidden="false" customHeight="false" outlineLevel="0" collapsed="false">
      <c r="A164" s="23" t="s">
        <v>185</v>
      </c>
      <c r="B164" s="23" t="s">
        <v>574</v>
      </c>
      <c r="C164" s="23" t="s">
        <v>1055</v>
      </c>
      <c r="D164" s="23" t="s">
        <v>912</v>
      </c>
      <c r="E164" s="23" t="str">
        <f aca="false">INDEX(Nodes!$B$2:$B$97,MATCH(A164,Nodes!$A$2:$A$97,0))</f>
        <v>Daniel Vorcaro</v>
      </c>
      <c r="F164" s="23" t="str">
        <f aca="false">INDEX(Nodes!$B$2:$B$97,MATCH(B164,Nodes!$A$2:$A$97,0))</f>
        <v>Governo Lula (Haddad, Gleisi, Mercadante)</v>
      </c>
    </row>
    <row r="165" customFormat="false" ht="15" hidden="false" customHeight="false" outlineLevel="0" collapsed="false">
      <c r="A165" s="23" t="s">
        <v>329</v>
      </c>
      <c r="B165" s="23" t="s">
        <v>123</v>
      </c>
      <c r="C165" s="23" t="s">
        <v>1056</v>
      </c>
      <c r="D165" s="23" t="s">
        <v>906</v>
      </c>
      <c r="E165" s="23" t="str">
        <f aca="false">INDEX(Nodes!$B$2:$B$97,MATCH(A165,Nodes!$A$2:$A$97,0))</f>
        <v>Alfredo Gaspar</v>
      </c>
      <c r="F165" s="23" t="str">
        <f aca="false">INDEX(Nodes!$B$2:$B$97,MATCH(B165,Nodes!$A$2:$A$97,0))</f>
        <v>Flávio Bolsonaro</v>
      </c>
    </row>
    <row r="166" customFormat="false" ht="23.85" hidden="false" customHeight="false" outlineLevel="0" collapsed="false">
      <c r="A166" s="23" t="s">
        <v>505</v>
      </c>
      <c r="B166" s="23" t="s">
        <v>123</v>
      </c>
      <c r="C166" s="23" t="s">
        <v>1057</v>
      </c>
      <c r="D166" s="23" t="s">
        <v>906</v>
      </c>
      <c r="E166" s="23" t="str">
        <f aca="false">INDEX(Nodes!$B$2:$B$97,MATCH(A166,Nodes!$A$2:$A$97,0))</f>
        <v>Bispo JB Carvalho</v>
      </c>
      <c r="F166" s="23" t="str">
        <f aca="false">INDEX(Nodes!$B$2:$B$97,MATCH(B166,Nodes!$A$2:$A$97,0))</f>
        <v>Flávio Bolsonaro</v>
      </c>
    </row>
    <row r="167" customFormat="false" ht="15" hidden="false" customHeight="false" outlineLevel="0" collapsed="false">
      <c r="A167" s="23" t="s">
        <v>680</v>
      </c>
      <c r="B167" s="23" t="s">
        <v>123</v>
      </c>
      <c r="C167" s="23" t="s">
        <v>1058</v>
      </c>
      <c r="D167" s="23" t="s">
        <v>912</v>
      </c>
      <c r="E167" s="23" t="str">
        <f aca="false">INDEX(Nodes!$B$2:$B$97,MATCH(A167,Nodes!$A$2:$A$97,0))</f>
        <v>Loja Kopenhagen de Flávio</v>
      </c>
      <c r="F167" s="23" t="str">
        <f aca="false">INDEX(Nodes!$B$2:$B$97,MATCH(B167,Nodes!$A$2:$A$97,0))</f>
        <v>Flávio Bolsonaro</v>
      </c>
    </row>
    <row r="168" customFormat="false" ht="23.85" hidden="false" customHeight="false" outlineLevel="0" collapsed="false">
      <c r="A168" s="23" t="s">
        <v>123</v>
      </c>
      <c r="B168" s="23" t="s">
        <v>240</v>
      </c>
      <c r="C168" s="23" t="s">
        <v>1059</v>
      </c>
      <c r="D168" s="23" t="s">
        <v>912</v>
      </c>
      <c r="E168" s="23" t="str">
        <f aca="false">INDEX(Nodes!$B$2:$B$97,MATCH(A168,Nodes!$A$2:$A$97,0))</f>
        <v>Flávio Bolsonaro</v>
      </c>
      <c r="F168" s="23" t="str">
        <f aca="false">INDEX(Nodes!$B$2:$B$97,MATCH(B168,Nodes!$A$2:$A$97,0))</f>
        <v>Kássio Nunes Marques</v>
      </c>
    </row>
    <row r="169" customFormat="false" ht="23.85" hidden="false" customHeight="false" outlineLevel="0" collapsed="false">
      <c r="A169" s="23" t="s">
        <v>580</v>
      </c>
      <c r="B169" s="23" t="s">
        <v>123</v>
      </c>
      <c r="C169" s="23" t="s">
        <v>1060</v>
      </c>
      <c r="D169" s="23" t="s">
        <v>906</v>
      </c>
      <c r="E169" s="23" t="str">
        <f aca="false">INDEX(Nodes!$B$2:$B$97,MATCH(A169,Nodes!$A$2:$A$97,0))</f>
        <v>Adriano da Nóbrega</v>
      </c>
      <c r="F169" s="23" t="str">
        <f aca="false">INDEX(Nodes!$B$2:$B$97,MATCH(B169,Nodes!$A$2:$A$97,0))</f>
        <v>Flávio Bolsonaro</v>
      </c>
    </row>
    <row r="170" customFormat="false" ht="23.85" hidden="false" customHeight="false" outlineLevel="0" collapsed="false">
      <c r="A170" s="23" t="s">
        <v>580</v>
      </c>
      <c r="B170" s="23" t="s">
        <v>379</v>
      </c>
      <c r="C170" s="23" t="s">
        <v>1061</v>
      </c>
      <c r="D170" s="23" t="s">
        <v>912</v>
      </c>
      <c r="E170" s="23" t="str">
        <f aca="false">INDEX(Nodes!$B$2:$B$97,MATCH(A170,Nodes!$A$2:$A$97,0))</f>
        <v>Adriano da Nóbrega</v>
      </c>
      <c r="F170" s="23" t="str">
        <f aca="false">INDEX(Nodes!$B$2:$B$97,MATCH(B170,Nodes!$A$2:$A$97,0))</f>
        <v>Caso rachadinha / COAF</v>
      </c>
    </row>
    <row r="171" customFormat="false" ht="15" hidden="false" customHeight="false" outlineLevel="0" collapsed="false">
      <c r="A171" s="23" t="s">
        <v>379</v>
      </c>
      <c r="B171" s="23" t="s">
        <v>580</v>
      </c>
      <c r="C171" s="23" t="s">
        <v>1062</v>
      </c>
      <c r="D171" s="23" t="s">
        <v>912</v>
      </c>
      <c r="E171" s="23" t="str">
        <f aca="false">INDEX(Nodes!$B$2:$B$97,MATCH(A171,Nodes!$A$2:$A$97,0))</f>
        <v>Caso rachadinha / COAF</v>
      </c>
      <c r="F171" s="23" t="str">
        <f aca="false">INDEX(Nodes!$B$2:$B$97,MATCH(B171,Nodes!$A$2:$A$97,0))</f>
        <v>Adriano da Nóbrega</v>
      </c>
    </row>
    <row r="172" customFormat="false" ht="15" hidden="false" customHeight="false" outlineLevel="0" collapsed="false">
      <c r="A172" s="23" t="s">
        <v>123</v>
      </c>
      <c r="B172" s="23" t="s">
        <v>588</v>
      </c>
      <c r="C172" s="23" t="s">
        <v>1063</v>
      </c>
      <c r="D172" s="23" t="s">
        <v>906</v>
      </c>
      <c r="E172" s="23" t="str">
        <f aca="false">INDEX(Nodes!$B$2:$B$97,MATCH(A172,Nodes!$A$2:$A$97,0))</f>
        <v>Flávio Bolsonaro</v>
      </c>
      <c r="F172" s="23" t="str">
        <f aca="false">INDEX(Nodes!$B$2:$B$97,MATCH(B172,Nodes!$A$2:$A$97,0))</f>
        <v>Ronald Paulo Alves Pereira</v>
      </c>
    </row>
    <row r="173" customFormat="false" ht="15" hidden="false" customHeight="false" outlineLevel="0" collapsed="false">
      <c r="A173" s="23"/>
      <c r="B173" s="23"/>
      <c r="C173" s="23"/>
      <c r="D173" s="23"/>
      <c r="E173" s="23"/>
      <c r="F173" s="23"/>
    </row>
    <row r="174" customFormat="false" ht="15" hidden="false" customHeight="false" outlineLevel="0" collapsed="false">
      <c r="A174" s="23"/>
      <c r="B174" s="23"/>
      <c r="C174" s="23"/>
      <c r="D174" s="23"/>
      <c r="E174" s="23"/>
      <c r="F174" s="23"/>
    </row>
    <row r="175" customFormat="false" ht="15" hidden="false" customHeight="false" outlineLevel="0" collapsed="false">
      <c r="A175" s="23" t="s">
        <v>123</v>
      </c>
      <c r="B175" s="23" t="s">
        <v>602</v>
      </c>
      <c r="C175" s="23" t="s">
        <v>1064</v>
      </c>
      <c r="D175" s="23" t="s">
        <v>906</v>
      </c>
      <c r="E175" s="23" t="str">
        <f aca="false">INDEX(Nodes!$B$2:$B$97,MATCH(A175,Nodes!$A$2:$A$97,0))</f>
        <v>Flávio Bolsonaro</v>
      </c>
      <c r="F175" s="23" t="str">
        <f aca="false">INDEX(Nodes!$B$2:$B$97,MATCH(B175,Nodes!$A$2:$A$97,0))</f>
        <v>16 PMs denunciados</v>
      </c>
    </row>
    <row r="176" customFormat="false" ht="15" hidden="false" customHeight="false" outlineLevel="0" collapsed="false">
      <c r="A176" s="23" t="s">
        <v>139</v>
      </c>
      <c r="B176" s="23" t="s">
        <v>602</v>
      </c>
      <c r="C176" s="23" t="s">
        <v>1064</v>
      </c>
      <c r="D176" s="23" t="s">
        <v>906</v>
      </c>
      <c r="E176" s="23" t="str">
        <f aca="false">INDEX(Nodes!$B$2:$B$97,MATCH(A176,Nodes!$A$2:$A$97,0))</f>
        <v>Carlos Bolsonaro</v>
      </c>
      <c r="F176" s="23" t="str">
        <f aca="false">INDEX(Nodes!$B$2:$B$97,MATCH(B176,Nodes!$A$2:$A$97,0))</f>
        <v>16 PMs denunciados</v>
      </c>
    </row>
    <row r="177" customFormat="false" ht="23.85" hidden="false" customHeight="false" outlineLevel="0" collapsed="false">
      <c r="A177" s="23" t="s">
        <v>123</v>
      </c>
      <c r="B177" s="23" t="s">
        <v>673</v>
      </c>
      <c r="C177" s="23" t="s">
        <v>1065</v>
      </c>
      <c r="D177" s="23" t="s">
        <v>912</v>
      </c>
      <c r="E177" s="23" t="str">
        <f aca="false">INDEX(Nodes!$B$2:$B$97,MATCH(A177,Nodes!$A$2:$A$97,0))</f>
        <v>Flávio Bolsonaro</v>
      </c>
      <c r="F177" s="23" t="str">
        <f aca="false">INDEX(Nodes!$B$2:$B$97,MATCH(B177,Nodes!$A$2:$A$97,0))</f>
        <v>ONG ligada aos irmãos Brazão</v>
      </c>
    </row>
    <row r="178" customFormat="false" ht="15" hidden="false" customHeight="false" outlineLevel="0" collapsed="false">
      <c r="A178" s="23" t="s">
        <v>595</v>
      </c>
      <c r="B178" s="23" t="s">
        <v>123</v>
      </c>
      <c r="C178" s="23" t="s">
        <v>1066</v>
      </c>
      <c r="D178" s="23" t="s">
        <v>912</v>
      </c>
      <c r="E178" s="23" t="str">
        <f aca="false">INDEX(Nodes!$B$2:$B$97,MATCH(A178,Nodes!$A$2:$A$97,0))</f>
        <v>Robson Calixto (“Peixe”)</v>
      </c>
      <c r="F178" s="23" t="str">
        <f aca="false">INDEX(Nodes!$B$2:$B$97,MATCH(B178,Nodes!$A$2:$A$97,0))</f>
        <v>Flávio Bolsonaro</v>
      </c>
    </row>
    <row r="179" customFormat="false" ht="15" hidden="false" customHeight="false" outlineLevel="0" collapsed="false">
      <c r="A179" s="23" t="s">
        <v>595</v>
      </c>
      <c r="B179" s="23" t="s">
        <v>673</v>
      </c>
      <c r="C179" s="23" t="s">
        <v>1067</v>
      </c>
      <c r="D179" s="23" t="s">
        <v>912</v>
      </c>
      <c r="E179" s="23" t="str">
        <f aca="false">INDEX(Nodes!$B$2:$B$97,MATCH(A179,Nodes!$A$2:$A$97,0))</f>
        <v>Robson Calixto (“Peixe”)</v>
      </c>
      <c r="F179" s="23" t="str">
        <f aca="false">INDEX(Nodes!$B$2:$B$97,MATCH(B179,Nodes!$A$2:$A$97,0))</f>
        <v>ONG ligada aos irmãos Brazão</v>
      </c>
    </row>
    <row r="180" customFormat="false" ht="23.85" hidden="false" customHeight="false" outlineLevel="0" collapsed="false">
      <c r="A180" s="23" t="s">
        <v>123</v>
      </c>
      <c r="B180" s="23" t="s">
        <v>609</v>
      </c>
      <c r="C180" s="23" t="s">
        <v>1068</v>
      </c>
      <c r="D180" s="23" t="s">
        <v>906</v>
      </c>
      <c r="E180" s="23" t="str">
        <f aca="false">INDEX(Nodes!$B$2:$B$97,MATCH(A180,Nodes!$A$2:$A$97,0))</f>
        <v>Flávio Bolsonaro</v>
      </c>
      <c r="F180" s="23" t="str">
        <f aca="false">INDEX(Nodes!$B$2:$B$97,MATCH(B180,Nodes!$A$2:$A$97,0))</f>
        <v>PM acusado de matar menina de 5 anos</v>
      </c>
    </row>
    <row r="181" customFormat="false" ht="15" hidden="false" customHeight="false" outlineLevel="0" collapsed="false">
      <c r="A181" s="23" t="s">
        <v>91</v>
      </c>
      <c r="B181" s="23" t="s">
        <v>361</v>
      </c>
      <c r="C181" s="23" t="s">
        <v>1069</v>
      </c>
      <c r="D181" s="23" t="s">
        <v>906</v>
      </c>
      <c r="E181" s="23" t="str">
        <f aca="false">INDEX(Nodes!$B$2:$B$97,MATCH(A181,Nodes!$A$2:$A$97,0))</f>
        <v>Willer Tomaz</v>
      </c>
      <c r="F181" s="23" t="str">
        <f aca="false">INDEX(Nodes!$B$2:$B$97,MATCH(B181,Nodes!$A$2:$A$97,0))</f>
        <v>Mansão em Angra dos Reis</v>
      </c>
    </row>
    <row r="182" customFormat="false" ht="15" hidden="false" customHeight="false" outlineLevel="0" collapsed="false">
      <c r="A182" s="23" t="s">
        <v>151</v>
      </c>
      <c r="B182" s="23" t="s">
        <v>361</v>
      </c>
      <c r="C182" s="23" t="s">
        <v>1070</v>
      </c>
      <c r="D182" s="23" t="s">
        <v>912</v>
      </c>
      <c r="E182" s="23" t="str">
        <f aca="false">INDEX(Nodes!$B$2:$B$97,MATCH(A182,Nodes!$A$2:$A$97,0))</f>
        <v>Jair Bolsonaro</v>
      </c>
      <c r="F182" s="23" t="str">
        <f aca="false">INDEX(Nodes!$B$2:$B$97,MATCH(B182,Nodes!$A$2:$A$97,0))</f>
        <v>Mansão em Angra dos Reis</v>
      </c>
    </row>
    <row r="183" customFormat="false" ht="15" hidden="false" customHeight="false" outlineLevel="0" collapsed="false">
      <c r="A183" s="23" t="s">
        <v>91</v>
      </c>
      <c r="B183" s="23" t="s">
        <v>636</v>
      </c>
      <c r="C183" s="23" t="s">
        <v>1071</v>
      </c>
      <c r="D183" s="23" t="s">
        <v>906</v>
      </c>
      <c r="E183" s="23" t="str">
        <f aca="false">INDEX(Nodes!$B$2:$B$97,MATCH(A183,Nodes!$A$2:$A$97,0))</f>
        <v>Willer Tomaz</v>
      </c>
      <c r="F183" s="23" t="str">
        <f aca="false">INDEX(Nodes!$B$2:$B$97,MATCH(B183,Nodes!$A$2:$A$97,0))</f>
        <v>Cathedral Holdings</v>
      </c>
    </row>
    <row r="184" customFormat="false" ht="15" hidden="false" customHeight="false" outlineLevel="0" collapsed="false">
      <c r="A184" s="23" t="s">
        <v>636</v>
      </c>
      <c r="B184" s="23" t="s">
        <v>630</v>
      </c>
      <c r="C184" s="23" t="s">
        <v>1072</v>
      </c>
      <c r="D184" s="23" t="s">
        <v>906</v>
      </c>
      <c r="E184" s="23" t="str">
        <f aca="false">INDEX(Nodes!$B$2:$B$97,MATCH(A184,Nodes!$A$2:$A$97,0))</f>
        <v>Cathedral Holdings</v>
      </c>
      <c r="F184" s="23" t="str">
        <f aca="false">INDEX(Nodes!$B$2:$B$97,MATCH(B184,Nodes!$A$2:$A$97,0))</f>
        <v>Best Bet (Rede Loto)</v>
      </c>
    </row>
    <row r="185" customFormat="false" ht="23.85" hidden="false" customHeight="false" outlineLevel="0" collapsed="false">
      <c r="A185" s="23" t="s">
        <v>636</v>
      </c>
      <c r="B185" s="23" t="s">
        <v>400</v>
      </c>
      <c r="C185" s="23" t="s">
        <v>1073</v>
      </c>
      <c r="D185" s="23" t="s">
        <v>912</v>
      </c>
      <c r="E185" s="23" t="str">
        <f aca="false">INDEX(Nodes!$B$2:$B$97,MATCH(A185,Nodes!$A$2:$A$97,0))</f>
        <v>Cathedral Holdings</v>
      </c>
      <c r="F185" s="23" t="str">
        <f aca="false">INDEX(Nodes!$B$2:$B$97,MATCH(B185,Nodes!$A$2:$A$97,0))</f>
        <v>Alcazar Holdings</v>
      </c>
    </row>
    <row r="186" customFormat="false" ht="23.85" hidden="false" customHeight="false" outlineLevel="0" collapsed="false">
      <c r="A186" s="23" t="s">
        <v>123</v>
      </c>
      <c r="B186" s="23" t="s">
        <v>630</v>
      </c>
      <c r="C186" s="23" t="s">
        <v>1074</v>
      </c>
      <c r="D186" s="23" t="s">
        <v>912</v>
      </c>
      <c r="E186" s="23" t="str">
        <f aca="false">INDEX(Nodes!$B$2:$B$97,MATCH(A186,Nodes!$A$2:$A$97,0))</f>
        <v>Flávio Bolsonaro</v>
      </c>
      <c r="F186" s="23" t="str">
        <f aca="false">INDEX(Nodes!$B$2:$B$97,MATCH(B186,Nodes!$A$2:$A$97,0))</f>
        <v>Best Bet (Rede Loto)</v>
      </c>
    </row>
    <row r="187" customFormat="false" ht="15" hidden="false" customHeight="false" outlineLevel="0" collapsed="false">
      <c r="A187" s="23" t="s">
        <v>539</v>
      </c>
      <c r="B187" s="23" t="s">
        <v>630</v>
      </c>
      <c r="C187" s="23" t="s">
        <v>1075</v>
      </c>
      <c r="D187" s="23" t="s">
        <v>906</v>
      </c>
      <c r="E187" s="23" t="str">
        <f aca="false">INDEX(Nodes!$B$2:$B$97,MATCH(A187,Nodes!$A$2:$A$97,0))</f>
        <v>Loterj</v>
      </c>
      <c r="F187" s="23" t="str">
        <f aca="false">INDEX(Nodes!$B$2:$B$97,MATCH(B187,Nodes!$A$2:$A$97,0))</f>
        <v>Best Bet (Rede Loto)</v>
      </c>
    </row>
    <row r="188" customFormat="false" ht="15" hidden="false" customHeight="false" outlineLevel="0" collapsed="false">
      <c r="A188" s="23" t="s">
        <v>473</v>
      </c>
      <c r="B188" s="23" t="s">
        <v>630</v>
      </c>
      <c r="C188" s="23" t="s">
        <v>1076</v>
      </c>
      <c r="D188" s="23" t="s">
        <v>906</v>
      </c>
      <c r="E188" s="23" t="str">
        <f aca="false">INDEX(Nodes!$B$2:$B$97,MATCH(A188,Nodes!$A$2:$A$97,0))</f>
        <v>Hazenclever Cançado</v>
      </c>
      <c r="F188" s="23" t="str">
        <f aca="false">INDEX(Nodes!$B$2:$B$97,MATCH(B188,Nodes!$A$2:$A$97,0))</f>
        <v>Best Bet (Rede Loto)</v>
      </c>
    </row>
    <row r="189" customFormat="false" ht="15" hidden="false" customHeight="false" outlineLevel="0" collapsed="false">
      <c r="A189" s="23" t="s">
        <v>123</v>
      </c>
      <c r="B189" s="23" t="s">
        <v>473</v>
      </c>
      <c r="C189" s="23" t="s">
        <v>1077</v>
      </c>
      <c r="D189" s="23" t="s">
        <v>912</v>
      </c>
      <c r="E189" s="23" t="str">
        <f aca="false">INDEX(Nodes!$B$2:$B$97,MATCH(A189,Nodes!$A$2:$A$97,0))</f>
        <v>Flávio Bolsonaro</v>
      </c>
      <c r="F189" s="23" t="str">
        <f aca="false">INDEX(Nodes!$B$2:$B$97,MATCH(B189,Nodes!$A$2:$A$97,0))</f>
        <v>Hazenclever Cançado</v>
      </c>
    </row>
    <row r="190" customFormat="false" ht="15" hidden="false" customHeight="false" outlineLevel="0" collapsed="false">
      <c r="A190" s="23" t="s">
        <v>436</v>
      </c>
      <c r="B190" s="23" t="s">
        <v>539</v>
      </c>
      <c r="C190" s="23" t="s">
        <v>1078</v>
      </c>
      <c r="D190" s="23" t="s">
        <v>906</v>
      </c>
      <c r="E190" s="23" t="str">
        <f aca="false">INDEX(Nodes!$B$2:$B$97,MATCH(A190,Nodes!$A$2:$A$97,0))</f>
        <v>Cláudio Castro</v>
      </c>
      <c r="F190" s="23" t="str">
        <f aca="false">INDEX(Nodes!$B$2:$B$97,MATCH(B190,Nodes!$A$2:$A$97,0))</f>
        <v>Loterj</v>
      </c>
    </row>
    <row r="191" customFormat="false" ht="35.05" hidden="false" customHeight="false" outlineLevel="0" collapsed="false">
      <c r="A191" s="23" t="s">
        <v>636</v>
      </c>
      <c r="B191" s="23" t="s">
        <v>123</v>
      </c>
      <c r="C191" s="23" t="s">
        <v>1079</v>
      </c>
      <c r="D191" s="23" t="s">
        <v>912</v>
      </c>
      <c r="E191" s="23" t="str">
        <f aca="false">INDEX(Nodes!$B$2:$B$97,MATCH(A191,Nodes!$A$2:$A$97,0))</f>
        <v>Cathedral Holdings</v>
      </c>
      <c r="F191" s="23" t="str">
        <f aca="false">INDEX(Nodes!$B$2:$B$97,MATCH(B191,Nodes!$A$2:$A$97,0))</f>
        <v>Flávio Bolsonaro</v>
      </c>
    </row>
    <row r="192" customFormat="false" ht="23.85" hidden="false" customHeight="false" outlineLevel="0" collapsed="false">
      <c r="A192" s="23" t="s">
        <v>91</v>
      </c>
      <c r="B192" s="23" t="s">
        <v>661</v>
      </c>
      <c r="C192" s="23" t="s">
        <v>1080</v>
      </c>
      <c r="D192" s="23" t="s">
        <v>906</v>
      </c>
      <c r="E192" s="23" t="str">
        <f aca="false">INDEX(Nodes!$B$2:$B$97,MATCH(A192,Nodes!$A$2:$A$97,0))</f>
        <v>Willer Tomaz</v>
      </c>
      <c r="F192" s="23" t="str">
        <f aca="false">INDEX(Nodes!$B$2:$B$97,MATCH(B192,Nodes!$A$2:$A$97,0))</f>
        <v>Rio Pag</v>
      </c>
    </row>
    <row r="193" customFormat="false" ht="23.85" hidden="false" customHeight="false" outlineLevel="0" collapsed="false">
      <c r="A193" s="23" t="s">
        <v>539</v>
      </c>
      <c r="B193" s="23" t="s">
        <v>661</v>
      </c>
      <c r="C193" s="23" t="s">
        <v>1081</v>
      </c>
      <c r="D193" s="23" t="s">
        <v>906</v>
      </c>
      <c r="E193" s="23" t="str">
        <f aca="false">INDEX(Nodes!$B$2:$B$97,MATCH(A193,Nodes!$A$2:$A$97,0))</f>
        <v>Loterj</v>
      </c>
      <c r="F193" s="23" t="str">
        <f aca="false">INDEX(Nodes!$B$2:$B$97,MATCH(B193,Nodes!$A$2:$A$97,0))</f>
        <v>Rio Pag</v>
      </c>
    </row>
    <row r="194" customFormat="false" ht="23.85" hidden="false" customHeight="false" outlineLevel="0" collapsed="false">
      <c r="A194" s="23" t="s">
        <v>91</v>
      </c>
      <c r="B194" s="23" t="s">
        <v>725</v>
      </c>
      <c r="C194" s="23" t="s">
        <v>1082</v>
      </c>
      <c r="D194" s="23" t="s">
        <v>906</v>
      </c>
      <c r="E194" s="23" t="str">
        <f aca="false">INDEX(Nodes!$B$2:$B$97,MATCH(A194,Nodes!$A$2:$A$97,0))</f>
        <v>Willer Tomaz</v>
      </c>
      <c r="F194" s="23" t="str">
        <f aca="false">INDEX(Nodes!$B$2:$B$97,MATCH(B194,Nodes!$A$2:$A$97,0))</f>
        <v>Hangares de Willer (Aeroporto de Brasília)</v>
      </c>
    </row>
    <row r="195" customFormat="false" ht="23.85" hidden="false" customHeight="false" outlineLevel="0" collapsed="false">
      <c r="A195" s="23" t="s">
        <v>351</v>
      </c>
      <c r="B195" s="23" t="s">
        <v>725</v>
      </c>
      <c r="C195" s="23" t="s">
        <v>1083</v>
      </c>
      <c r="D195" s="23" t="s">
        <v>912</v>
      </c>
      <c r="E195" s="23" t="str">
        <f aca="false">INDEX(Nodes!$B$2:$B$97,MATCH(A195,Nodes!$A$2:$A$97,0))</f>
        <v>Polícia Federal</v>
      </c>
      <c r="F195" s="23" t="str">
        <f aca="false">INDEX(Nodes!$B$2:$B$97,MATCH(B195,Nodes!$A$2:$A$97,0))</f>
        <v>Hangares de Willer (Aeroporto de Brasília)</v>
      </c>
    </row>
    <row r="196" customFormat="false" ht="15" hidden="false" customHeight="false" outlineLevel="0" collapsed="false">
      <c r="A196" s="23" t="s">
        <v>351</v>
      </c>
      <c r="B196" s="23" t="s">
        <v>339</v>
      </c>
      <c r="C196" s="23" t="s">
        <v>1084</v>
      </c>
      <c r="D196" s="23" t="s">
        <v>906</v>
      </c>
      <c r="E196" s="23" t="str">
        <f aca="false">INDEX(Nodes!$B$2:$B$97,MATCH(A196,Nodes!$A$2:$A$97,0))</f>
        <v>Polícia Federal</v>
      </c>
      <c r="F196" s="23" t="str">
        <f aca="false">INDEX(Nodes!$B$2:$B$97,MATCH(B196,Nodes!$A$2:$A$97,0))</f>
        <v>Weverton Rocha</v>
      </c>
    </row>
    <row r="197" customFormat="false" ht="23.85" hidden="false" customHeight="false" outlineLevel="0" collapsed="false">
      <c r="A197" s="23" t="s">
        <v>91</v>
      </c>
      <c r="B197" s="23" t="s">
        <v>339</v>
      </c>
      <c r="C197" s="23" t="s">
        <v>1085</v>
      </c>
      <c r="D197" s="23" t="s">
        <v>912</v>
      </c>
      <c r="E197" s="23" t="str">
        <f aca="false">INDEX(Nodes!$B$2:$B$97,MATCH(A197,Nodes!$A$2:$A$97,0))</f>
        <v>Willer Tomaz</v>
      </c>
      <c r="F197" s="23" t="str">
        <f aca="false">INDEX(Nodes!$B$2:$B$97,MATCH(B197,Nodes!$A$2:$A$97,0))</f>
        <v>Weverton Rocha</v>
      </c>
    </row>
    <row r="198" customFormat="false" ht="23.85" hidden="false" customHeight="false" outlineLevel="0" collapsed="false">
      <c r="A198" s="23" t="s">
        <v>339</v>
      </c>
      <c r="B198" s="23" t="s">
        <v>407</v>
      </c>
      <c r="C198" s="23" t="s">
        <v>1086</v>
      </c>
      <c r="D198" s="23" t="s">
        <v>912</v>
      </c>
      <c r="E198" s="23" t="str">
        <f aca="false">INDEX(Nodes!$B$2:$B$97,MATCH(A198,Nodes!$A$2:$A$97,0))</f>
        <v>Weverton Rocha</v>
      </c>
      <c r="F198" s="23" t="str">
        <f aca="false">INDEX(Nodes!$B$2:$B$97,MATCH(B198,Nodes!$A$2:$A$97,0))</f>
        <v>WT (e outras 13 empresas)</v>
      </c>
    </row>
    <row r="199" customFormat="false" ht="23.85" hidden="false" customHeight="false" outlineLevel="0" collapsed="false">
      <c r="A199" s="23" t="s">
        <v>750</v>
      </c>
      <c r="B199" s="23" t="s">
        <v>185</v>
      </c>
      <c r="C199" s="23" t="s">
        <v>1087</v>
      </c>
      <c r="D199" s="23" t="s">
        <v>906</v>
      </c>
      <c r="E199" s="23" t="str">
        <f aca="false">INDEX(Nodes!$B$2:$B$97,MATCH(A199,Nodes!$A$2:$A$97,0))</f>
        <v>Antonio Rueda</v>
      </c>
      <c r="F199" s="23" t="str">
        <f aca="false">INDEX(Nodes!$B$2:$B$97,MATCH(B199,Nodes!$A$2:$A$97,0))</f>
        <v>Daniel Vorcaro</v>
      </c>
    </row>
    <row r="200" customFormat="false" ht="35.05" hidden="false" customHeight="false" outlineLevel="0" collapsed="false">
      <c r="A200" s="23" t="s">
        <v>750</v>
      </c>
      <c r="B200" s="23" t="s">
        <v>185</v>
      </c>
      <c r="C200" s="23" t="s">
        <v>1088</v>
      </c>
      <c r="D200" s="23" t="s">
        <v>906</v>
      </c>
      <c r="E200" s="23" t="str">
        <f aca="false">INDEX(Nodes!$B$2:$B$97,MATCH(A200,Nodes!$A$2:$A$97,0))</f>
        <v>Antonio Rueda</v>
      </c>
      <c r="F200" s="23" t="str">
        <f aca="false">INDEX(Nodes!$B$2:$B$97,MATCH(B200,Nodes!$A$2:$A$97,0))</f>
        <v>Daniel Vorcaro</v>
      </c>
    </row>
    <row r="201" customFormat="false" ht="35.05" hidden="false" customHeight="false" outlineLevel="0" collapsed="false">
      <c r="A201" s="23" t="s">
        <v>750</v>
      </c>
      <c r="B201" s="23" t="s">
        <v>185</v>
      </c>
      <c r="C201" s="23" t="s">
        <v>1089</v>
      </c>
      <c r="D201" s="23" t="s">
        <v>912</v>
      </c>
      <c r="E201" s="23" t="str">
        <f aca="false">INDEX(Nodes!$B$2:$B$97,MATCH(A201,Nodes!$A$2:$A$97,0))</f>
        <v>Antonio Rueda</v>
      </c>
      <c r="F201" s="23" t="str">
        <f aca="false">INDEX(Nodes!$B$2:$B$97,MATCH(B201,Nodes!$A$2:$A$97,0))</f>
        <v>Daniel Vorcaro</v>
      </c>
    </row>
    <row r="202" customFormat="false" ht="23.85" hidden="false" customHeight="false" outlineLevel="0" collapsed="false">
      <c r="A202" s="23" t="s">
        <v>757</v>
      </c>
      <c r="B202" s="23" t="s">
        <v>185</v>
      </c>
      <c r="C202" s="23" t="s">
        <v>1090</v>
      </c>
      <c r="D202" s="23" t="s">
        <v>906</v>
      </c>
      <c r="E202" s="23" t="str">
        <f aca="false">INDEX(Nodes!$B$2:$B$97,MATCH(A202,Nodes!$A$2:$A$97,0))</f>
        <v>Fabio Wajngarten</v>
      </c>
      <c r="F202" s="23" t="str">
        <f aca="false">INDEX(Nodes!$B$2:$B$97,MATCH(B202,Nodes!$A$2:$A$97,0))</f>
        <v>Daniel Vorcaro</v>
      </c>
    </row>
    <row r="203" customFormat="false" ht="35.05" hidden="false" customHeight="false" outlineLevel="0" collapsed="false">
      <c r="A203" s="23" t="s">
        <v>757</v>
      </c>
      <c r="B203" s="23" t="s">
        <v>185</v>
      </c>
      <c r="C203" s="23" t="s">
        <v>1091</v>
      </c>
      <c r="D203" s="23" t="s">
        <v>906</v>
      </c>
      <c r="E203" s="23" t="str">
        <f aca="false">INDEX(Nodes!$B$2:$B$97,MATCH(A203,Nodes!$A$2:$A$97,0))</f>
        <v>Fabio Wajngarten</v>
      </c>
      <c r="F203" s="23" t="str">
        <f aca="false">INDEX(Nodes!$B$2:$B$97,MATCH(B203,Nodes!$A$2:$A$97,0))</f>
        <v>Daniel Vorcaro</v>
      </c>
    </row>
    <row r="204" customFormat="false" ht="23.85" hidden="false" customHeight="false" outlineLevel="0" collapsed="false">
      <c r="A204" s="23" t="s">
        <v>763</v>
      </c>
      <c r="B204" s="23" t="s">
        <v>185</v>
      </c>
      <c r="C204" s="23" t="s">
        <v>1092</v>
      </c>
      <c r="D204" s="23" t="s">
        <v>906</v>
      </c>
      <c r="E204" s="23" t="str">
        <f aca="false">INDEX(Nodes!$B$2:$B$97,MATCH(A204,Nodes!$A$2:$A$97,0))</f>
        <v>Guido Mantega</v>
      </c>
      <c r="F204" s="23" t="str">
        <f aca="false">INDEX(Nodes!$B$2:$B$97,MATCH(B204,Nodes!$A$2:$A$97,0))</f>
        <v>Daniel Vorcaro</v>
      </c>
    </row>
    <row r="205" customFormat="false" ht="23.85" hidden="false" customHeight="false" outlineLevel="0" collapsed="false">
      <c r="A205" s="23" t="s">
        <v>763</v>
      </c>
      <c r="B205" s="23" t="s">
        <v>185</v>
      </c>
      <c r="C205" s="23" t="s">
        <v>1093</v>
      </c>
      <c r="D205" s="23" t="s">
        <v>906</v>
      </c>
      <c r="E205" s="23" t="str">
        <f aca="false">INDEX(Nodes!$B$2:$B$97,MATCH(A205,Nodes!$A$2:$A$97,0))</f>
        <v>Guido Mantega</v>
      </c>
      <c r="F205" s="23" t="str">
        <f aca="false">INDEX(Nodes!$B$2:$B$97,MATCH(B205,Nodes!$A$2:$A$97,0))</f>
        <v>Daniel Vorcaro</v>
      </c>
    </row>
    <row r="206" customFormat="false" ht="35.05" hidden="false" customHeight="false" outlineLevel="0" collapsed="false">
      <c r="A206" s="23" t="s">
        <v>763</v>
      </c>
      <c r="B206" s="23" t="s">
        <v>185</v>
      </c>
      <c r="C206" s="23" t="s">
        <v>1094</v>
      </c>
      <c r="D206" s="23" t="s">
        <v>912</v>
      </c>
      <c r="E206" s="23" t="str">
        <f aca="false">INDEX(Nodes!$B$2:$B$97,MATCH(A206,Nodes!$A$2:$A$97,0))</f>
        <v>Guido Mantega</v>
      </c>
      <c r="F206" s="23" t="str">
        <f aca="false">INDEX(Nodes!$B$2:$B$97,MATCH(B206,Nodes!$A$2:$A$97,0))</f>
        <v>Daniel Vorcaro</v>
      </c>
    </row>
    <row r="207" customFormat="false" ht="23.85" hidden="false" customHeight="false" outlineLevel="0" collapsed="false">
      <c r="A207" s="23" t="s">
        <v>768</v>
      </c>
      <c r="B207" s="23" t="s">
        <v>185</v>
      </c>
      <c r="C207" s="23" t="s">
        <v>1095</v>
      </c>
      <c r="D207" s="23" t="s">
        <v>906</v>
      </c>
      <c r="E207" s="23" t="str">
        <f aca="false">INDEX(Nodes!$B$2:$B$97,MATCH(A207,Nodes!$A$2:$A$97,0))</f>
        <v>João Doria</v>
      </c>
      <c r="F207" s="23" t="str">
        <f aca="false">INDEX(Nodes!$B$2:$B$97,MATCH(B207,Nodes!$A$2:$A$97,0))</f>
        <v>Daniel Vorcaro</v>
      </c>
    </row>
    <row r="208" customFormat="false" ht="23.85" hidden="false" customHeight="false" outlineLevel="0" collapsed="false">
      <c r="A208" s="23" t="s">
        <v>768</v>
      </c>
      <c r="B208" s="23" t="s">
        <v>185</v>
      </c>
      <c r="C208" s="23" t="s">
        <v>1096</v>
      </c>
      <c r="D208" s="23" t="s">
        <v>906</v>
      </c>
      <c r="E208" s="23" t="str">
        <f aca="false">INDEX(Nodes!$B$2:$B$97,MATCH(A208,Nodes!$A$2:$A$97,0))</f>
        <v>João Doria</v>
      </c>
      <c r="F208" s="23" t="str">
        <f aca="false">INDEX(Nodes!$B$2:$B$97,MATCH(B208,Nodes!$A$2:$A$97,0))</f>
        <v>Daniel Vorcaro</v>
      </c>
    </row>
    <row r="209" customFormat="false" ht="23.85" hidden="false" customHeight="false" outlineLevel="0" collapsed="false">
      <c r="A209" s="23" t="s">
        <v>773</v>
      </c>
      <c r="B209" s="23" t="s">
        <v>185</v>
      </c>
      <c r="C209" s="23" t="s">
        <v>1097</v>
      </c>
      <c r="D209" s="23" t="s">
        <v>906</v>
      </c>
      <c r="E209" s="23" t="str">
        <f aca="false">INDEX(Nodes!$B$2:$B$97,MATCH(A209,Nodes!$A$2:$A$97,0))</f>
        <v>João Carlos Bacelar</v>
      </c>
      <c r="F209" s="23" t="str">
        <f aca="false">INDEX(Nodes!$B$2:$B$97,MATCH(B209,Nodes!$A$2:$A$97,0))</f>
        <v>Daniel Vorcaro</v>
      </c>
    </row>
    <row r="210" customFormat="false" ht="35.05" hidden="false" customHeight="false" outlineLevel="0" collapsed="false">
      <c r="A210" s="23" t="s">
        <v>773</v>
      </c>
      <c r="B210" s="23" t="s">
        <v>185</v>
      </c>
      <c r="C210" s="23" t="s">
        <v>1098</v>
      </c>
      <c r="D210" s="23" t="s">
        <v>912</v>
      </c>
      <c r="E210" s="23" t="str">
        <f aca="false">INDEX(Nodes!$B$2:$B$97,MATCH(A210,Nodes!$A$2:$A$97,0))</f>
        <v>João Carlos Bacelar</v>
      </c>
      <c r="F210" s="23" t="str">
        <f aca="false">INDEX(Nodes!$B$2:$B$97,MATCH(B210,Nodes!$A$2:$A$97,0))</f>
        <v>Daniel Vorcaro</v>
      </c>
    </row>
    <row r="211" customFormat="false" ht="23.85" hidden="false" customHeight="false" outlineLevel="0" collapsed="false">
      <c r="A211" s="23" t="s">
        <v>780</v>
      </c>
      <c r="B211" s="23" t="s">
        <v>185</v>
      </c>
      <c r="C211" s="23" t="s">
        <v>1099</v>
      </c>
      <c r="D211" s="23" t="s">
        <v>906</v>
      </c>
      <c r="E211" s="23" t="str">
        <f aca="false">INDEX(Nodes!$B$2:$B$97,MATCH(A211,Nodes!$A$2:$A$97,0))</f>
        <v>Chiquinho Feitosa</v>
      </c>
      <c r="F211" s="23" t="str">
        <f aca="false">INDEX(Nodes!$B$2:$B$97,MATCH(B211,Nodes!$A$2:$A$97,0))</f>
        <v>Daniel Vorcaro</v>
      </c>
    </row>
    <row r="212" customFormat="false" ht="35.05" hidden="false" customHeight="false" outlineLevel="0" collapsed="false">
      <c r="A212" s="23" t="s">
        <v>780</v>
      </c>
      <c r="B212" s="23" t="s">
        <v>185</v>
      </c>
      <c r="C212" s="23" t="s">
        <v>1100</v>
      </c>
      <c r="D212" s="23" t="s">
        <v>912</v>
      </c>
      <c r="E212" s="23" t="str">
        <f aca="false">INDEX(Nodes!$B$2:$B$97,MATCH(A212,Nodes!$A$2:$A$97,0))</f>
        <v>Chiquinho Feitosa</v>
      </c>
      <c r="F212" s="23" t="str">
        <f aca="false">INDEX(Nodes!$B$2:$B$97,MATCH(B212,Nodes!$A$2:$A$97,0))</f>
        <v>Daniel Vorcaro</v>
      </c>
    </row>
    <row r="213" customFormat="false" ht="23.85" hidden="false" customHeight="false" outlineLevel="0" collapsed="false">
      <c r="A213" s="23" t="s">
        <v>309</v>
      </c>
      <c r="B213" s="23" t="s">
        <v>185</v>
      </c>
      <c r="C213" s="23" t="s">
        <v>1101</v>
      </c>
      <c r="D213" s="23" t="s">
        <v>906</v>
      </c>
      <c r="E213" s="23" t="str">
        <f aca="false">INDEX(Nodes!$B$2:$B$97,MATCH(A213,Nodes!$A$2:$A$97,0))</f>
        <v>Fábio Faria</v>
      </c>
      <c r="F213" s="23" t="str">
        <f aca="false">INDEX(Nodes!$B$2:$B$97,MATCH(B213,Nodes!$A$2:$A$97,0))</f>
        <v>Daniel Vorcaro</v>
      </c>
    </row>
    <row r="214" customFormat="false" ht="23.85" hidden="false" customHeight="false" outlineLevel="0" collapsed="false">
      <c r="A214" s="23" t="s">
        <v>497</v>
      </c>
      <c r="B214" s="23" t="s">
        <v>185</v>
      </c>
      <c r="C214" s="23" t="s">
        <v>1102</v>
      </c>
      <c r="D214" s="23" t="s">
        <v>906</v>
      </c>
      <c r="E214" s="23" t="str">
        <f aca="false">INDEX(Nodes!$B$2:$B$97,MATCH(A214,Nodes!$A$2:$A$97,0))</f>
        <v>Bruno Bianco Leal</v>
      </c>
      <c r="F214" s="23" t="str">
        <f aca="false">INDEX(Nodes!$B$2:$B$97,MATCH(B214,Nodes!$A$2:$A$97,0))</f>
        <v>Daniel Vorcaro</v>
      </c>
    </row>
    <row r="215" customFormat="false" ht="23.85" hidden="false" customHeight="false" outlineLevel="0" collapsed="false">
      <c r="A215" s="23" t="s">
        <v>288</v>
      </c>
      <c r="B215" s="23" t="s">
        <v>185</v>
      </c>
      <c r="C215" s="23" t="s">
        <v>1103</v>
      </c>
      <c r="D215" s="23" t="s">
        <v>906</v>
      </c>
      <c r="E215" s="23" t="str">
        <f aca="false">INDEX(Nodes!$B$2:$B$97,MATCH(A215,Nodes!$A$2:$A$97,0))</f>
        <v>Ciro Nogueira</v>
      </c>
      <c r="F215" s="23" t="str">
        <f aca="false">INDEX(Nodes!$B$2:$B$97,MATCH(B215,Nodes!$A$2:$A$97,0))</f>
        <v>Daniel Vorcaro</v>
      </c>
    </row>
    <row r="216" customFormat="false" ht="23.85" hidden="false" customHeight="false" outlineLevel="0" collapsed="false">
      <c r="A216" s="23" t="s">
        <v>478</v>
      </c>
      <c r="B216" s="23" t="s">
        <v>185</v>
      </c>
      <c r="C216" s="23" t="s">
        <v>1104</v>
      </c>
      <c r="D216" s="23" t="s">
        <v>906</v>
      </c>
      <c r="E216" s="23" t="str">
        <f aca="false">INDEX(Nodes!$B$2:$B$97,MATCH(A216,Nodes!$A$2:$A$97,0))</f>
        <v>Hugo Motta</v>
      </c>
      <c r="F216" s="23" t="str">
        <f aca="false">INDEX(Nodes!$B$2:$B$97,MATCH(B216,Nodes!$A$2:$A$97,0))</f>
        <v>Daniel Vorcaro</v>
      </c>
    </row>
    <row r="217" customFormat="false" ht="23.85" hidden="false" customHeight="false" outlineLevel="0" collapsed="false">
      <c r="A217" s="23" t="s">
        <v>436</v>
      </c>
      <c r="B217" s="23" t="s">
        <v>185</v>
      </c>
      <c r="C217" s="23" t="s">
        <v>1105</v>
      </c>
      <c r="D217" s="23" t="s">
        <v>906</v>
      </c>
      <c r="E217" s="23" t="str">
        <f aca="false">INDEX(Nodes!$B$2:$B$97,MATCH(A217,Nodes!$A$2:$A$97,0))</f>
        <v>Cláudio Castro</v>
      </c>
      <c r="F217" s="23" t="str">
        <f aca="false">INDEX(Nodes!$B$2:$B$97,MATCH(B217,Nodes!$A$2:$A$97,0))</f>
        <v>Daniel Vorcaro</v>
      </c>
    </row>
    <row r="218" customFormat="false" ht="23.85" hidden="false" customHeight="false" outlineLevel="0" collapsed="false">
      <c r="A218" s="23" t="s">
        <v>488</v>
      </c>
      <c r="B218" s="23" t="s">
        <v>185</v>
      </c>
      <c r="C218" s="23" t="s">
        <v>1106</v>
      </c>
      <c r="D218" s="23" t="s">
        <v>906</v>
      </c>
      <c r="E218" s="23" t="str">
        <f aca="false">INDEX(Nodes!$B$2:$B$97,MATCH(A218,Nodes!$A$2:$A$97,0))</f>
        <v>Pablo Marçal</v>
      </c>
      <c r="F218" s="23" t="str">
        <f aca="false">INDEX(Nodes!$B$2:$B$97,MATCH(B218,Nodes!$A$2:$A$97,0))</f>
        <v>Daniel Vorcaro</v>
      </c>
    </row>
    <row r="219" customFormat="false" ht="23.85" hidden="false" customHeight="false" outlineLevel="0" collapsed="false">
      <c r="A219" s="23" t="s">
        <v>123</v>
      </c>
      <c r="B219" s="23" t="s">
        <v>185</v>
      </c>
      <c r="C219" s="23" t="s">
        <v>1107</v>
      </c>
      <c r="D219" s="23" t="s">
        <v>906</v>
      </c>
      <c r="E219" s="23" t="str">
        <f aca="false">INDEX(Nodes!$B$2:$B$97,MATCH(A219,Nodes!$A$2:$A$97,0))</f>
        <v>Flávio Bolsonaro</v>
      </c>
      <c r="F219" s="23" t="str">
        <f aca="false">INDEX(Nodes!$B$2:$B$97,MATCH(B219,Nodes!$A$2:$A$97,0))</f>
        <v>Daniel Vorcaro</v>
      </c>
    </row>
    <row r="220" customFormat="false" ht="23.85" hidden="false" customHeight="false" outlineLevel="0" collapsed="false">
      <c r="A220" s="23" t="s">
        <v>318</v>
      </c>
      <c r="B220" s="23" t="s">
        <v>185</v>
      </c>
      <c r="C220" s="23" t="s">
        <v>1108</v>
      </c>
      <c r="D220" s="23" t="s">
        <v>906</v>
      </c>
      <c r="E220" s="23" t="str">
        <f aca="false">INDEX(Nodes!$B$2:$B$97,MATCH(A220,Nodes!$A$2:$A$97,0))</f>
        <v>Mario Frias</v>
      </c>
      <c r="F220" s="23" t="str">
        <f aca="false">INDEX(Nodes!$B$2:$B$97,MATCH(B220,Nodes!$A$2:$A$97,0))</f>
        <v>Daniel Vorcaro</v>
      </c>
    </row>
    <row r="221" customFormat="false" ht="23.85" hidden="false" customHeight="false" outlineLevel="0" collapsed="false">
      <c r="A221" s="23" t="s">
        <v>463</v>
      </c>
      <c r="B221" s="23" t="s">
        <v>185</v>
      </c>
      <c r="C221" s="23" t="s">
        <v>1109</v>
      </c>
      <c r="D221" s="23" t="s">
        <v>906</v>
      </c>
      <c r="E221" s="23" t="str">
        <f aca="false">INDEX(Nodes!$B$2:$B$97,MATCH(A221,Nodes!$A$2:$A$97,0))</f>
        <v>Cezinha de Madureira</v>
      </c>
      <c r="F221" s="23" t="str">
        <f aca="false">INDEX(Nodes!$B$2:$B$97,MATCH(B221,Nodes!$A$2:$A$97,0))</f>
        <v>Daniel Vorcaro</v>
      </c>
    </row>
  </sheetData>
  <autoFilter ref="A1:F1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15" hidden="false" customHeight="true" outlineLevel="0" collapsed="false">
      <c r="A1" s="24" t="s">
        <v>1110</v>
      </c>
    </row>
    <row r="2" customFormat="false" ht="15" hidden="false" customHeight="true" outlineLevel="0" collapsed="false">
      <c r="A2" s="23" t="s">
        <v>1111</v>
      </c>
    </row>
    <row r="3" customFormat="false" ht="23.25" hidden="false" customHeight="true" outlineLevel="0" collapsed="false">
      <c r="A3" s="23" t="s">
        <v>1112</v>
      </c>
    </row>
    <row r="4" customFormat="false" ht="15" hidden="false" customHeight="true" outlineLevel="0" collapsed="false">
      <c r="A4" s="23" t="s">
        <v>1113</v>
      </c>
    </row>
    <row r="5" customFormat="false" ht="15" hidden="false" customHeight="true" outlineLevel="0" collapsed="false">
      <c r="A5" s="23" t="s">
        <v>1114</v>
      </c>
    </row>
    <row r="6" customFormat="false" ht="15" hidden="false" customHeight="true" outlineLevel="0" collapsed="false">
      <c r="A6" s="23" t="s">
        <v>1115</v>
      </c>
    </row>
    <row r="7" customFormat="false" ht="15" hidden="false" customHeight="true" outlineLevel="0" collapsed="false">
      <c r="A7" s="23" t="s">
        <v>1116</v>
      </c>
    </row>
    <row r="8" customFormat="false" ht="23.25" hidden="false" customHeight="true" outlineLevel="0" collapsed="false">
      <c r="A8" s="23" t="s">
        <v>1117</v>
      </c>
    </row>
    <row r="9" customFormat="false" ht="15" hidden="false" customHeight="true" outlineLevel="0" collapsed="false">
      <c r="A9" s="23" t="s">
        <v>1118</v>
      </c>
    </row>
    <row r="10" customFormat="false" ht="15" hidden="false" customHeight="true" outlineLevel="0" collapsed="false">
      <c r="A10" s="23" t="s">
        <v>1119</v>
      </c>
    </row>
    <row r="11" customFormat="false" ht="15" hidden="false" customHeight="false" outlineLevel="0" collapsed="false">
      <c r="A11" s="1" t="s">
        <v>1120</v>
      </c>
    </row>
    <row r="12" customFormat="false" ht="15" hidden="false" customHeight="false" outlineLevel="0" collapsed="false">
      <c r="A12" s="1" t="s">
        <v>1121</v>
      </c>
    </row>
    <row r="13" customFormat="false" ht="15" hidden="false" customHeight="false" outlineLevel="0" collapsed="false">
      <c r="A13" s="1" t="s">
        <v>1122</v>
      </c>
    </row>
    <row r="14" customFormat="false" ht="15" hidden="false" customHeight="false" outlineLevel="0" collapsed="false">
      <c r="A14" s="1" t="s">
        <v>1123</v>
      </c>
    </row>
    <row r="15" customFormat="false" ht="15" hidden="false" customHeight="false" outlineLevel="0" collapsed="false">
      <c r="A15" s="1" t="s">
        <v>1124</v>
      </c>
    </row>
    <row r="16" customFormat="false" ht="15" hidden="false" customHeight="false" outlineLevel="0" collapsed="false">
      <c r="A16" s="1" t="s">
        <v>1125</v>
      </c>
    </row>
    <row r="17" customFormat="false" ht="15" hidden="false" customHeight="false" outlineLevel="0" collapsed="false">
      <c r="A17" s="1" t="s">
        <v>1126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2026-10-20T16:05:06Z</dcterms:created>
  <dc:creator>openpyxl</dc:creator>
  <dc:description/>
  <dc:language>en-US</dc:language>
  <cp:lastModifiedBy/>
  <dcterms:modified xsi:type="dcterms:W3CDTF">2026-10-26T12:08:25Z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