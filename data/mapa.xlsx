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mo" sheetId="1" state="visible" r:id="rId1"/>
    <sheet xmlns:r="http://schemas.openxmlformats.org/officeDocument/2006/relationships" name="Perfis" sheetId="2" state="visible" r:id="rId2"/>
    <sheet xmlns:r="http://schemas.openxmlformats.org/officeDocument/2006/relationships" name="Nodes" sheetId="3" state="visible" r:id="rId3"/>
    <sheet xmlns:r="http://schemas.openxmlformats.org/officeDocument/2006/relationships" name="Edges" sheetId="4" state="visible" r:id="rId4"/>
    <sheet xmlns:r="http://schemas.openxmlformats.org/officeDocument/2006/relationships" name="Notes" sheetId="5" state="visible" r:id="rId5"/>
  </sheets>
  <definedNames>
    <definedName name="_xlnm._FilterDatabase" localSheetId="1" hidden="1">'Perfis'!$A$1:$P$35</definedName>
    <definedName name="_xlnm._FilterDatabase" localSheetId="2" hidden="1">'Nodes'!$A$1:$F$58</definedName>
    <definedName name="_xlnm._FilterDatabase" localSheetId="3" hidden="1">'Edges'!$A$1:$F$120</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55555"/>
      <sz val="11"/>
    </font>
    <font>
      <name val="Cambria"/>
      <charset val="1"/>
      <family val="0"/>
      <b val="1"/>
      <color rgb="FFFFFFFF"/>
      <sz val="11"/>
    </font>
    <font>
      <name val="Cambria"/>
      <charset val="1"/>
      <family val="0"/>
      <b val="1"/>
      <sz val="11"/>
    </font>
    <font>
      <name val="Calibri"/>
      <family val="2"/>
      <b val="1"/>
      <color rgb="FF000000"/>
      <sz val="18"/>
    </font>
    <font>
      <name val="Calibri"/>
      <family val="2"/>
      <color rgb="FF000000"/>
      <sz val="10"/>
    </font>
    <font>
      <name val="Arial"/>
      <charset val="1"/>
      <family val="0"/>
      <b val="1"/>
      <sz val="10"/>
    </font>
    <font>
      <name val="Arial"/>
      <charset val="1"/>
      <family val="0"/>
      <sz val="10"/>
    </font>
  </fonts>
  <fills count="9">
    <fill>
      <patternFill/>
    </fill>
    <fill>
      <patternFill patternType="gray125"/>
    </fill>
    <fill>
      <patternFill patternType="solid">
        <fgColor rgb="FF2F3B52"/>
        <bgColor rgb="FF003366"/>
      </patternFill>
    </fill>
    <fill>
      <patternFill patternType="solid">
        <fgColor rgb="FFF4B6B6"/>
        <bgColor rgb="FFF8D3A8"/>
      </patternFill>
    </fill>
    <fill>
      <patternFill patternType="solid">
        <fgColor rgb="FFF8D3A8"/>
        <bgColor rgb="FFFBEBA5"/>
      </patternFill>
    </fill>
    <fill>
      <patternFill patternType="solid">
        <fgColor rgb="FFFBEBA5"/>
        <bgColor rgb="FFF8D3A8"/>
      </patternFill>
    </fill>
    <fill>
      <patternFill patternType="solid">
        <fgColor rgb="FFD9E6F5"/>
        <bgColor rgb="FFE5E5E5"/>
      </patternFill>
    </fill>
    <fill>
      <patternFill patternType="solid">
        <fgColor rgb="FFE5E5E5"/>
        <bgColor rgb="FFE7E6E6"/>
      </patternFill>
    </fill>
    <fill>
      <patternFill patternType="solid">
        <fgColor rgb="FFE7E6E6"/>
        <bgColor rgb="FFE5E5E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top" wrapText="1"/>
    </xf>
    <xf numFmtId="0" fontId="6" fillId="2" borderId="0" applyAlignment="1" pivotButton="0" quotePrefix="0" xfId="0">
      <alignment horizontal="general" vertical="center" wrapText="1"/>
    </xf>
    <xf numFmtId="0" fontId="0"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6" borderId="1" applyAlignment="1" pivotButton="0" quotePrefix="0" xfId="0">
      <alignment horizontal="general" vertical="top" wrapText="1"/>
    </xf>
    <xf numFmtId="0" fontId="7" fillId="5" borderId="1" applyAlignment="1" pivotButton="0" quotePrefix="0" xfId="0">
      <alignment horizontal="general" vertical="top" wrapText="1"/>
    </xf>
    <xf numFmtId="0" fontId="7" fillId="7"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10" fillId="8" borderId="0" applyAlignment="1" pivotButton="0" quotePrefix="0" xfId="0">
      <alignment horizontal="general" vertical="center"/>
    </xf>
    <xf numFmtId="0" fontId="11"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7" fillId="0" borderId="0" applyAlignment="1" pivotButton="0" quotePrefix="0" xfId="0">
      <alignment horizontal="general" vertical="bottom"/>
    </xf>
    <xf numFmtId="0" fontId="6" fillId="2" borderId="0" applyAlignment="1" pivotButton="0" quotePrefix="0" xfId="0">
      <alignment horizontal="general" vertical="center" wrapText="1"/>
    </xf>
    <xf numFmtId="0" fontId="0"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6" borderId="1" applyAlignment="1" pivotButton="0" quotePrefix="0" xfId="0">
      <alignment horizontal="general" vertical="top" wrapText="1"/>
    </xf>
    <xf numFmtId="0" fontId="7" fillId="5" borderId="1" applyAlignment="1" pivotButton="0" quotePrefix="0" xfId="0">
      <alignment horizontal="general" vertical="top" wrapText="1"/>
    </xf>
    <xf numFmtId="0" fontId="7" fillId="7" borderId="1" applyAlignment="1" pivotButton="0" quotePrefix="0" xfId="0">
      <alignment horizontal="general" vertical="top" wrapText="1"/>
    </xf>
    <xf numFmtId="0" fontId="7" fillId="3" borderId="1" applyAlignment="1" pivotButton="0" quotePrefix="0" xfId="0">
      <alignment horizontal="general" vertical="top" wrapText="1"/>
    </xf>
    <xf numFmtId="0" fontId="10" fillId="8" borderId="0" applyAlignment="1" pivotButton="0" quotePrefix="0" xfId="0">
      <alignment horizontal="general" vertical="center"/>
    </xf>
    <xf numFmtId="0" fontId="11" fillId="0" borderId="0" applyAlignment="1" pivotButton="0" quotePrefix="0" xfId="0">
      <alignment horizontal="general" vertical="top" wrapText="1"/>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2F3B5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6F5"/>
          <bgColor rgb="FF000000"/>
        </patternFill>
      </fill>
    </dxf>
    <dxf>
      <fill>
        <patternFill patternType="solid">
          <fgColor rgb="FFE5E5E5"/>
          <bgColor rgb="FF000000"/>
        </patternFill>
      </fill>
    </dxf>
    <dxf>
      <fill>
        <patternFill patternType="solid">
          <fgColor rgb="FFF4B6B6"/>
          <bgColor rgb="FF000000"/>
        </patternFill>
      </fill>
    </dxf>
    <dxf>
      <fill>
        <patternFill patternType="solid">
          <fgColor rgb="FFF8D3A8"/>
          <bgColor rgb="FF000000"/>
        </patternFill>
      </fill>
    </dxf>
    <dxf>
      <fill>
        <patternFill patternType="solid">
          <fgColor rgb="FFFBEBA5"/>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7E6E6"/>
      <rgbColor rgb="FFD9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5E5E5"/>
      <rgbColor rgb="FFFBEBA5"/>
      <rgbColor rgb="FF99CCFF"/>
      <rgbColor rgb="FFF4B6B6"/>
      <rgbColor rgb="FFCC99FF"/>
      <rgbColor rgb="FFF8D3A8"/>
      <rgbColor rgb="FF3366FF"/>
      <rgbColor rgb="FF33CCCC"/>
      <rgbColor rgb="FF99CC00"/>
      <rgbColor rgb="FFFFCC00"/>
      <rgbColor rgb="FFFF9900"/>
      <rgbColor rgb="FFFF6600"/>
      <rgbColor rgb="FF4F81BD"/>
      <rgbColor rgb="FFB3B3B3"/>
      <rgbColor rgb="FF003366"/>
      <rgbColor rgb="FF339966"/>
      <rgbColor rgb="FF003300"/>
      <rgbColor rgb="FF333300"/>
      <rgbColor rgb="FF993300"/>
      <rgbColor rgb="FF993366"/>
      <rgbColor rgb="FF555555"/>
      <rgbColor rgb="FF2F3B5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Pessoas por estágio jurídico</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Resumo!B4</f>
              <strCache>
                <ptCount val="1"/>
                <pt idx="0">
                  <v>Pessoas</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showLegendKey val="0"/>
            <showVal val="0"/>
            <showCatName val="0"/>
            <showSerName val="0"/>
            <showPercent val="0"/>
            <showLeaderLines val="1"/>
          </dLbls>
          <cat>
            <strRef>
              <f>Resumo!$A$5:$A$9</f>
              <strCache>
                <ptCount val="5"/>
                <pt idx="0">
                  <v>Condenado</v>
                </pt>
                <pt idx="1">
                  <v>Preso, sem condenação</v>
                </pt>
                <pt idx="2">
                  <v>Investigado / alvo (sem denúncia)</v>
                </pt>
                <pt idx="3">
                  <v>Citado, sem acusação</v>
                </pt>
                <pt idx="4">
                  <v>Não pesquisado</v>
                </pt>
              </strCache>
            </strRef>
          </cat>
          <val>
            <numRef>
              <f>Resumo!$B$5:$B$9</f>
              <numCache>
                <formatCode>General</formatCode>
                <ptCount val="5"/>
                <pt idx="0">
                  <v>3</v>
                </pt>
                <pt idx="1">
                  <v>4</v>
                </pt>
                <pt idx="2">
                  <v>7</v>
                </pt>
                <pt idx="3">
                  <v>8</v>
                </pt>
                <pt idx="4">
                  <v>8</v>
                </pt>
              </numCache>
            </numRef>
          </val>
        </ser>
        <gapWidth val="150"/>
        <overlap val="0"/>
        <axId val="60663680"/>
        <axId val="27512961"/>
      </barChart>
      <catAx>
        <axId val="60663680"/>
        <scaling>
          <orientation val="minMax"/>
        </scaling>
        <delete val="0"/>
        <axPos val="b"/>
        <numFmt formatCode="General"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7512961"/>
        <crosses val="autoZero"/>
        <auto val="1"/>
        <lblAlgn val="ctr"/>
        <lblOffset val="100"/>
        <noMultiLvlLbl val="0"/>
      </catAx>
      <valAx>
        <axId val="27512961"/>
        <scaling>
          <orientation val="minMax"/>
        </scaling>
        <delete val="0"/>
        <axPos val="l"/>
        <majorGridlines>
          <spPr>
            <a:ln xmlns:a="http://schemas.openxmlformats.org/drawingml/2006/main" w="0">
              <a:solidFill>
                <a:srgbClr val="b3b3b3"/>
              </a:solidFill>
              <a:prstDash val="solid"/>
            </a:ln>
          </spPr>
        </majorGridlines>
        <numFmt formatCode="General"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066368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9</row>
      <rowOff>33120</rowOff>
    </from>
    <to>
      <col>2</col>
      <colOff>3237480</colOff>
      <row>22</row>
      <rowOff>76320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C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24" min="1" max="1"/>
    <col width="10" customWidth="1" style="24" min="2" max="2"/>
    <col width="110" customWidth="1" style="24" min="3" max="3"/>
  </cols>
  <sheetData>
    <row r="1" ht="17.35" customHeight="1" s="25">
      <c r="A1" s="26" t="inlineStr">
        <is>
          <t>Mapa de envolvidos: situação jurídica por estágio</t>
        </is>
      </c>
    </row>
    <row r="2" ht="15" customHeight="1" s="25">
      <c r="A2" s="27" t="inlineStr">
        <is>
          <t>Pesquisa em fontes públicas, atualizada em 21/10/2026 (revisão 3, com o acervo a verdade.). Estágio ≠ culpa: só os "Condenado" têm decisão condenatória.</t>
        </is>
      </c>
    </row>
    <row r="3"/>
    <row r="4" ht="15" customHeight="1" s="25">
      <c r="A4" s="28" t="inlineStr">
        <is>
          <t>Estágio</t>
        </is>
      </c>
      <c r="B4" s="28" t="inlineStr">
        <is>
          <t>Pessoas</t>
        </is>
      </c>
      <c r="C4" s="28" t="inlineStr">
        <is>
          <t>Quem</t>
        </is>
      </c>
    </row>
    <row r="5" ht="15" customHeight="1" s="25">
      <c r="A5" s="29" t="inlineStr">
        <is>
          <t>Condenado</t>
        </is>
      </c>
      <c r="B5" s="24">
        <f>COUNTIF(Perfis!$H$2:$H$35,A5)</f>
        <v/>
      </c>
      <c r="C5" s="30" t="inlineStr">
        <is>
          <t>Jair Messias Bolsonaro; Alexandre Ramagem; Augusto Heleno</t>
        </is>
      </c>
    </row>
    <row r="6" ht="15" customHeight="1" s="25">
      <c r="A6" s="31" t="inlineStr">
        <is>
          <t>Preso, sem condenação</t>
        </is>
      </c>
      <c r="B6" s="24">
        <f>COUNTIF(Perfis!$H$2:$H$35,A6)</f>
        <v/>
      </c>
      <c r="C6" s="30" t="inlineStr">
        <is>
          <t>Antônio Carlos Camilo Antunes; Alexandre Caetano dos Reis; Daniel Vorcaro; Fabiano Campos Zettel</t>
        </is>
      </c>
    </row>
    <row r="7" ht="28.35" customHeight="1" s="25">
      <c r="A7" s="32" t="inlineStr">
        <is>
          <t>Investigado / alvo (sem denúncia)</t>
        </is>
      </c>
      <c r="B7" s="24">
        <f>COUNTIF(Perfis!$H$2:$H$35,A7)</f>
        <v/>
      </c>
      <c r="C7" s="30" t="inlineStr">
        <is>
          <t>Fábio Luís Lula da Silva; Roberta Moreira Luchsinger; Willer Tomaz; Flávio Bolsonaro; Carlos Bolsonaro; Frederick Wassef; Ciro Nogueira; Mario Frias</t>
        </is>
      </c>
    </row>
    <row r="8" ht="28.35" customHeight="1" s="25">
      <c r="A8" s="33" t="inlineStr">
        <is>
          <t>Citado, sem acusação</t>
        </is>
      </c>
      <c r="B8" s="24">
        <f>COUNTIF(Perfis!$H$2:$H$35,A8)</f>
        <v/>
      </c>
      <c r="C8" s="30" t="inlineStr">
        <is>
          <t>Letícia Caetano dos Reis; Lídia Maria Figueiredo Mazelli; Renan Calheiros; Fabrício José Carlos de Queiroz; Richarlison; Kassio Nunes Marques; Kevin Marques; Sergio Fernando Moro; André Mendonça; Fábio Faria; Alfredo Gaspar</t>
        </is>
      </c>
    </row>
    <row r="9" ht="28.35" customHeight="1" s="25">
      <c r="A9" s="34" t="inlineStr">
        <is>
          <t>Não pesquisado</t>
        </is>
      </c>
      <c r="B9" s="24">
        <f>COUNTIF(Perfis!$H$2:$H$35,A9)</f>
        <v/>
      </c>
      <c r="C9" s="30" t="inlineStr">
        <is>
          <t>Mulher e filhas de Flávio; advogadas de Flávio; diretor jurídico; promoter; mordomo; mulheres das festas; eletricista; Antônio Marcos da Silva (sem fonte pública confirmada)</t>
        </is>
      </c>
    </row>
    <row r="10" ht="15" customHeight="1" s="25">
      <c r="A10" s="35" t="inlineStr">
        <is>
          <t>Total</t>
        </is>
      </c>
      <c r="B10" s="35">
        <f>SUM(B5:B9)</f>
        <v/>
      </c>
    </row>
    <row r="11"/>
    <row r="12"/>
    <row r="13"/>
    <row r="14"/>
    <row r="15"/>
    <row r="16"/>
    <row r="17"/>
    <row r="18"/>
    <row r="19"/>
    <row r="20"/>
    <row r="21"/>
    <row r="22"/>
    <row r="23"/>
    <row r="24"/>
    <row r="25"/>
    <row r="26"/>
    <row r="27"/>
    <row r="28" ht="15" customHeight="1" s="25">
      <c r="A28" s="35" t="inlineStr">
        <is>
          <t>Notas de método</t>
        </is>
      </c>
    </row>
    <row r="29" ht="30" customHeight="1" s="25">
      <c r="A29" s="30" t="inlineStr">
        <is>
          <t>• Pessoas privadas, menores e não nomeadas (família de Flávio, mulheres das festas, promoter, mordomo, eletricista, advogadas, diretor jurídico) não foram pesquisadas.</t>
        </is>
      </c>
    </row>
    <row r="30" ht="30" customHeight="1" s="25">
      <c r="A30" s="30" t="inlineStr">
        <is>
          <t>• Localização é só cidade/UF noticiada, sem endereço residencial. Vivo/morto reflete as notícias mais recentes que achei; não encontrei registro de morte de ninguém.</t>
        </is>
      </c>
    </row>
    <row r="31" ht="30" customHeight="1" s="25">
      <c r="A31" s="30" t="inlineStr">
        <is>
          <t>• "Milícia": só aparece vínculo apurado no caso Queiroz (transferências de Adriano da Nóbrega). Nenhuma fonte acusa Queiroz de integrar milícia.</t>
        </is>
      </c>
    </row>
    <row r="32" ht="30" customHeight="1" s="25">
      <c r="A32" s="30" t="inlineStr">
        <is>
          <t>• Vários detalhes de 2026 vêm de manchetes ou de reportagens sem confirmação cruzada; marquei como "não confirmado" onde não consegui abrir a fonte.</t>
        </is>
      </c>
    </row>
    <row r="33" ht="30" customHeight="1" s="25">
      <c r="A33" s="30" t="inlineStr">
        <is>
          <t>• Contexto eleitoral (revisão 2): 1º turno em 04/10/2026; Flávio (47,03%) e Lula (45,16%) vão ao 2º turno em 25/10. Moro foi eleito governador do PR e Carlos, senador por SC; Renan perdeu a reeleição.</t>
        </is>
      </c>
    </row>
    <row r="34" ht="30" customHeight="1" s="25">
      <c r="A34" s="30" t="inlineStr">
        <is>
          <t>• Abas Nodes, Edges e Notes originais ficaram intactas.</t>
        </is>
      </c>
    </row>
  </sheetData>
  <mergeCells count="6">
    <mergeCell ref="A33:C33"/>
    <mergeCell ref="A32:C32"/>
    <mergeCell ref="A31:C31"/>
    <mergeCell ref="A30:C30"/>
    <mergeCell ref="A34:C34"/>
    <mergeCell ref="A29:C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P3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1" customWidth="1" style="24" min="1" max="1"/>
    <col width="26" customWidth="1" style="24" min="2" max="2"/>
    <col width="22" customWidth="1" style="24" min="3" max="3"/>
    <col width="70" customWidth="1" style="24" min="4" max="4"/>
    <col width="34" customWidth="1" style="24" min="5" max="5"/>
    <col width="22" customWidth="1" style="24" min="6" max="6"/>
    <col width="56" customWidth="1" style="24" min="7" max="7"/>
    <col width="24" customWidth="1" style="24" min="8" max="8"/>
    <col width="42" customWidth="1" style="24" min="9" max="9"/>
    <col width="44" customWidth="1" style="24" min="10" max="10"/>
    <col width="70" customWidth="1" style="24" min="11" max="11"/>
    <col width="12" customWidth="1" style="24" min="12" max="12"/>
    <col width="38" customWidth="1" style="24" min="13" max="13"/>
  </cols>
  <sheetData>
    <row r="1" ht="30" customHeight="1" s="25">
      <c r="A1" s="36" t="inlineStr">
        <is>
          <t>Id</t>
        </is>
      </c>
      <c r="B1" s="36" t="inlineStr">
        <is>
          <t>Nome</t>
        </is>
      </c>
      <c r="C1" s="36" t="inlineStr">
        <is>
          <t>Grupo</t>
        </is>
      </c>
      <c r="D1" s="36" t="inlineStr">
        <is>
          <t>Quem é / histórico</t>
        </is>
      </c>
      <c r="E1" s="36" t="inlineStr">
        <is>
          <t>Onde atua ou vive (nível cidade/UF)</t>
        </is>
      </c>
      <c r="F1" s="36" t="inlineStr">
        <is>
          <t>Vivo ou morto</t>
        </is>
      </c>
      <c r="G1" s="36" t="inlineStr">
        <is>
          <t>Situação jurídica</t>
        </is>
      </c>
      <c r="H1" s="36" t="inlineStr">
        <is>
          <t>Estágio</t>
        </is>
      </c>
      <c r="I1" s="36" t="inlineStr">
        <is>
          <t>Milícia?</t>
        </is>
      </c>
      <c r="J1" s="36" t="inlineStr">
        <is>
          <t>Divergências com a planilha / ressalvas</t>
        </is>
      </c>
      <c r="K1" s="36" t="inlineStr">
        <is>
          <t>Fontes</t>
        </is>
      </c>
      <c r="L1" s="36" t="inlineStr">
        <is>
          <t>Checado em</t>
        </is>
      </c>
      <c r="M1" s="36" t="inlineStr">
        <is>
          <t>Mudou nesta revisão</t>
        </is>
      </c>
      <c r="N1" s="24" t="inlineStr">
        <is>
          <t>Foto (arquivo)</t>
        </is>
      </c>
      <c r="O1" s="24" t="inlineStr">
        <is>
          <t>Crédito da foto</t>
        </is>
      </c>
      <c r="P1" s="24" t="inlineStr">
        <is>
          <t>Link da fonte da foto</t>
        </is>
      </c>
    </row>
    <row r="2" ht="135.8" customHeight="1" s="25">
      <c r="A2" s="37" t="inlineStr">
        <is>
          <t>careca</t>
        </is>
      </c>
      <c r="B2" s="38" t="inlineStr">
        <is>
          <t>Antônio Carlos Camilo Antunes ("Careca do INSS")</t>
        </is>
      </c>
      <c r="C2" s="37" t="inlineStr">
        <is>
          <t>Esquema do INSS</t>
        </is>
      </c>
      <c r="D2" s="37" t="inlineStr">
        <is>
          <t>Lobista. Declara-se gerente (renda declarada ~R$ 24,5 mil/mês), mas relatório o aponta como sócio de 22 empresas; pessoas e empresas ligadas a ele receberam ~R$ 53,6 mi. PF diz que mantinha offshore nas Ilhas Virgens Britânicas. Tinha 61 anos em jan/2026. O filho, Romeu, preso em dez/2025, foi solto por Mendonça em 09/09/2026 (tornozeleira, passaporte apreendido, sem sair de Brasília).</t>
        </is>
      </c>
      <c r="E2" s="37" t="inlineStr">
        <is>
          <t>Complexo da Papuda, Brasília (DF), ala de vulneráveis (Bloco V) desde jan/2026</t>
        </is>
      </c>
      <c r="F2" s="37" t="inlineStr">
        <is>
          <t>Vivo (preso; confirmado em 09/09/2026)</t>
        </is>
      </c>
      <c r="G2" s="37" t="inlineStr">
        <is>
          <t>Preso desde 12/09/2025 (STF; Operação Sem Desconto; relator Mendonça), hoje na Papuda. Em jan/2026 Mendonça negou pedido de liberdade (decisão sigilosa), vendo risco de reiteração e de atrapalhar a investigação. Segue preso em set/2026. Em 2026 preparava uma proposta de delação, sem notícia de aceite. Nas fontes não há condenação nem denúncia.</t>
        </is>
      </c>
      <c r="H2" s="39" t="inlineStr">
        <is>
          <t>Preso, sem condenação</t>
        </is>
      </c>
      <c r="I2" s="37" t="inlineStr">
        <is>
          <t>Nada nas fontes.</t>
        </is>
      </c>
      <c r="J2" s="37" t="inlineStr">
        <is>
          <t>—</t>
        </is>
      </c>
      <c r="K2" s="37" t="inlineStr">
        <is>
          <t>CNN Brasil 12/09/2025 https://www.cnnbrasil.com.br/politica/quem-e-o-careca-do-inss-preso-em-operacao-da-pf-nesta-sexta-12/ | Delação (fev/2026) https://portaldeprefeitura.com.br/bastidores-da-politica/policia-federal/careca-do-inss-prepara-proposta-de-delacao-premiada-lulinha/615241/ | Gazeta do Povo https://www.gazetadopovo.com.br/republica/mendonca-mantem-prisao-preventiva-do-careca-do-inss/ | Rondônia ao Vivo 09/09/2026 https://www.rondoniaovivo.com/noticia/geral/2026/09/09/stf-mendonca-manda-soltar-filho-do-careca-do-inss.html | Metrópoles https://www.metropoles.com/colunas/manoela-alcantara/careca-do-inss-e-transferido-para-ala-de-vulneraveis-da-papuda | Revogação da prisão do filho do Careca do INSS (iclnoticias.com.br) https://iclnoticias.com.br/andre-mendonca-revoga-prisao-do-filho-do-careca/ | Endereço e contabilidade compartilhados em Brasília (iclnoticias.com.br) https://iclnoticias.com.br/empresas-de-flavio-bolsonaro-e-careca-do-inss/</t>
        </is>
      </c>
      <c r="L2" s="37" t="inlineStr">
        <is>
          <t>20/10/2026</t>
        </is>
      </c>
      <c r="M2" s="37" t="inlineStr">
        <is>
          <t>Confirmado preso em 09/09/2026; local, idade e decisão de jan/2026 adicionados. 21/10/2026: importado do acervo a verdade. (bolsomaster.site).</t>
        </is>
      </c>
      <c r="N2" s="24" t="inlineStr">
        <is>
          <t>careca.jpg</t>
        </is>
      </c>
      <c r="O2" s="24" t="inlineStr">
        <is>
          <t>Edilson Rodrigues/Agência Senado · CC BY-SA 4.0</t>
        </is>
      </c>
      <c r="P2" s="24" t="inlineStr">
        <is>
          <t>https://commons.wikimedia.org/wiki/File:CPMI_-_INSS_-_Comissão_Parlamentar_Mista_de_Inquérito_do_INSS_-_2025_(54811232041)_(cropped).jpg</t>
        </is>
      </c>
    </row>
    <row r="3" ht="41.75" customHeight="1" s="25">
      <c r="A3" s="37" t="inlineStr">
        <is>
          <t>contador</t>
        </is>
      </c>
      <c r="B3" s="38" t="inlineStr">
        <is>
          <t>Alexandre Caetano dos Reis</t>
        </is>
      </c>
      <c r="C3" s="37" t="inlineStr">
        <is>
          <t>Esquema do INSS</t>
        </is>
      </c>
      <c r="D3" s="37" t="inlineStr">
        <is>
          <t>Contador, dono da Voga Serviços Contábeis; cuida também da contabilidade do escritório de advocacia de Flávio. Segundo reportagem, era sócio do Careca em offshore nas Ilhas Virgens Britânicas.</t>
        </is>
      </c>
      <c r="E3" s="37" t="inlineStr">
        <is>
          <t>Brasília/Águas Claras (DF) – escritório; hoje preso (Papuda, segundo Bahia Notícias)</t>
        </is>
      </c>
      <c r="F3" s="37" t="inlineStr">
        <is>
          <t>Vivo (preso)</t>
        </is>
      </c>
      <c r="G3" s="37" t="inlineStr">
        <is>
          <t>Preso em dez/2025 em desdobramento do caso INSS. Willer Tomaz tem procuração nos autos para defendê-lo. Sem condenação nas fontes.</t>
        </is>
      </c>
      <c r="H3" s="39" t="inlineStr">
        <is>
          <t>Preso, sem condenação</t>
        </is>
      </c>
      <c r="I3" s="37" t="inlineStr">
        <is>
          <t>Nada nas fontes.</t>
        </is>
      </c>
      <c r="J3" s="37" t="inlineStr">
        <is>
          <t>—</t>
        </is>
      </c>
      <c r="K3" s="37" t="inlineStr">
        <is>
          <t>Bahia Notícias https://www.bahianoticias.com.br/noticia/321055-empresas-de-flavio-bolsonaro-e-careca-do-inss-dividem-a-mesma-sala-e-possuem-o-mesmo-contador | Endereço e contabilidade compartilhados em Brasília (iclnoticias.com.br) https://iclnoticias.com.br/empresas-de-flavio-bolsonaro-e-careca-do-inss/</t>
        </is>
      </c>
      <c r="L3" s="37" t="inlineStr">
        <is>
          <t>20/10/2026</t>
        </is>
      </c>
      <c r="M3" s="37" t="inlineStr">
        <is>
          <t>21/10/2026: importado do acervo a verdade. (bolsomaster.site).</t>
        </is>
      </c>
    </row>
    <row r="4" ht="41.75" customHeight="1" s="25">
      <c r="A4" s="37" t="inlineStr">
        <is>
          <t>leticia</t>
        </is>
      </c>
      <c r="B4" s="38" t="inlineStr">
        <is>
          <t>Letícia Caetano dos Reis</t>
        </is>
      </c>
      <c r="C4" s="37" t="inlineStr">
        <is>
          <t>Esquema do INSS</t>
        </is>
      </c>
      <c r="D4" s="37" t="inlineStr">
        <is>
          <t>Irmã do contador; administra o escritório de advocacia de Flávio desde 2021. Em entrevista à Agência Pública (2022) disse que chegou ao escritório por indicação de Willer Tomaz.</t>
        </is>
      </c>
      <c r="E4" s="37" t="inlineStr">
        <is>
          <t>Brasília/Águas Claras (DF) – local do escritório</t>
        </is>
      </c>
      <c r="F4" s="37" t="inlineStr">
        <is>
          <t>Vivo (sem registro de morte)</t>
        </is>
      </c>
      <c r="G4" s="37" t="inlineStr">
        <is>
          <t>Sem prisão, acusação ou investigação formal noticiada nas fontes que li. Aparece pelo vínculo familiar e profissional.</t>
        </is>
      </c>
      <c r="H4" s="40" t="inlineStr">
        <is>
          <t>Citado, sem acusação</t>
        </is>
      </c>
      <c r="I4" s="37" t="inlineStr">
        <is>
          <t>Nada nas fontes.</t>
        </is>
      </c>
      <c r="J4" s="37" t="inlineStr">
        <is>
          <t>Pessoa privada: mantive só o papel público no caso.</t>
        </is>
      </c>
      <c r="K4" s="37" t="inlineStr">
        <is>
          <t>Bahia Notícias (link acima)</t>
        </is>
      </c>
      <c r="L4" s="37" t="inlineStr">
        <is>
          <t>20/10/2026</t>
        </is>
      </c>
      <c r="M4" s="37" t="inlineStr">
        <is>
          <t>—</t>
        </is>
      </c>
    </row>
    <row r="5" ht="82.05" customHeight="1" s="25">
      <c r="A5" s="37" t="inlineStr">
        <is>
          <t>lulinha</t>
        </is>
      </c>
      <c r="B5" s="38" t="inlineStr">
        <is>
          <t>Fábio Luís Lula da Silva ("Lulinha")</t>
        </is>
      </c>
      <c r="C5" s="37" t="inlineStr">
        <is>
          <t>Esquema do INSS</t>
        </is>
      </c>
      <c r="D5" s="37" t="inlineStr">
        <is>
          <t>Empresário, filho do presidente Lula. A PF informou ao STF que apura citações a ele no inquérito do INSS (relator Mendonça); uma hipótese é que fosse sócio oculto do Careca (mensagem citando "o filho do rapaz"). Em jan/2026 Mendonça autorizou a quebra do sigilo bancário dele e de Roberta; em 04/03/2026 Dino suspendeu a quebra de sigilo fiscal pedida pela CPMI.</t>
        </is>
      </c>
      <c r="E5" s="37" t="inlineStr">
        <is>
          <t>Não confirmado nas fontes</t>
        </is>
      </c>
      <c r="F5" s="37" t="inlineStr">
        <is>
          <t>Vivo</t>
        </is>
      </c>
      <c r="G5" s="37" t="inlineStr">
        <is>
          <t>Nega ser investigado. Em 17/10/2026 Roberta Luchsinger disse à CNN que pretende fazer delação e citou Lula e Lulinha; a defesa dele (advogado Guilherme Suguimori Santos) chamou as falas de "insinuações", disse que ele pôs sigilos à disposição da Justiça e que não foi indiciado na operação do INSS. Sem indiciamento, denúncia ou condenação.</t>
        </is>
      </c>
      <c r="H5" s="41" t="inlineStr">
        <is>
          <t>Investigado / alvo (sem denúncia)</t>
        </is>
      </c>
      <c r="I5" s="37" t="inlineStr">
        <is>
          <t>Nada nas fontes.</t>
        </is>
      </c>
      <c r="J5" s="37" t="inlineStr">
        <is>
          <t>Planilha diz "3 inquéritos no STF"; nas fontes que li aparece 1 inquérito (INSS) com citações a ele. Vale revisar esse número.</t>
        </is>
      </c>
      <c r="K5" s="37" t="inlineStr">
        <is>
          <t>Brasil Agro https://brasilagro.com.br/conteudo/pf-apura-se-lulinha-foi-socio-oculto-de-careca-do-inss.html | Poder360 https://www.poder360.com.br/poder-justica/amiga-de-lulinha-nega-ter-repassado-valores-do-careca-do-inss-a-pf/ | Gazeta do Povo 17/10/2026 https://www.gazetadopovo.com.br/republica/defesa-de-lulinha-nega-irregularidades-apos-declaracoes-de-lobista-roberta-luchsinger/</t>
        </is>
      </c>
      <c r="L5" s="37" t="inlineStr">
        <is>
          <t>20/10/2026</t>
        </is>
      </c>
      <c r="M5" s="37" t="inlineStr">
        <is>
          <t>Adicionadas as falas de Roberta (17/10/2026) e a resposta da defesa.</t>
        </is>
      </c>
    </row>
    <row r="6" ht="82.05" customHeight="1" s="25">
      <c r="A6" s="37" t="inlineStr">
        <is>
          <t>roberta</t>
        </is>
      </c>
      <c r="B6" s="38" t="inlineStr">
        <is>
          <t>Roberta Moreira Luchsinger</t>
        </is>
      </c>
      <c r="C6" s="37" t="inlineStr">
        <is>
          <t>Esquema do INSS</t>
        </is>
      </c>
      <c r="D6" s="37" t="inlineStr">
        <is>
          <t>Lobista/consultora (RL Consultoria e Intermediações), amiga de Lulinha. PF diz que ela recebeu cerca de R$ 1,5 mi em parcelas do Careca via a Brasília Consultoria Empresarial, que a PF chama de empresa de fachada. Defesa: tratativas de um projeto de canabidiol, sem relação com o INSS. Depôs à PF em 20/05/2026 negando ter repassado valores a Lulinha.</t>
        </is>
      </c>
      <c r="E6" s="37" t="inlineStr">
        <is>
          <t>São Paulo (SP) – alvo de busca em Higienópolis em dez/2025</t>
        </is>
      </c>
      <c r="F6" s="37" t="inlineStr">
        <is>
          <t>Viva</t>
        </is>
      </c>
      <c r="G6" s="37" t="inlineStr">
        <is>
          <t>Segundo a Gazeta do Povo (17/10/2026), é investigada pela PF por suspeita de tráfico de influência envolvendo integrantes do governo federal. Em entrevista à CNN no mesmo dia disse que pretende fazer delação premiada e "não vai poupar ninguém", citando Lula e Lulinha; nenhum acordo firmado nas fontes. Sem denúncia ou condenação.</t>
        </is>
      </c>
      <c r="H6" s="41" t="inlineStr">
        <is>
          <t>Investigado / alvo (sem denúncia)</t>
        </is>
      </c>
      <c r="I6" s="37" t="inlineStr">
        <is>
          <t>Nada nas fontes.</t>
        </is>
      </c>
      <c r="J6" s="37" t="inlineStr">
        <is>
          <t>Planilha diz "~R$ 1 mi"; a PF fala em ordem de R$ 300 mil e ~R$ 1,5 mi no total.</t>
        </is>
      </c>
      <c r="K6" s="37" t="inlineStr">
        <is>
          <t>Poder360 (link acima) | Brasil Agro (link acima) | Gazeta do Povo (link na linha do Lulinha)</t>
        </is>
      </c>
      <c r="L6" s="37" t="inlineStr">
        <is>
          <t>20/10/2026</t>
        </is>
      </c>
      <c r="M6" s="37" t="inlineStr">
        <is>
          <t>Agora investigada por tráfico de influência e anuncia delação (17/10/2026).</t>
        </is>
      </c>
    </row>
    <row r="7" ht="122.35" customHeight="1" s="25">
      <c r="A7" s="37" t="inlineStr">
        <is>
          <t>willer</t>
        </is>
      </c>
      <c r="B7" s="38" t="inlineStr">
        <is>
          <t>Willer Tomaz</t>
        </is>
      </c>
      <c r="C7" s="37" t="inlineStr">
        <is>
          <t>Willer Tomaz e sua rede</t>
        </is>
      </c>
      <c r="D7" s="37" t="inlineStr">
        <is>
          <t>Advogado em Brasília. Preso em 2017 sob suspeita de tentar interferir na Operação Greenfield (fundos de pensão). Alvo de busca em ago/2026 na Operação Sem Desconto (caso ligado ao senador Weverton Rocha). O inquérito sobre ele e Flávio (suposta lavagem via bets, Rede Loto) chegou ao STF em 08/10/2026 (relator Moraes) e foi revelado em 18–19/10. A PF diz que uma conta dele movimentou ~R$ 130 mi entre mar e mai/2025. Dono de empresas como WT, Alcazar e Cathedral.</t>
        </is>
      </c>
      <c r="E7" s="37" t="inlineStr">
        <is>
          <t>Brasília (DF)</t>
        </is>
      </c>
      <c r="F7" s="37" t="inlineStr">
        <is>
          <t>Vivo</t>
        </is>
      </c>
      <c r="G7" s="37" t="inlineStr">
        <is>
          <t>Investigado; nega irregularidades e fala em "pescaria probatória". Nas fontes não há denúncia nem condenação.</t>
        </is>
      </c>
      <c r="H7" s="41" t="inlineStr">
        <is>
          <t>Investigado / alvo (sem denúncia)</t>
        </is>
      </c>
      <c r="I7" s="37" t="inlineStr">
        <is>
          <t>Nada nas fontes.</t>
        </is>
      </c>
      <c r="J7" s="37" t="inlineStr">
        <is>
          <t>—</t>
        </is>
      </c>
      <c r="K7" s="37" t="inlineStr">
        <is>
          <t>A Tarde https://atarde.com.br/eleicoes/quem-e-willer-tomaz-advogado-suspeito-de-ligacao-com-flavio-bolsonaro-1406358 | Tribuna do Sertão 19/10/2026 https://www.tribunadosertao.com.br/poder-e-governo/2026/10/19/1000284-flavio-bolsonaro-e-investigado-pela-pf-por-suspeita-de-lavagem-de-dinheiro-com-advogado-willer-tomaz | CartaCapital 18/10/2026 https://www.cartacapital.com.br/politica/flavio-bolsonaro-e-alvo-de-segundo-inquerito-no-stf-por-suspeita-de-lavagem-de-dinheiro/ | CNN Brasil https://www.cnnbrasil.com.br/politica/advogado-amigo-de-flavio-movimentou-r-130-milhoes-em-tres-meses-diz-pf/ | O voo no jato de Vorcaro em janeiro de 2025 (piaui.uol.com.br) https://piaui.uol.com.br/web/flavio-bolsonaro-viajou-em-jato-de-vorcaro/ | E-mails sobre vínculo bancário com Willer Tomaz (noticias.uol.com.br) https://noticias.uol.com.br/colunas/fabio-serapiao/2026/10/10/flavio-dividia-conta-com-suspeito-de-lavar-dinheiro-do-inss-indicam-emails.htm | A disputa pelo imóvel comprado por Richarlison (iclnoticias.com.br) https://iclnoticias.com.br/advogado-defendia-amigo-de-flavio-bolsonaro/ | A disputa pelo imóvel comprado por Richarlison (iclnoticias.com.br) https://iclnoticias.com.br/pf-e-acionada-flavio-bolsonaro-richarlisson/</t>
        </is>
      </c>
      <c r="L7" s="37" t="inlineStr">
        <is>
          <t>20/10/2026</t>
        </is>
      </c>
      <c r="M7" s="37" t="inlineStr">
        <is>
          <t>Data de entrada no STF (08/10/2026), valores e confirmação da busca de ago/2026. 21/10/2026: importado do acervo a verdade. (bolsomaster.site).</t>
        </is>
      </c>
      <c r="N7" s="24" t="inlineStr">
        <is>
          <t>willer.jpg</t>
        </is>
      </c>
      <c r="O7" s="24" t="inlineStr">
        <is>
          <t>Agência Senado · CC BY 2.0</t>
        </is>
      </c>
      <c r="P7" s="24" t="inlineStr">
        <is>
          <t>https://commons.wikimedia.org/wiki/File:Willer_Tomaz_de_Souza.jpg</t>
        </is>
      </c>
    </row>
    <row r="8" ht="82.05" customHeight="1" s="25">
      <c r="A8" s="37" t="inlineStr">
        <is>
          <t>lidia</t>
        </is>
      </c>
      <c r="B8" s="38" t="inlineStr">
        <is>
          <t>Lídia Maria Figueiredo Mazelli</t>
        </is>
      </c>
      <c r="C8" s="37" t="inlineStr">
        <is>
          <t>Willer Tomaz e sua rede</t>
        </is>
      </c>
      <c r="D8" s="37" t="inlineStr">
        <is>
          <t>61 anos. Dirigente formal de 14 empresas ligadas a Willer (WT, Jet Line, Friponor, RioPag, Ícaro Aviation etc.); assinou a escritura da mansão de Angra. Teve vínculo formal com o escritório de Willer entre mar/2019 e set/2020. Ao ser abordada disse ser doméstica; depois afirmou nunca ter sido empregada doméstica e que respondeu assim por medo. A defesa de Willer diz que é administradora de empresas.</t>
        </is>
      </c>
      <c r="E8" s="37" t="inlineStr">
        <is>
          <t>Não informado</t>
        </is>
      </c>
      <c r="F8" s="37" t="inlineStr">
        <is>
          <t>Viva</t>
        </is>
      </c>
      <c r="G8" s="37" t="inlineStr">
        <is>
          <t>A reportagem não a acusa nem a apresenta como investigada; ela diz não ser investigada. Suspeitas recaem sobre Willer e as empresas (ex.: Loterj acusa a RioPag de não repassar R$ 20,9 mi ao estado).</t>
        </is>
      </c>
      <c r="H8" s="40" t="inlineStr">
        <is>
          <t>Citado, sem acusação</t>
        </is>
      </c>
      <c r="I8" s="37" t="inlineStr">
        <is>
          <t>Nada nas fontes.</t>
        </is>
      </c>
      <c r="J8" s="37" t="inlineStr">
        <is>
          <t>Planilha diz "diz ser doméstica": ela depois desmentiu isso. Hipótese de "laranja" é da reportagem, não está comprovada.</t>
        </is>
      </c>
      <c r="K8" s="37" t="inlineStr">
        <is>
          <t>ICL Notícias https://iclnoticias.com.br/domestica-preside-empresas-fraude-flavio/</t>
        </is>
      </c>
      <c r="L8" s="37" t="inlineStr">
        <is>
          <t>20/10/2026</t>
        </is>
      </c>
      <c r="M8" s="37" t="inlineStr">
        <is>
          <t>—</t>
        </is>
      </c>
    </row>
    <row r="9" ht="95.5" customHeight="1" s="25">
      <c r="A9" s="37" t="inlineStr">
        <is>
          <t>renan</t>
        </is>
      </c>
      <c r="B9" s="38" t="inlineStr">
        <is>
          <t>Renan Calheiros</t>
        </is>
      </c>
      <c r="C9" s="37" t="inlineStr">
        <is>
          <t>Willer Tomaz e sua rede</t>
        </is>
      </c>
      <c r="D9" s="37" t="inlineStr">
        <is>
          <t>Senador (MDB-AL), relator da CPI da Pandemia. Perdeu a reeleição em 04/10/2026 e deixará o Senado após 32 anos (mandato vai até jan/2027). Inquérito sobre favorecimento à Hypermarcas foi arquivado por Fachin em out/2024; Dino mandou a PF concluir em 90 dias outro inquérito (Postalis, lobista Milton Lyra), sem data na fonte.</t>
        </is>
      </c>
      <c r="E9" s="37" t="inlineStr">
        <is>
          <t>Alagoas (AL)</t>
        </is>
      </c>
      <c r="F9" s="37" t="inlineStr">
        <is>
          <t>Vivo</t>
        </is>
      </c>
      <c r="G9" s="37" t="inlineStr">
        <is>
          <t>Sem condenação nas fontes; inquérito Postalis com status não confirmado. Resultado eleitoral baseado nos títulos de Poder360 e O Tempo (o corpo da matéria não abriu).</t>
        </is>
      </c>
      <c r="H9" s="40" t="inlineStr">
        <is>
          <t>Citado, sem acusação</t>
        </is>
      </c>
      <c r="I9" s="37" t="inlineStr">
        <is>
          <t>Nada nas fontes.</t>
        </is>
      </c>
      <c r="J9" s="37" t="inlineStr">
        <is>
          <t>Não achei notícia de 2026 sobre os inquéritos; só sobre a eleição.</t>
        </is>
      </c>
      <c r="K9" s="37" t="inlineStr">
        <is>
          <t>Portal de Prefeitura (Fachin) https://portaldeprefeitura.com.br/bastidores-da-politica/fachin-arquiva-investigacao-contra-renan-calheiros-e-eduardo-braga-por/582759/ | Poder360 https://www.poder360.com.br/poder-eleicoes-2026/renan-calheiros-perde-eleicao-e-deixara-o-senado-apos-32-anos/ | O Tempo https://www.otempo.com.br/eleicoes/2026/2026/10/4/renan-calheiros-perde-eleicao-e-deixara-senado-apos-32-anos</t>
        </is>
      </c>
      <c r="L9" s="37" t="inlineStr">
        <is>
          <t>20/10/2026</t>
        </is>
      </c>
      <c r="M9" s="37" t="inlineStr">
        <is>
          <t>Perdeu a reeleição em 04/10/2026.</t>
        </is>
      </c>
      <c r="N9" s="24" t="inlineStr">
        <is>
          <t>renan.jpg</t>
        </is>
      </c>
      <c r="O9" s="24" t="inlineStr">
        <is>
          <t>Agência Senado · uso livre</t>
        </is>
      </c>
      <c r="P9" s="24" t="inlineStr">
        <is>
          <t>https://commons.wikimedia.org/wiki/File:Senador_Renan_Calheiros_MDB_-_AL.jpg</t>
        </is>
      </c>
    </row>
    <row r="10" ht="162.65" customHeight="1" s="25">
      <c r="A10" s="37" t="inlineStr">
        <is>
          <t>flavio</t>
        </is>
      </c>
      <c r="B10" s="38" t="inlineStr">
        <is>
          <t>Flávio Bolsonaro</t>
        </is>
      </c>
      <c r="C10" s="37" t="inlineStr">
        <is>
          <t>Flávio e família</t>
        </is>
      </c>
      <c r="D10" s="37" t="inlineStr">
        <is>
          <t>Nascido em 30/04/1981, Resende (RJ). Advogado e empresário; deputado estadual desde 2003, senador pelo RJ desde 2019. Candidato do PL à Presidência: no 1º turno (04/10/2026) teve 47,03% dos votos válidos contra 45,16% de Lula; o 2º turno é em 25/10/2026. Rachadinha: denunciado pelo MPRJ em out/2020 com Queiroz e outros 15; provas anuladas pelo STJ/STF em nov/2021; denúncia rejeitada e caso arquivado em 2022. Hoje há dois inquéritos no STF: (1) Dark Horse, autorizado por Mendonça em 23/07/2026 (~US$ 24 mi negociados; Coaf/piauí apontam ~US$ 12,3 mi repassados por Vorcaro ao fundo Havengate); em 10/09 a PF fez a Operação Make Up (49 mandados; alvos incluem a produtora Karina Gama e o deputado Mário Frias). (2) lavagem com Willer Tomaz, chegou ao STF em 08/10/2026 (relator Moraes). Em 12/10 Moraes liberou as visitas dele ao pai, suspensas desde julho por ele ter publicado uma carta de Jair.</t>
        </is>
      </c>
      <c r="E10" s="37" t="inlineStr">
        <is>
          <t>RJ (base eleitoral); mandato em Brasília</t>
        </is>
      </c>
      <c r="F10" s="37" t="inlineStr">
        <is>
          <t>Vivo</t>
        </is>
      </c>
      <c r="G10" s="37" t="inlineStr">
        <is>
          <t>Nega: chama o 2º inquérito de politicamente motivado e a relação com Willer de amizade entre famílias; diz que o filme foi patrocínio. Sem denúncia nova nem condenação.</t>
        </is>
      </c>
      <c r="H10" s="41" t="inlineStr">
        <is>
          <t>Investigado / alvo (sem denúncia)</t>
        </is>
      </c>
      <c r="I10" s="37" t="inlineStr">
        <is>
          <t>Sem acusação de milícia. Mãe e ex-esposa de Adriano da Nóbrega (miliciano) constavam como funcionárias do gabinete dele; Flávio atribuiu as contratações a Queiroz.</t>
        </is>
      </c>
      <c r="J10" s="37" t="inlineStr">
        <is>
          <t>Acervo a verdade.: Aos Fatos contou ao menos 43 declarações falsas dele sobre a relação com Vorcaro. Os números do celular variam por fonte (Piauí: 11 meses e 110 registros; Estadão: 3 meses e 6 encontros) e não devem ser somados. Os R$ 134 mi negociados e ≥ R$ 61 mi repassados foram para o filme, o que não comprova recebimento pessoal.</t>
        </is>
      </c>
      <c r="K10" s="37" t="inlineStr">
        <is>
          <t>Wikipedia pt https://pt.wikipedia.org/wiki/Fl%C3%A1vio_Bolsonaro | Tribuna do Sertão (link acima) | O Povo 23/07/2026 https://www.opovo.com.br/noticias/politica/2026/07/23/amp/andre-mendonca-autoriza-inquerito-sobre-repasses-para-dark-horse-filme-sobre-jair-bolsonaro.html | Resultado do 1º turno https://portaldeprefeitura.com.br/bastidores-da-politica/eleicoes-2026-com-100-das-secoes-totalizadas-flavio-tem-4703-e/633498/ | Wikipedia (Banco Master scandal) https://en.wikipedia.org/wiki/Banco_Master_scandal | JB 12/10/2026 https://www.jb.com.br/brasil/justica/2026/10/1061206-moraes-autoriza-flavio-bolsonaro-a-visitar-jair-bolsonaro-em-prisao-domiciliar.html | A investigação sobre o financiamento de Dark Horse (bbc.com) https://www.bbc.com/portuguese/articles/c4g5ky0r25jo | A investigação sobre o financiamento de Dark Horse (em.com.br) https://www.em.com.br/politica/2026/09/7498387-flavio-bolsonaro-vira-investigado-do-dark-horse-que-segue-sob-sigilo.html | O acordo de R$ 134 milhões para o filme (intercept.com.br) https://www.intercept.com.br/2026/05/13/audio-flavio-negociou-vorcaro-milhoes/ | A checagem de declarações sobre Vorcaro (aosfatos.org) https://www.aosfatos.org/noticias/flavio-mentiu-ao-menos-43-vezes-sobre-envolvimento-com-vorcaro/ | Os registros de contato no celular do banqueiro (piaui.uol.com.br) https://piaui.uol.com.br/web/mensagens-celular-flavio-vorcaro/ | As menções a encontros presenciais (estadao.com.br) https://www.estadao.com.br/politica/celular-de-vorcaro-tinha-tres-meses-de-conversa-com-flavio-bolsonaro-e-mencao-a-seis-encontros/ | O voo no jato de Vorcaro em janeiro de 2025 (piaui.uol.com.br) https://piaui.uol.com.br/web/flavio-bolsonaro-viajou-em-jato-de-vorcaro/ | O apartamento de Fabiano Zettel e Willer Tomaz (piaui.uol.com.br) https://piaui.uol.com.br/web/flavio-bolsonaro-zettel-tomaz-imovel-vila-nova-conceicao-sao-paulo/ | O aniversário em uma mansão gerida por empresa de Vorcaro (iclnoticias.com.br) https://iclnoticias.com.br/flavio-bolsonaro-aniversario-da-filha-em-mansao/ | E-mails sobre vínculo bancário com Willer Tomaz (noticias.uol.com.br) https://noticias.uol.com.br/colunas/fabio-serapiao/2026/10/10/flavio-dividia-conta-com-suspeito-de-lavar-dinheiro-do-inss-indicam-emails.htm | Endereço e contabilidade compartilhados em Brasília (iclnoticias.com.br) https://iclnoticias.com.br/empresas-de-flavio-bolsonaro-e-careca-do-inss/ | Cargo na Câmara, faculdade e estágio no Rio (bbc.com) https://www.bbc.com/portuguese/brasil-46828487 | A acusação de rachadinhas na Alerj (valor.globo.com) https://valor.globo.com/politica/eleicoes-2026/noticia/2026/09/01/flavio-bolsonaro-relembre-o-processo-da-rachadinha.ghtml | A acusação de rachadinhas na Alerj (folhadelondrina.com.br) https://www.folhadelondrina.com.br/ultimas-noticias/entenda-quais-provas-da-rachadinha-contra-flavio-bolsonaro-ainda-valem-3131387e.html | A investigação da loja Kopenhagen (oglobo.globo.com) https://oglobo.globo.com/politica/alvo-de-investigacao-das-rachadinhas-loja-de-flavio-bolsonaro-no-rio-vendida-1-24867874 | Imóveis comprados pela família e investigações (g1.globo.com) https://g1.globo.com/jornal-nacional/noticia/2022/08/31/reportagem-do-uol-revela-que-51-imoveis-comprados-pela-familia-bolsonaro-foram-pagos-em-dinheiro-vivo.ghtml | Imóveis comprados pela família e investigações (noticias.uol.com.br) https://noticias.uol.com.br/politica/ultimas-noticias/2022/08/30/imoveis-cla-bolsonaro-objeto-de-investigacao-suspeita-dinheiro-vivo.htm | Imóveis comprados pela família e investigações (estadao.com.br) https://www.estadao.com.br/politica/investigacao-sobre-flaviobolsonaro-alcanca-37-imoveis/ | A compra e a quitação da mansão em Brasília (oglobo.globo.com) https://oglobo.globo.com/politica/eleicoes-2026/noticia/2026/08/14/video-mansao-que-fez-patrimonio-de-flavio-disparar-fica-em-terreno-de-2400-m-e-foi-quitada-27-anos-antes-do-previsto.ghtml | A análise do MPF sobre 37 transações imobiliárias (cnnbrasil.com.br) https://www.cnnbrasil.com.br/politica/o-mpf-ve-fortes-indicios-de-lavagem-de-dinheiro-em-bens-de-flavio-bolsonaro/a | A acusação do MP-RJ sobre organização criminosa (g1.globo.com) https://g1.globo.com/rj/rio-de-janeiro/noticia/2019/12/19/mp-do-rj-detalha-suposto-esquema-de-corrupcao-envolvendo-entao-deputado-flavio-bolsonaro.ghtml?utm_source=twitter&amp;utm_medium=social&amp;utm_campaign=g1 | Destinação de emendas e entidades questionadas (revistaforum.com.br) https://revistaforum.com.br/politica/flavio-bolsonaro-emendas-ong-fantasma-e-instituto-de-miliciano/</t>
        </is>
      </c>
      <c r="L10" s="37" t="inlineStr">
        <is>
          <t>20/10/2026</t>
        </is>
      </c>
      <c r="M10" s="37" t="inlineStr">
        <is>
          <t>Resultado do 1º turno; 2º inquérito no STF; Operação Make Up; visitas ao pai liberadas. 21/10/2026: importado do acervo a verdade. (bolsomaster.site).</t>
        </is>
      </c>
      <c r="N10" s="24" t="inlineStr">
        <is>
          <t>flavio.jpg</t>
        </is>
      </c>
      <c r="O10" s="24" t="inlineStr">
        <is>
          <t>Agência Senado · uso livre</t>
        </is>
      </c>
      <c r="P10" s="24" t="inlineStr">
        <is>
          <t>https://commons.wikimedia.org/wiki/File:Foto_oficial_do_senador_Flávio_Bolsonaro_(v._AgSen)_(3x4).jpg</t>
        </is>
      </c>
    </row>
    <row r="11" ht="28.35" customHeight="1" s="25">
      <c r="A11" s="37" t="inlineStr">
        <is>
          <t>fam</t>
        </is>
      </c>
      <c r="B11" s="38" t="inlineStr">
        <is>
          <t>Mulher e filhas de Flávio</t>
        </is>
      </c>
      <c r="C11" s="37" t="inlineStr">
        <is>
          <t>Flávio e família</t>
        </is>
      </c>
      <c r="D11" s="37" t="inlineStr">
        <is>
          <t>Não pesquisei. Inclui menores de idade e aparecem na planilha só como passageiras do jato em jan/2025.</t>
        </is>
      </c>
      <c r="E11" s="37" t="inlineStr">
        <is>
          <t>—</t>
        </is>
      </c>
      <c r="F11" s="37" t="inlineStr">
        <is>
          <t>—</t>
        </is>
      </c>
      <c r="G11" s="37" t="inlineStr">
        <is>
          <t>—</t>
        </is>
      </c>
      <c r="H11" s="42" t="inlineStr">
        <is>
          <t>Não pesquisado</t>
        </is>
      </c>
      <c r="I11" s="37" t="inlineStr">
        <is>
          <t>—</t>
        </is>
      </c>
      <c r="J11" s="37" t="inlineStr">
        <is>
          <t>Decisão deliberada: sem papel público no caso.</t>
        </is>
      </c>
      <c r="K11" s="37" t="inlineStr">
        <is>
          <t>—</t>
        </is>
      </c>
      <c r="L11" s="37" t="inlineStr">
        <is>
          <t>20/10/2026</t>
        </is>
      </c>
      <c r="M11" s="37" t="inlineStr">
        <is>
          <t>—</t>
        </is>
      </c>
    </row>
    <row r="12" ht="82.05" customHeight="1" s="25">
      <c r="A12" s="37" t="inlineStr">
        <is>
          <t>carlos</t>
        </is>
      </c>
      <c r="B12" s="38" t="inlineStr">
        <is>
          <t>Carlos Bolsonaro</t>
        </is>
      </c>
      <c r="C12" s="37" t="inlineStr">
        <is>
          <t>Flávio e família</t>
        </is>
      </c>
      <c r="D12" s="37" t="inlineStr">
        <is>
          <t>Nascido em 07/12/1982, Resende (RJ). Foi vereador do Rio desde 2000 e renunciou em dez/2025. Eleito senador por Santa Catarina em 2026 pelo PL, com 2.041.840 votos (dados do TSE reproduzidos pelo HubPolítico). Citado no relatório da PF de 2022 sobre o "gabinete do ódio"; teve sigilo bancário quebrado (2021) em apuração de rachadinha; alvo de busca em jan/2024 na investigação da Abin paralela. Sócio da Bravo Grafeno.</t>
        </is>
      </c>
      <c r="E12" s="37" t="inlineStr">
        <is>
          <t>Santa Catarina (SC), senador eleito; antes, vereador no Rio (RJ)</t>
        </is>
      </c>
      <c r="F12" s="37" t="inlineStr">
        <is>
          <t>Vivo</t>
        </is>
      </c>
      <c r="G12" s="37" t="inlineStr">
        <is>
          <t>Sem condenação nas fontes que li. Depoimento de porteiro que o ligava ao caso Marielle foi retratado, sem acusação formal a ele.</t>
        </is>
      </c>
      <c r="H12" s="41" t="inlineStr">
        <is>
          <t>Investigado / alvo (sem denúncia)</t>
        </is>
      </c>
      <c r="I12" s="37" t="inlineStr">
        <is>
          <t>Sem acusação de milícia.</t>
        </is>
      </c>
      <c r="J12" s="37" t="inlineStr">
        <is>
          <t>Eleição baseada em página que reproduz dados do TSE; não achei a matéria de apuração.</t>
        </is>
      </c>
      <c r="K12" s="37" t="inlineStr">
        <is>
          <t>Wikipedia https://pt.wikipedia.org/wiki/Carlos_Bolsonaro | HubPolítico https://hubpolitico.com.br/perfil/carlosbolsonaro2/informacoes | Condecorações a 16 policiais denunciados (noticias.uol.com.br) https://noticias.uol.com.br/colunas/juliana-dal-piva/2022/09/23/cla-bolsonaro-condecorou-16-pms-denunciados-em-organizacoes-criminosas.htm?cmpid=copiaecola</t>
        </is>
      </c>
      <c r="L12" s="37" t="inlineStr">
        <is>
          <t>20/10/2026</t>
        </is>
      </c>
      <c r="M12" s="37" t="inlineStr">
        <is>
          <t>Eleito senador por SC; deixou a Câmara de Vereadores. 21/10/2026: importado do acervo a verdade. (bolsomaster.site).</t>
        </is>
      </c>
      <c r="N12" s="24" t="inlineStr">
        <is>
          <t>carlos.jpg</t>
        </is>
      </c>
      <c r="O12" s="24" t="inlineStr">
        <is>
          <t>Wikimedia Commons · CC BY 2.0</t>
        </is>
      </c>
      <c r="P12" s="24" t="inlineStr">
        <is>
          <t>https://commons.wikimedia.org/wiki/File:Carlos_Bolsonaro_durante_Encontro_Brasil-Rússia_em_2022.jpg</t>
        </is>
      </c>
    </row>
    <row r="13" ht="122.35" customHeight="1" s="25">
      <c r="A13" s="37" t="inlineStr">
        <is>
          <t>jair</t>
        </is>
      </c>
      <c r="B13" s="38" t="inlineStr">
        <is>
          <t>Jair Messias Bolsonaro</t>
        </is>
      </c>
      <c r="C13" s="37" t="inlineStr">
        <is>
          <t>Flávio e família</t>
        </is>
      </c>
      <c r="D13" s="37" t="inlineStr">
        <is>
          <t>Nascido em 21/03/1955 (Glicério/Campinas, SP). Ex-capitão do Exército, deputado federal por quase 30 anos e presidente (2019–2022). Inelegível por 8 anos (TSE, jun/2023). Condenado pelo STF por tentativa de golpe: 27 anos e 3 meses. Também investigado no caso das joias.</t>
        </is>
      </c>
      <c r="E13" s="37" t="inlineStr">
        <is>
          <t>Brasília (DF) – em prisão domiciliar humanitária (endereço não informado)</t>
        </is>
      </c>
      <c r="F13" s="37" t="inlineStr">
        <is>
          <t>Vivo</t>
        </is>
      </c>
      <c r="G13" s="37" t="inlineStr">
        <is>
          <t>Preso desde nov/2025; em mar/2026 passou à domiciliar humanitária após broncopneumonia; Moraes decidiu mantê-la em jul/2026. Em 12/10/2026 ainda cumpre em casa, depois de uma cirurgia e da recuperação de pneumonia bacteriana. Está proibido de usar redes sociais, inclusive por terceiros. Moraes liberou as visitas de Flávio (sem fins eleitorais), suspensas desde julho por uma carta publicada em apoio à candidatura. Uma domiciliar anterior caiu depois de ele danificar a tornozeleira.</t>
        </is>
      </c>
      <c r="H13" s="43" t="inlineStr">
        <is>
          <t>Condenado</t>
        </is>
      </c>
      <c r="I13" s="37" t="inlineStr">
        <is>
          <t>Sem acusação de milícia.</t>
        </is>
      </c>
      <c r="J13" s="37" t="inlineStr">
        <is>
          <t>Planilha diz "hoje preso": desde mar/2026 cumpre em casa (domiciliar humanitária).</t>
        </is>
      </c>
      <c r="K13" s="37" t="inlineStr">
        <is>
          <t>Tribuna do Sertão 03/07/2026 https://tribunadosertao.com.br/poder-e-governo/2026/07/03/933954-moraes-prorroga-prisao-domiciliar-de-bolsonaro | Congresso em Foco https://www.congressoemfoco.com.br/noticia/119918/defesa-de-bolsonaro-pede-ao-stf-prorrogacao-da-prisao-domiciliar | JB 12/10/2026 https://www.jb.com.br/brasil/justica/2026/10/1061206-moraes-autoriza-flavio-bolsonaro-a-visitar-jair-bolsonaro-em-prisao-domiciliar.html | Agência Brasil jul/2026 https://agenciabrasil.ebc.com.br/justica/noticia/2026-07/alexandre-de-moraes-decide-manter-bolsonaro-em-prisao-domiciliar | O áudio de Bolsonaro e Ramagem sobre Flávio (valor.globo.com) https://valor.globo.com/politica/noticia/2024/07/11/audio-mostra-bolsonaro-e-ramagem-discutindo-como-blindar-flavio-no-caso-das-rachadinhas-segundo-pf.ghtml | A fala de Bolsonaro na reunião ministerial (g1.globo.com) https://g1.globo.com/politica/noticia/2020/05/22/em-reuniao-ministerial-bolsonaro-diz-eu-nao-vou-esperar-foder-a-minha-familia-toda-assista.ghtml</t>
        </is>
      </c>
      <c r="L13" s="37" t="inlineStr">
        <is>
          <t>20/10/2026</t>
        </is>
      </c>
      <c r="M13" s="37" t="inlineStr">
        <is>
          <t>Domiciliar confirmada em 12/10/2026; motivo e visitas de Flávio. 21/10/2026: importado do acervo a verdade. (bolsomaster.site).</t>
        </is>
      </c>
      <c r="N13" s="24" t="inlineStr">
        <is>
          <t>jair.jpg</t>
        </is>
      </c>
      <c r="O13" s="24" t="inlineStr">
        <is>
          <t>Wikimedia Commons · CC BY 2.0</t>
        </is>
      </c>
      <c r="P13" s="24" t="inlineStr">
        <is>
          <t>https://commons.wikimedia.org/wiki/File:Jair_Bolsonaro_2019_Portrait_(3x4_cropped_center).jpg</t>
        </is>
      </c>
    </row>
    <row r="14" ht="95.5" customHeight="1" s="25">
      <c r="A14" s="37" t="inlineStr">
        <is>
          <t>wassef</t>
        </is>
      </c>
      <c r="B14" s="38" t="inlineStr">
        <is>
          <t>Frederick Wassef</t>
        </is>
      </c>
      <c r="C14" s="37" t="inlineStr">
        <is>
          <t>Flávio e família</t>
        </is>
      </c>
      <c r="D14" s="37" t="inlineStr">
        <is>
          <t>Nascido em 1965, São Paulo. Advogado criminalista, amigo da família Bolsonaro desde ~2014. Queiroz foi preso em 18/06/2020 numa casa em Atibaia ligada a ele. Alvo de busca em ago/2023 no caso das joias (recompra de um Rolex). A PF o indiciou; em 04/03/2026 a PGR recomendou arquivar o inquérito, e Moraes mandou a PGR analisar o relatório final da PF. Em 30/06/2026 Moraes mandou abrir apuração sigilosa separada a partir de "eventos fortuitos" no celular dele (PGR com 15 dias para opinar). Nega e diz que a busca foi nula.</t>
        </is>
      </c>
      <c r="E14" s="37" t="inlineStr">
        <is>
          <t>São Paulo (SP) – não confirmei domicílio atual</t>
        </is>
      </c>
      <c r="F14" s="37" t="inlineStr">
        <is>
          <t>Vivo</t>
        </is>
      </c>
      <c r="G14" s="37" t="inlineStr">
        <is>
          <t>Indiciado pela PF no inquérito das joias e alvo formal de nova apuração sigilosa. Sem denúncia nem condenação noticiada.</t>
        </is>
      </c>
      <c r="H14" s="41" t="inlineStr">
        <is>
          <t>Investigado / alvo (sem denúncia)</t>
        </is>
      </c>
      <c r="I14" s="37" t="inlineStr">
        <is>
          <t>Nada nas fontes. Um site cita um advogado que conecta Wassef ao defensor de Queiroz e de Adriano (não verifiquei).</t>
        </is>
      </c>
      <c r="J14" s="37" t="inlineStr">
        <is>
          <t>Não confirmei a resposta da PGR após julho.</t>
        </is>
      </c>
      <c r="K14" s="37" t="inlineStr">
        <is>
          <t>CartaCapital 19/03/2026 https://www.cartacapital.com.br/justica/moraes-manda-pgr-analisar-dados-de-wassef-no-caso-das-joias-de-bolsonaro/ | NC News 04/07/2026 https://ncnews.com.br/2026/07/04/moraes-manda-abrir-nova-apuracao-sigilosa-sobre-celular-de-wassef/ | Wikipedia en https://en.wikipedia.org/wiki/Frederick_Wassef</t>
        </is>
      </c>
      <c r="L14" s="37" t="inlineStr">
        <is>
          <t>20/10/2026</t>
        </is>
      </c>
      <c r="M14" s="37" t="inlineStr">
        <is>
          <t>Indiciamento confirmado e nova apuração sigilosa (30/06/2026).</t>
        </is>
      </c>
      <c r="N14" s="24" t="inlineStr">
        <is>
          <t>wassef.jpg</t>
        </is>
      </c>
      <c r="O14" s="24" t="inlineStr">
        <is>
          <t>Agência Senado · CC BY 2.0</t>
        </is>
      </c>
      <c r="P14" s="24" t="inlineStr">
        <is>
          <t>https://commons.wikimedia.org/wiki/File:Frederick_Wassef_(cropped).jpg</t>
        </is>
      </c>
    </row>
    <row r="15" ht="135.8" customHeight="1" s="25">
      <c r="A15" s="37" t="inlineStr">
        <is>
          <t>queiroz</t>
        </is>
      </c>
      <c r="B15" s="38" t="inlineStr">
        <is>
          <t>Fabrício José Carlos de Queiroz</t>
        </is>
      </c>
      <c r="C15" s="37" t="inlineStr">
        <is>
          <t>Flávio e família</t>
        </is>
      </c>
      <c r="D15" s="37" t="inlineStr">
        <is>
          <t>Ex-subtenente da PM do Rio, ex-assessor de Flávio na Alerj, apontado como operador da rachadinha (relatório do Coaf de 2018: R$ 1,2 mi movimentados). Preso em 18/06/2020 em Atibaia; domiciliar em jul/2020 (tratava câncer); em mar/2021 o STJ revogou a ordem de prisão por excesso de prazo e ele foi solto. A investigação foi anulada (STJ/STF, 2021) e o caso arquivado em 2022. Em 2022 teve ~6,7 mil votos para deputado estadual (não eleito); em 2024, 588 votos para vereador de Saquarema (suplente). Em mar/2026 era subsecretário de Segurança Pública e Ordem Pública de Saquarema e dizia só disputar 2026 com apoio da família Bolsonaro; não há registro de candidatura formalizada em 2026. Em set/2026 se reuniu com Flávio em Brasília.</t>
        </is>
      </c>
      <c r="E15" s="37" t="inlineStr">
        <is>
          <t>Saquarema (RJ)</t>
        </is>
      </c>
      <c r="F15" s="37" t="inlineStr">
        <is>
          <t>Vivo (ativo em set/2026)</t>
        </is>
      </c>
      <c r="G15" s="37" t="inlineStr">
        <is>
          <t>Sem condenação. Hoje sem processo ativo nas fontes que li.</t>
        </is>
      </c>
      <c r="H15" s="40" t="inlineStr">
        <is>
          <t>Citado, sem acusação</t>
        </is>
      </c>
      <c r="I15" s="37" t="inlineStr">
        <is>
          <t>MP-RJ estimou que Adriano da Nóbrega (chefe do Escritório do Crime, miliciano, morto em fev/2020) transferiu mais de R$ 400 mil a contas ligadas a Queiroz. Queiroz o chama de amigo e ex-colega da PM. Nas fontes ele não é acusado de integrar milícia.</t>
        </is>
      </c>
      <c r="J15" s="37" t="inlineStr">
        <is>
          <t>Planilha diz "19 meses sem depor": não consegui verificar. Candidatura em 2026: sem registro de que tenha sido formalizada (conforme a usuária; em mar/2026 ele só cogitava).</t>
        </is>
      </c>
      <c r="K15" s="37" t="inlineStr">
        <is>
          <t>Bahia Notícias https://www.bahianoticias.com.br/noticia/249931-miliciano-adriano-da-nobrega-transferiu-r-400-mil-para-fabricio-queiroz | Mais Goiás https://www.maisgoias.com.br/brasil/gilmar-mendes-da-aval-para-soltar-queiroz-apos-stj-revogar-prisao-domiciliar/ | Portal de Prefeitura https://portaldeprefeitura.com.br/bastidores-da-politica/flavio-bolsonaro-pede-votos-para-fabricio-queiroz-pivo-em-suposto/579564/ | Metrópoles 24/03/2026 https://www.metropoles.com/colunas/igor-gadelha/a-condicao-de-queiroz-para-ser-candidato-em-2026 | JB set/2026 https://www.jb.com.br/brasil/politica/2026/09/1060896-flavio-bolsonaro-e-fabricio-queiroz-se-reuniram-em-brasilia-apos-insistencia.html | A acusação de rachadinhas na Alerj (valor.globo.com) https://valor.globo.com/politica/eleicoes-2026/noticia/2026/09/01/flavio-bolsonaro-relembre-o-processo-da-rachadinha.ghtml | A acusação de rachadinhas na Alerj (folhadelondrina.com.br) https://www.folhadelondrina.com.br/ultimas-noticias/entenda-quais-provas-da-rachadinha-contra-flavio-bolsonaro-ainda-valem-3131387e.html | Familiares de Adriano da Nóbrega no gabinete (oglobo.globo.com) https://oglobo.globo.com/politica/flavio-bolsonaro-empregou-mae-mulher-de-chefe-do-escritorio-do-crime-em-seu-gabinete-23391490</t>
        </is>
      </c>
      <c r="L15" s="37" t="inlineStr">
        <is>
          <t>20/10/2026</t>
        </is>
      </c>
      <c r="M15" s="37" t="inlineStr">
        <is>
          <t>Sem candidatura formalizada em 2026 (confirmado pela usuária); cargo público e encontro com Flávio em set/2026. 21/10/2026: importado do acervo a verdade. (bolsomaster.site).</t>
        </is>
      </c>
    </row>
    <row r="16" ht="15" customHeight="1" s="25">
      <c r="A16" s="37" t="inlineStr">
        <is>
          <t>advflavio</t>
        </is>
      </c>
      <c r="B16" s="38" t="inlineStr">
        <is>
          <t>Advogadas de Flávio (2)</t>
        </is>
      </c>
      <c r="C16" s="37" t="inlineStr">
        <is>
          <t>Flávio e família</t>
        </is>
      </c>
      <c r="D16" s="37" t="inlineStr">
        <is>
          <t>Não pesquisei: não são nomeadas na planilha e são pessoas privadas.</t>
        </is>
      </c>
      <c r="E16" s="37" t="inlineStr">
        <is>
          <t>—</t>
        </is>
      </c>
      <c r="F16" s="37" t="inlineStr">
        <is>
          <t>—</t>
        </is>
      </c>
      <c r="G16" s="37" t="inlineStr">
        <is>
          <t>—</t>
        </is>
      </c>
      <c r="H16" s="42" t="inlineStr">
        <is>
          <t>Não pesquisado</t>
        </is>
      </c>
      <c r="I16" s="37" t="inlineStr">
        <is>
          <t>—</t>
        </is>
      </c>
      <c r="J16" s="37" t="inlineStr">
        <is>
          <t>—</t>
        </is>
      </c>
      <c r="K16" s="37" t="inlineStr">
        <is>
          <t>—</t>
        </is>
      </c>
      <c r="L16" s="37" t="inlineStr">
        <is>
          <t>20/10/2026</t>
        </is>
      </c>
      <c r="M16" s="37" t="inlineStr">
        <is>
          <t>—</t>
        </is>
      </c>
    </row>
    <row r="17" ht="135.8" customHeight="1" s="25">
      <c r="A17" s="37" t="inlineStr">
        <is>
          <t>vorcaro</t>
        </is>
      </c>
      <c r="B17" s="38" t="inlineStr">
        <is>
          <t>Daniel Vorcaro</t>
        </is>
      </c>
      <c r="C17" s="37" t="inlineStr">
        <is>
          <t>Vorcaro e o Banco Master</t>
        </is>
      </c>
      <c r="D17" s="37" t="inlineStr">
        <is>
          <t>Nascido em 06/10/1983, Belo Horizonte. Administrador com MBA no Ibmec; comprou o Banco Máxima em 2018 e o renomeou Master em 2021. Banco liquidado em 18/11/2025 (rombo estimado de R$ 41 bi ao FGC). Família ligada à Igreja Batista da Lagoinha.</t>
        </is>
      </c>
      <c r="E17" s="37" t="inlineStr">
        <is>
          <t>Papudinha, Brasília (DF); vinha de Belo Horizonte (MG)</t>
        </is>
      </c>
      <c r="F17" s="37" t="inlineStr">
        <is>
          <t>Vivo</t>
        </is>
      </c>
      <c r="G17" s="37" t="inlineStr">
        <is>
          <t>Preso em 17/11/2025 em Guarulhos; solto em 28/11 pelo TRF; nova prisão decretada pelo STF em 04/03/2026; está na Papudinha desde 25/06/2026, depois que PF e PGR rejeitaram duas propostas de delação dele. Mendonça é o relator (Toffoli saiu em fev/2026). Em set/2026 mensagens do celular dele atingiram ministros e autoridades, e o plenário do STF ia discutir a validade dessas provas em 15/09; não confirmei o resultado. Em 20/10/2026 a PGR defendeu manter as prisões do pai, de um primo e do cunhado. As fontes não mostram condenação nem denúncia formal.</t>
        </is>
      </c>
      <c r="H17" s="39" t="inlineStr">
        <is>
          <t>Preso, sem condenação</t>
        </is>
      </c>
      <c r="I17" s="37" t="inlineStr">
        <is>
          <t>Nada nas fontes.</t>
        </is>
      </c>
      <c r="J17" s="37" t="inlineStr">
        <is>
          <t>—</t>
        </is>
      </c>
      <c r="K17" s="37" t="inlineStr">
        <is>
          <t>Wikipedia en https://en.wikipedia.org/wiki/Daniel_Vorcaro | Times Brasil https://timesbrasil.com.br/brasil/pgr-defende-manutencao-das-prisoes-de-vorcaro-pai-e-investigados-do-caso-master/ | Wikipedia (Banco Master scandal) https://en.wikipedia.org/wiki/Banco_Master_scandal | Mateus Oliver 20/10/2026 https://www.mateusoliverreporter.com.br/2026/10/20/pgr-defende-manutencao-de-prisoes-no-caso-banco-master-e-permanencia-de-fachin-a-frente-de-decisoes-no-stf/ | O acordo de R$ 134 milhões para o filme (intercept.com.br) https://www.intercept.com.br/2026/05/13/audio-flavio-negociou-vorcaro-milhoes/ | Os registros de contato no celular do banqueiro (piaui.uol.com.br) https://piaui.uol.com.br/web/mensagens-celular-flavio-vorcaro/ | A visita após a soltura do banqueiro (metropoles.com) https://www.metropoles.com/colunas/igor-gadelha/flavio-bolsonaro-visitou-vorcaro-em-casa-apos-prisao | A visita na véspera do anúncio da candidatura (metropoles.com) https://www.metropoles.com/colunas/igor-gadelha/flavio-visitou-vorcaro-na-vespera-de-ser-anunciado-presidenciavel | O voo no jato de Vorcaro em janeiro de 2025 (piaui.uol.com.br) https://piaui.uol.com.br/web/flavio-bolsonaro-viajou-em-jato-de-vorcaro/ | A viagem à Flórida e os repasses para o filme (piaui.uol.com.br) https://piaui.uol.com.br/web/feriadao-flavio-vorcaro-florida-dark-horse/ | O aniversário em uma mansão gerida por empresa de Vorcaro (iclnoticias.com.br) https://iclnoticias.com.br/flavio-bolsonaro-aniversario-da-filha-em-mansao/</t>
        </is>
      </c>
      <c r="L17" s="37" t="inlineStr">
        <is>
          <t>20/10/2026</t>
        </is>
      </c>
      <c r="M17" s="37" t="inlineStr">
        <is>
          <t>Preso na Papudinha desde 25/06/2026; delações rejeitadas; situação das provas no STF. 21/10/2026: importado do acervo a verdade. (bolsomaster.site).</t>
        </is>
      </c>
      <c r="N17" s="24" t="inlineStr">
        <is>
          <t>vorcaro.jpg</t>
        </is>
      </c>
      <c r="O17" s="24" t="inlineStr">
        <is>
          <t>Márcio Gustavo Vasconcelos · CC0</t>
        </is>
      </c>
      <c r="P17" s="24" t="inlineStr">
        <is>
          <t>https://commons.wikimedia.org/wiki/File:Daniel_Vorcaro_-_2024_(cropped).jpg</t>
        </is>
      </c>
    </row>
    <row r="18" ht="82.05" customHeight="1" s="25">
      <c r="A18" s="37" t="inlineStr">
        <is>
          <t>zetel</t>
        </is>
      </c>
      <c r="B18" s="38" t="inlineStr">
        <is>
          <t>Fabiano Campos Zettel</t>
        </is>
      </c>
      <c r="C18" s="37" t="inlineStr">
        <is>
          <t>Vorcaro e o Banco Master</t>
        </is>
      </c>
      <c r="D18" s="37" t="inlineStr">
        <is>
          <t>Pastor evangélico, empresário e doador político; lidera a Igreja Batista da Lagoinha (BH); casado com Natália Vorcaro, irmã de Daniel. Para a PF era "operador financeiro" do grupo do Master (contratos usados para justificar transferências, pagamentos ao grupo "A Turma").</t>
        </is>
      </c>
      <c r="E18" s="37" t="inlineStr">
        <is>
          <t>Belo Horizonte (MG) pela igreja; residência não informada</t>
        </is>
      </c>
      <c r="F18" s="37" t="inlineStr">
        <is>
          <t>Vivo (preso; confirmado em 20/10/2026)</t>
        </is>
      </c>
      <c r="G18" s="37" t="inlineStr">
        <is>
          <t>Preso preventivamente em 04/03/2026 (3ª fase da Operação Compliance Zero; ordem de Mendonça). Em 20/10/2026 a PGR se opôs a revogar a prisão dele, do pai e de um primo de Vorcaro, por falta de mudança nas circunstâncias. Manchetes de jan/2026 dizem que já fora detido ao tentar embarcar para Dubai e solto horas depois. Sem condenação.</t>
        </is>
      </c>
      <c r="H18" s="39" t="inlineStr">
        <is>
          <t>Preso, sem condenação</t>
        </is>
      </c>
      <c r="I18" s="37" t="inlineStr">
        <is>
          <t>Nada nas fontes.</t>
        </is>
      </c>
      <c r="J18" s="37" t="inlineStr">
        <is>
          <t>Não achei a venda do apartamento à WT nas fontes que abri.</t>
        </is>
      </c>
      <c r="K18" s="37" t="inlineStr">
        <is>
          <t>Congresso em Foco https://www.congressoemfoco.com.br/noticia/116929/pf-prende-cunhado-de-vorcaro-suspeito-de-operar-esquema-do-master | Mateus Oliver (link na linha do Vorcaro) | Doações de Fabiano Zettel nas eleições de 2022 (cnnbrasil.com.br) https://www.cnnbrasil.com.br/politica/alvo-da-pf-doou-r-5-mi-para-campanhas-de-bolsonaro-e-tarcisio-em-2022/ | O apartamento de Fabiano Zettel e Willer Tomaz (piaui.uol.com.br) https://piaui.uol.com.br/web/flavio-bolsonaro-zettel-tomaz-imovel-vila-nova-conceicao-sao-paulo/</t>
        </is>
      </c>
      <c r="L18" s="37" t="inlineStr">
        <is>
          <t>20/10/2026</t>
        </is>
      </c>
      <c r="M18" s="37" t="inlineStr">
        <is>
          <t>Segue preso em 20/10/2026 (PGR contra soltura). 21/10/2026: importado do acervo a verdade. (bolsomaster.site).</t>
        </is>
      </c>
      <c r="N18" s="24" t="inlineStr">
        <is>
          <t>zetel.jpg</t>
        </is>
      </c>
      <c r="O18" s="24" t="inlineStr">
        <is>
          <t>Wikimedia Commons · CC BY-SA 2.0</t>
        </is>
      </c>
      <c r="P18" s="24" t="inlineStr">
        <is>
          <t>https://commons.wikimedia.org/wiki/File:Fabiano_Zettel.jpg</t>
        </is>
      </c>
    </row>
    <row r="19" ht="28.35" customHeight="1" s="25">
      <c r="A19" s="37" t="inlineStr">
        <is>
          <t>dirjur</t>
        </is>
      </c>
      <c r="B19" s="38" t="inlineStr">
        <is>
          <t>Diretor jurídico do Master</t>
        </is>
      </c>
      <c r="C19" s="37" t="inlineStr">
        <is>
          <t>Vorcaro e o Banco Master</t>
        </is>
      </c>
      <c r="D19" s="37" t="inlineStr">
        <is>
          <t>Não pesquisado: não nomeado na planilha.</t>
        </is>
      </c>
      <c r="E19" s="37" t="inlineStr">
        <is>
          <t>—</t>
        </is>
      </c>
      <c r="F19" s="37" t="inlineStr">
        <is>
          <t>—</t>
        </is>
      </c>
      <c r="G19" s="37" t="inlineStr">
        <is>
          <t>—</t>
        </is>
      </c>
      <c r="H19" s="42" t="inlineStr">
        <is>
          <t>Não pesquisado</t>
        </is>
      </c>
      <c r="I19" s="37" t="inlineStr">
        <is>
          <t>—</t>
        </is>
      </c>
      <c r="J19" s="37" t="inlineStr">
        <is>
          <t>—</t>
        </is>
      </c>
      <c r="K19" s="37" t="inlineStr">
        <is>
          <t>—</t>
        </is>
      </c>
      <c r="L19" s="37" t="inlineStr">
        <is>
          <t>20/10/2026</t>
        </is>
      </c>
      <c r="M19" s="37" t="inlineStr">
        <is>
          <t>—</t>
        </is>
      </c>
    </row>
    <row r="20" ht="28.35" customHeight="1" s="25">
      <c r="A20" s="37" t="inlineStr">
        <is>
          <t>promoter</t>
        </is>
      </c>
      <c r="B20" s="38" t="inlineStr">
        <is>
          <t>Promoter</t>
        </is>
      </c>
      <c r="C20" s="37" t="inlineStr">
        <is>
          <t>Vorcaro e o Banco Master</t>
        </is>
      </c>
      <c r="D20" s="37" t="inlineStr">
        <is>
          <t>Não pesquisado: pessoa privada e não nomeada.</t>
        </is>
      </c>
      <c r="E20" s="37" t="inlineStr">
        <is>
          <t>—</t>
        </is>
      </c>
      <c r="F20" s="37" t="inlineStr">
        <is>
          <t>—</t>
        </is>
      </c>
      <c r="G20" s="37" t="inlineStr">
        <is>
          <t>—</t>
        </is>
      </c>
      <c r="H20" s="42" t="inlineStr">
        <is>
          <t>Não pesquisado</t>
        </is>
      </c>
      <c r="I20" s="37" t="inlineStr">
        <is>
          <t>—</t>
        </is>
      </c>
      <c r="J20" s="37" t="inlineStr">
        <is>
          <t>—</t>
        </is>
      </c>
      <c r="K20" s="37" t="inlineStr">
        <is>
          <t>—</t>
        </is>
      </c>
      <c r="L20" s="37" t="inlineStr">
        <is>
          <t>20/10/2026</t>
        </is>
      </c>
      <c r="M20" s="37" t="inlineStr">
        <is>
          <t>—</t>
        </is>
      </c>
    </row>
    <row r="21" ht="28.35" customHeight="1" s="25">
      <c r="A21" s="37" t="inlineStr">
        <is>
          <t>mordomo</t>
        </is>
      </c>
      <c r="B21" s="38" t="inlineStr">
        <is>
          <t>Mordomo do triplex</t>
        </is>
      </c>
      <c r="C21" s="37" t="inlineStr">
        <is>
          <t>Vorcaro e o Banco Master</t>
        </is>
      </c>
      <c r="D21" s="37" t="inlineStr">
        <is>
          <t>Não pesquisado: pessoa privada e não nomeada.</t>
        </is>
      </c>
      <c r="E21" s="37" t="inlineStr">
        <is>
          <t>—</t>
        </is>
      </c>
      <c r="F21" s="37" t="inlineStr">
        <is>
          <t>—</t>
        </is>
      </c>
      <c r="G21" s="37" t="inlineStr">
        <is>
          <t>—</t>
        </is>
      </c>
      <c r="H21" s="42" t="inlineStr">
        <is>
          <t>Não pesquisado</t>
        </is>
      </c>
      <c r="I21" s="37" t="inlineStr">
        <is>
          <t>—</t>
        </is>
      </c>
      <c r="J21" s="37" t="inlineStr">
        <is>
          <t>—</t>
        </is>
      </c>
      <c r="K21" s="37" t="inlineStr">
        <is>
          <t>—</t>
        </is>
      </c>
      <c r="L21" s="37" t="inlineStr">
        <is>
          <t>20/10/2026</t>
        </is>
      </c>
      <c r="M21" s="37" t="inlineStr">
        <is>
          <t>—</t>
        </is>
      </c>
    </row>
    <row r="22" ht="28.35" customHeight="1" s="25">
      <c r="A22" s="37" t="inlineStr">
        <is>
          <t>mulheres</t>
        </is>
      </c>
      <c r="B22" s="38" t="inlineStr">
        <is>
          <t>Mulheres das festas</t>
        </is>
      </c>
      <c r="C22" s="37" t="inlineStr">
        <is>
          <t>Vorcaro e o Banco Master</t>
        </is>
      </c>
      <c r="D22" s="37" t="inlineStr">
        <is>
          <t>Não pesquisado: pessoas privadas, não nomeadas, incluindo uma de 19 anos. Não faz sentido (nem é seguro) montar perfil.</t>
        </is>
      </c>
      <c r="E22" s="37" t="inlineStr">
        <is>
          <t>—</t>
        </is>
      </c>
      <c r="F22" s="37" t="inlineStr">
        <is>
          <t>—</t>
        </is>
      </c>
      <c r="G22" s="37" t="inlineStr">
        <is>
          <t>—</t>
        </is>
      </c>
      <c r="H22" s="42" t="inlineStr">
        <is>
          <t>Não pesquisado</t>
        </is>
      </c>
      <c r="I22" s="37" t="inlineStr">
        <is>
          <t>—</t>
        </is>
      </c>
      <c r="J22" s="37" t="inlineStr">
        <is>
          <t>—</t>
        </is>
      </c>
      <c r="K22" s="37" t="inlineStr">
        <is>
          <t>—</t>
        </is>
      </c>
      <c r="L22" s="37" t="inlineStr">
        <is>
          <t>20/10/2026</t>
        </is>
      </c>
      <c r="M22" s="37" t="inlineStr">
        <is>
          <t>—</t>
        </is>
      </c>
    </row>
    <row r="23" ht="15" customHeight="1" s="25">
      <c r="A23" s="37" t="inlineStr">
        <is>
          <t>eletricista</t>
        </is>
      </c>
      <c r="B23" s="38" t="inlineStr">
        <is>
          <t>Eletricista</t>
        </is>
      </c>
      <c r="C23" s="37" t="inlineStr">
        <is>
          <t>Flávio e família</t>
        </is>
      </c>
      <c r="D23" s="37" t="inlineStr">
        <is>
          <t>Não pesquisado: pessoa privada e não nomeada.</t>
        </is>
      </c>
      <c r="E23" s="37" t="inlineStr">
        <is>
          <t>—</t>
        </is>
      </c>
      <c r="F23" s="37" t="inlineStr">
        <is>
          <t>—</t>
        </is>
      </c>
      <c r="G23" s="37" t="inlineStr">
        <is>
          <t>—</t>
        </is>
      </c>
      <c r="H23" s="42" t="inlineStr">
        <is>
          <t>Não pesquisado</t>
        </is>
      </c>
      <c r="I23" s="37" t="inlineStr">
        <is>
          <t>—</t>
        </is>
      </c>
      <c r="J23" s="37" t="inlineStr">
        <is>
          <t>—</t>
        </is>
      </c>
      <c r="K23" s="37" t="inlineStr">
        <is>
          <t>—</t>
        </is>
      </c>
      <c r="L23" s="37" t="inlineStr">
        <is>
          <t>20/10/2026</t>
        </is>
      </c>
      <c r="M23" s="37" t="inlineStr">
        <is>
          <t>—</t>
        </is>
      </c>
    </row>
    <row r="24" ht="68.65000000000001" customHeight="1" s="25">
      <c r="A24" s="37" t="inlineStr">
        <is>
          <t>richarlison</t>
        </is>
      </c>
      <c r="B24" s="38" t="inlineStr">
        <is>
          <t>Richarlison</t>
        </is>
      </c>
      <c r="C24" s="37" t="inlineStr">
        <is>
          <t>Casas e ativos</t>
        </is>
      </c>
      <c r="D24" s="37" t="inlineStr">
        <is>
          <t>Jogador de futebol (seleção brasileira). Via a empresa Sport 70 comprou em 2020 a mansão da Ilha Comprida (Angra dos Reis); diz ter investido ~R$ 10 mi. Em maio/2022 houve reintegração de posse em favor de M Locadora/WT. Em maio/2025 o STJ manteve a decisão favorável à WT de Willer Tomaz. Flávio foi arrolado como testemunha (nega envolvimento).</t>
        </is>
      </c>
      <c r="E24" s="37" t="inlineStr">
        <is>
          <t>Atua no futebol; residência não pesquisada</t>
        </is>
      </c>
      <c r="F24" s="37" t="inlineStr">
        <is>
          <t>Vivo</t>
        </is>
      </c>
      <c r="G24" s="37" t="inlineStr">
        <is>
          <t>Parte lesada na disputa civil; não é investigado.</t>
        </is>
      </c>
      <c r="H24" s="40" t="inlineStr">
        <is>
          <t>Citado, sem acusação</t>
        </is>
      </c>
      <c r="I24" s="37" t="inlineStr">
        <is>
          <t>Nada nas fontes.</t>
        </is>
      </c>
      <c r="J24" s="37" t="inlineStr">
        <is>
          <t>Em jun/2026 uma advogada publicou e retirou um vídeo sobre o caso, retratando-se por imprecisões. Acervo a verdade.: o advogado dele na disputa pela casa foi morto em 2024 no Rio. Nada nas fontes liga Flávio ou Willer ao homicídio. O PDF diz que a mansão é gerida por empresa de Vorcaro; o mapa a registra como da WT.</t>
        </is>
      </c>
      <c r="K24" s="37" t="inlineStr">
        <is>
          <t>Poder360 https://www.poder360.com.br/justica/richarlison-briga-na-justica-com-amigo-de-flavio-bolsonaro/ | Congresso em Foco https://www.congressoemfoco.com.br/noticia/120171/disputa-por-mansao-de-r-10-mi-envolve-richarlison-e-flavio-bolsonaro | A disputa pelo imóvel comprado por Richarlison (iclnoticias.com.br) https://iclnoticias.com.br/advogado-defendia-amigo-de-flavio-bolsonaro/ | A disputa pelo imóvel comprado por Richarlison (iclnoticias.com.br) https://iclnoticias.com.br/pf-e-acionada-flavio-bolsonaro-richarlisson/ | A transferência do imóvel disputado em Angra (iclnoticias.com.br) https://iclnoticias.com.br/governo-bolsonaro-imovel-richarlison/</t>
        </is>
      </c>
      <c r="L24" s="37" t="inlineStr">
        <is>
          <t>20/10/2026</t>
        </is>
      </c>
      <c r="M24" s="37" t="inlineStr">
        <is>
          <t>21/10/2026: importado do acervo a verdade. (bolsomaster.site).</t>
        </is>
      </c>
      <c r="N24" s="24" t="inlineStr">
        <is>
          <t>richarlison.jpg</t>
        </is>
      </c>
      <c r="O24" s="24" t="inlineStr">
        <is>
          <t>ALES · CC BY 2.0</t>
        </is>
      </c>
      <c r="P24" s="24" t="inlineStr">
        <is>
          <t>https://commons.wikimedia.org/wiki/File:Richarlison_é_homenageado_na_ALES_(10.July.2019)_12_(cropped2).jpg</t>
        </is>
      </c>
    </row>
    <row r="25" ht="41.75" customHeight="1" s="25">
      <c r="A25" s="37" t="inlineStr">
        <is>
          <t>dono</t>
        </is>
      </c>
      <c r="B25" s="38" t="inlineStr">
        <is>
          <t>Antônio Marcos da Silva</t>
        </is>
      </c>
      <c r="C25" s="37" t="inlineStr">
        <is>
          <t>Casas e ativos</t>
        </is>
      </c>
      <c r="D25" s="37" t="inlineStr">
        <is>
          <t>Não consegui confirmar o nome nem o papel em fonte pública. As matérias que abri chamam o ex-possuidor apenas de "o então possuidor" e não dizem que ele ouviu Flávio chamar Willer de sócio. Pessoa privada; não aprofundei.</t>
        </is>
      </c>
      <c r="E25" s="37" t="inlineStr">
        <is>
          <t>—</t>
        </is>
      </c>
      <c r="F25" s="37" t="inlineStr">
        <is>
          <t>—</t>
        </is>
      </c>
      <c r="G25" s="37" t="inlineStr">
        <is>
          <t>—</t>
        </is>
      </c>
      <c r="H25" s="42" t="inlineStr">
        <is>
          <t>Não pesquisado</t>
        </is>
      </c>
      <c r="I25" s="37" t="inlineStr">
        <is>
          <t>—</t>
        </is>
      </c>
      <c r="J25" s="37" t="inlineStr">
        <is>
          <t>Afirmação da planilha não confirmada nas minhas fontes. Vale conferir a origem (vídeo do canal Revelando).</t>
        </is>
      </c>
      <c r="K25" s="37" t="inlineStr">
        <is>
          <t>—</t>
        </is>
      </c>
      <c r="L25" s="37" t="inlineStr">
        <is>
          <t>20/10/2026</t>
        </is>
      </c>
      <c r="M25" s="37" t="inlineStr">
        <is>
          <t>—</t>
        </is>
      </c>
    </row>
    <row r="26" ht="82.05" customHeight="1" s="25">
      <c r="A26" s="37" t="inlineStr">
        <is>
          <t>nunes</t>
        </is>
      </c>
      <c r="B26" s="38" t="inlineStr">
        <is>
          <t>Kássio Nunes Marques</t>
        </is>
      </c>
      <c r="C26" s="37" t="inlineStr">
        <is>
          <t>Poder e Justiça</t>
        </is>
      </c>
      <c r="D26" s="37" t="inlineStr">
        <is>
          <t>Ministro do STF, indicado por Jair Bolsonaro em 2020; eleito presidente do TSE em 14/04/2026 para mandato de 2 anos (vice: André Mendonça). PF/Coaf: a Consult Inteligência Tributária recebeu R$ 6,6 mi do Master (ago/2024–jul/2025), valor incompatível com o faturamento declarado; suspeita de triangulação até o filho. Em sessão do STF ele negou ter votado processos do Master e negou que o filho tenha recebido valores. Deputados pediram investigação.</t>
        </is>
      </c>
      <c r="E26" s="37" t="inlineStr">
        <is>
          <t>Brasília (DF)</t>
        </is>
      </c>
      <c r="F26" s="37" t="inlineStr">
        <is>
          <t>Vivo</t>
        </is>
      </c>
      <c r="G26" s="37" t="inlineStr">
        <is>
          <t>Não há processo contra ele nas fontes que li.</t>
        </is>
      </c>
      <c r="H26" s="40" t="inlineStr">
        <is>
          <t>Citado, sem acusação</t>
        </is>
      </c>
      <c r="I26" s="37" t="inlineStr">
        <is>
          <t>Nada nas fontes.</t>
        </is>
      </c>
      <c r="J26" s="37" t="inlineStr">
        <is>
          <t>Acervo a verdade.: o PDF original diz que ele “recebeu R$ 427 mi”. A CNN fala em contrato de advocacia de até R$ 427 mi, condicionado a êxito, o que não comprova recebimento pessoal. Ele nega.</t>
        </is>
      </c>
      <c r="K26" s="37" t="inlineStr">
        <is>
          <t>Gazeta do Povo https://www.gazetadopovo.com.br/republica/filho-nunes-marques-teria-recebido-500-mil-master-aponta-pf/ | Times Brasil https://timesbrasil.com.br/brasil/deputados-pedem-investigacao-sobre-nunes-marques-e-master/ | Agência Brasil https://agenciabrasil.ebc.com.br/justica/noticia/2026-04/nunes-marques-e-eleito-presidente-do-tse | O voto de Nunes Marques no caso Alcídia (noticias.uol.com.br) https://noticias.uol.com.br/colunas/a-hora/2026/10/04/kassio-se-declarou-impedido-voltou-atras-e-deu-ganho-bilionario-ao-master.htm | Decisão sobre usinas e mensagens sobre o filho do ministro (noticias.uol.com.br) https://noticias.uol.com.br/colunas/natalia-portinari/2026/09/29/kassio-via-boi-na-linha-em-caso-de-usinas-segundo-mensagens-de-vorcaro.htm?utm_source=chatgpt.com | Contrato de R$ 427 milhões e suspeitas de benefícios (cnnbrasil.com.br) https://www.cnnbrasil.com.br/politica/turma-do-kn-negociou-contrato-de-r-427-mi-com-master-apontam-mensagens/ | Contrato de R$ 427 milhões e suspeitas de benefícios (cnnbrasil.com.br) https://www.cnnbrasil.com.br/politica/dialogos-de-vorcaro-citam-suposta-mesada-de-r-500-mil-para-filho-de-nunes/ | Contrato de R$ 427 milhões e suspeitas de benefícios (almapreta.com.br) https://almapreta.com.br/sessao/politica/apartamento-nunes-marques-prostituta-fabiano-zettel-cunhado-vorcaro/ | Relatos do ex-sócio sobre festas, relógio e lobby (brasildefato.com.br) https://www.brasildefato.com.br/2026/09/29/ex-socio-de-flavio-bolsonaro-cita-festas-com-garotas-de-programa-rolex-de-r-305-mil-e-lobby-com-nunes-marques-diz-site/#google_vignette</t>
        </is>
      </c>
      <c r="L26" s="37" t="inlineStr">
        <is>
          <t>20/10/2026</t>
        </is>
      </c>
      <c r="M26" s="37" t="inlineStr">
        <is>
          <t>Presidente do TSE confirmado (eleito em 14/04/2026). 21/10/2026: importado do acervo a verdade. (bolsomaster.site).</t>
        </is>
      </c>
      <c r="N26" s="24" t="inlineStr">
        <is>
          <t>nunes.jpg</t>
        </is>
      </c>
      <c r="O26" s="24" t="inlineStr">
        <is>
          <t>Secom/TSE · domínio público</t>
        </is>
      </c>
      <c r="P26" s="24" t="inlineStr">
        <is>
          <t>https://commons.wikimedia.org/wiki/File:Nunes_Marques,_February_2025_(cropped).jpg</t>
        </is>
      </c>
    </row>
    <row r="27" ht="55.2" customHeight="1" s="25">
      <c r="A27" s="37" t="inlineStr">
        <is>
          <t>kevin</t>
        </is>
      </c>
      <c r="B27" s="38" t="inlineStr">
        <is>
          <t>Kevin Marques</t>
        </is>
      </c>
      <c r="C27" s="37" t="inlineStr">
        <is>
          <t>Poder e Justiça</t>
        </is>
      </c>
      <c r="D27" s="37" t="inlineStr">
        <is>
          <t>Advogado, filho de Nunes Marques. Mensagens do celular de Vorcaro sugerem pagamento mensal de R$ 500 mil (planilha enviada por Luiz Rennó em out/2024; reaviso em jul/2025). Ele nega ter prestado serviço ao Master; a defesa diz que recebeu R$ 281,6 mil da Consult por advocacia tributária.</t>
        </is>
      </c>
      <c r="E27" s="37" t="inlineStr">
        <is>
          <t>Não informado</t>
        </is>
      </c>
      <c r="F27" s="37" t="inlineStr">
        <is>
          <t>Vivo</t>
        </is>
      </c>
      <c r="G27" s="37" t="inlineStr">
        <is>
          <t>As fontes não mostram indiciamento nem denúncia.</t>
        </is>
      </c>
      <c r="H27" s="40" t="inlineStr">
        <is>
          <t>Citado, sem acusação</t>
        </is>
      </c>
      <c r="I27" s="37" t="inlineStr">
        <is>
          <t>Nada nas fontes.</t>
        </is>
      </c>
      <c r="J27" s="37" t="inlineStr">
        <is>
          <t>Planilha diz "~R$ 300 mil": as fontes trazem R$ 500 mil/mês (suspeita da PF) e R$ 281,6 mil (versão da defesa).</t>
        </is>
      </c>
      <c r="K27" s="37" t="inlineStr">
        <is>
          <t>Gazeta do Povo (link acima) | Decisão sobre usinas e mensagens sobre o filho do ministro (noticias.uol.com.br) https://noticias.uol.com.br/colunas/natalia-portinari/2026/09/29/kassio-via-boi-na-linha-em-caso-de-usinas-segundo-mensagens-de-vorcaro.htm?utm_source=chatgpt.com | Contrato de R$ 427 milhões e suspeitas de benefícios (cnnbrasil.com.br) https://www.cnnbrasil.com.br/politica/turma-do-kn-negociou-contrato-de-r-427-mi-com-master-apontam-mensagens/ | Contrato de R$ 427 milhões e suspeitas de benefícios (cnnbrasil.com.br) https://www.cnnbrasil.com.br/politica/dialogos-de-vorcaro-citam-suposta-mesada-de-r-500-mil-para-filho-de-nunes/ | Contrato de R$ 427 milhões e suspeitas de benefícios (almapreta.com.br) https://almapreta.com.br/sessao/politica/apartamento-nunes-marques-prostituta-fabiano-zettel-cunhado-vorcaro/</t>
        </is>
      </c>
      <c r="L27" s="37" t="inlineStr">
        <is>
          <t>20/10/2026</t>
        </is>
      </c>
      <c r="M27" s="37" t="inlineStr">
        <is>
          <t>21/10/2026: importado do acervo a verdade. (bolsomaster.site).</t>
        </is>
      </c>
    </row>
    <row r="28" ht="82.05" customHeight="1" s="25">
      <c r="A28" s="37" t="inlineStr">
        <is>
          <t>ramagem</t>
        </is>
      </c>
      <c r="B28" s="38" t="inlineStr">
        <is>
          <t>Alexandre Ramagem</t>
        </is>
      </c>
      <c r="C28" s="37" t="inlineStr">
        <is>
          <t>Poder e Justiça</t>
        </is>
      </c>
      <c r="D28" s="37" t="inlineStr">
        <is>
          <t>Nascido em 08/05/1972, Rio de Janeiro. Delegado da PF, diretor-geral da Abin (2019–2022), deputado federal pelo PL (mandato terminou em dez/2025 após a condenação). Condenado pela 1ª Turma do STF em 11/09/2025 (4 a 1) a 16 anos, 1 mês e 15 dias por tentativa de golpe, organização criminosa armada e outros crimes. Prisão preventiva decretada em 21/11/2025. Fugiu via Roraima/Guiana e chegou aos EUA em 11/09/2025.</t>
        </is>
      </c>
      <c r="E28" s="37" t="inlineStr">
        <is>
          <t>Estados Unidos (Flórida); em 05/07/2026 estava em Nova Jersey para um jogo do Brasil. Paradeiro atual não informado</t>
        </is>
      </c>
      <c r="F28" s="37" t="inlineStr">
        <is>
          <t>Vivo</t>
        </is>
      </c>
      <c r="G28" s="37" t="inlineStr">
        <is>
          <t>Foragido da Justiça brasileira. Em 13/04/2026 foi preso pelo ICE em Orlando e solto dois dias depois, sem fiança; o pedido de asilo aguarda análise. Em 05/07/2026 disse à CNN que a extradição "não vai acontecer" e ligou seu retorno ao Brasil às eleições com Flávio candidato. A CNN afirma que um processo de extradição pedido pelo Brasil tramita em paralelo.</t>
        </is>
      </c>
      <c r="H28" s="43" t="inlineStr">
        <is>
          <t>Condenado</t>
        </is>
      </c>
      <c r="I28" s="37" t="inlineStr">
        <is>
          <t>Nada nas fontes.</t>
        </is>
      </c>
      <c r="J28" s="37" t="inlineStr">
        <is>
          <t>Divergência entre fontes resolvida: a CNN (jul/2026) confirma processo de extradição; a Pública (29/09) apenas não menciona.</t>
        </is>
      </c>
      <c r="K28" s="37" t="inlineStr">
        <is>
          <t>Agência Pública 29/09/2026 https://apublica.org/2026/09/familia-de-condenado-por-garimpo-na-terra-yanomami-bancou-vida-de-ramagem-nos-eua/ | Wikipedia en https://en.wikipedia.org/wiki/Alexandre_Ramagem | CNN Brasil 05/07/2026 https://www.cnnbrasil.com.br/politica/nos-eua-ramagem-diz-que-extradicao-nao-acontecera-e-cita-volta-ao-brasil/ | O áudio de Bolsonaro e Ramagem sobre Flávio (valor.globo.com) https://valor.globo.com/politica/noticia/2024/07/11/audio-mostra-bolsonaro-e-ramagem-discutindo-como-blindar-flavio-no-caso-das-rachadinhas-segundo-pf.ghtml</t>
        </is>
      </c>
      <c r="L28" s="37" t="inlineStr">
        <is>
          <t>20/10/2026</t>
        </is>
      </c>
      <c r="M28" s="37" t="inlineStr">
        <is>
          <t>Entrevista de 05/07/2026; asilo pendente; processo de extradição em paralelo. 21/10/2026: importado do acervo a verdade. (bolsomaster.site).</t>
        </is>
      </c>
      <c r="N28" s="24" t="inlineStr">
        <is>
          <t>ramagem.jpg</t>
        </is>
      </c>
      <c r="O28" s="24" t="inlineStr">
        <is>
          <t>Câmara dos Deputados · CC BY 3.0</t>
        </is>
      </c>
      <c r="P28" s="24" t="inlineStr">
        <is>
          <t>https://commons.wikimedia.org/wiki/File:Delegado_Ramagem_(PL_-_RJ)_(cropped).jpg</t>
        </is>
      </c>
    </row>
    <row r="29" ht="82.05" customHeight="1" s="25">
      <c r="A29" s="37" t="inlineStr">
        <is>
          <t>heleno</t>
        </is>
      </c>
      <c r="B29" s="38" t="inlineStr">
        <is>
          <t>Augusto Heleno</t>
        </is>
      </c>
      <c r="C29" s="37" t="inlineStr">
        <is>
          <t>Poder e Justiça</t>
        </is>
      </c>
      <c r="D29" s="37" t="inlineStr">
        <is>
          <t>General do Exército, ex-ministro-chefe do GSI de Bolsonaro, 78 anos. Condenado a 21 anos em regime fechado (organização criminosa armada e tentativa de golpe). Em 22/12/2025 Moraes concedeu prisão domiciliar humanitária: perícia da PF apontou demência mista (Alzheimer e vascular), em estágio inicial mas de rápida progressão.</t>
        </is>
      </c>
      <c r="E29" s="37" t="inlineStr">
        <is>
          <t>Brasília (DF) para atendimento médico; cidade da domiciliar não confirmada</t>
        </is>
      </c>
      <c r="F29" s="37" t="inlineStr">
        <is>
          <t>Vivo (confirmado em 16/10/2026)</t>
        </is>
      </c>
      <c r="G29" s="37" t="inlineStr">
        <is>
          <t>Condenado a 21 anos; em domiciliar humanitária desde 22/12/2025. Em 14–16/10/2026 Moraes autorizou visitas médicas diárias, uma saída em 22/10 para o Hospital das Forças Armadas e internação urgente sem nova decisão. A perícia da PF aponta demência mista (Alzheimer e vascular), "progressiva e irreversível", além de osteoartrose avançada e risco de queda.</t>
        </is>
      </c>
      <c r="H29" s="43" t="inlineStr">
        <is>
          <t>Condenado</t>
        </is>
      </c>
      <c r="I29" s="37" t="inlineStr">
        <is>
          <t>Nada nas fontes.</t>
        </is>
      </c>
      <c r="J29" s="37" t="inlineStr">
        <is>
          <t>—</t>
        </is>
      </c>
      <c r="K29" s="37" t="inlineStr">
        <is>
          <t>Conjur 22/12/2025 https://www.conjur.com.br/2025-dez-22/alexandre-de-moraes-concede-prisao-domiciliar-humanitaria-a-augusto-heleno//?print=1 | Tribuna do Sertão 16/10/2026 https://www.tribunadosertao.com.br/poder-e-governo/2026/10/16/998671-moraes-autoriza-que-heleno-deixe-prisao-domiciliar-para-atendimento-medico-em-brasilia</t>
        </is>
      </c>
      <c r="L29" s="37" t="inlineStr">
        <is>
          <t>20/10/2026</t>
        </is>
      </c>
      <c r="M29" s="37" t="inlineStr">
        <is>
          <t>Saúde e autorizações de Moraes em 14–16/10/2026.</t>
        </is>
      </c>
      <c r="N29" s="24" t="inlineStr">
        <is>
          <t>heleno.jpg</t>
        </is>
      </c>
      <c r="O29" s="24" t="inlineStr">
        <is>
          <t>Câmara dos Deputados · CC BY 3.0</t>
        </is>
      </c>
      <c r="P29" s="24" t="inlineStr">
        <is>
          <t>https://commons.wikimedia.org/wiki/File:Augusto_Heleno_(cropped).jpg</t>
        </is>
      </c>
    </row>
    <row r="30" ht="82.05" customHeight="1" s="25">
      <c r="A30" s="37" t="inlineStr">
        <is>
          <t>moro</t>
        </is>
      </c>
      <c r="B30" s="38" t="inlineStr">
        <is>
          <t>Sérgio Fernando Moro</t>
        </is>
      </c>
      <c r="C30" s="37" t="inlineStr">
        <is>
          <t>Poder e Justiça</t>
        </is>
      </c>
      <c r="D30" s="37" t="inlineStr">
        <is>
          <t>Nascido em 01/08/1972, Maringá (PR). Juiz federal por mais de 20 anos (Lava Jato, 13ª Vara de Curitiba); condenou Lula em 2017. Em 2021 o STF reconheceu sua suspeição naquele caso. Ministro da Justiça de Bolsonaro (jan/2019–abr/2020) e senador pelo PR desde 2023. Deixou o Senado para disputar o governo do Paraná pelo PL e foi eleito governador no 1º turno em 04/10/2026.</t>
        </is>
      </c>
      <c r="E30" s="37" t="inlineStr">
        <is>
          <t>Curitiba/Paraná (PR), governador eleito</t>
        </is>
      </c>
      <c r="F30" s="37" t="inlineStr">
        <is>
          <t>Vivo</t>
        </is>
      </c>
      <c r="G30" s="37" t="inlineStr">
        <is>
          <t>Sem condenação criminal nas fontes que li.</t>
        </is>
      </c>
      <c r="H30" s="40" t="inlineStr">
        <is>
          <t>Citado, sem acusação</t>
        </is>
      </c>
      <c r="I30" s="37" t="inlineStr">
        <is>
          <t>Nada nas fontes.</t>
        </is>
      </c>
      <c r="J30" s="37" t="inlineStr">
        <is>
          <t>—</t>
        </is>
      </c>
      <c r="K30" s="37" t="inlineStr">
        <is>
          <t>NSC Total https://www.nsctotal.com.br/politica/eleicoes-2026-quem-e-sergio-moro-candidato-do-pl-ao-governo-do-parana | Congresso em Foco https://www.congressoemfoco.com.br/noticia/122688/sergio-moro-e-eleito-governador-do-parana | Tribuna do Sertão 04/10/2026 https://tribunadosertao.com.br/politica/2026/10/04/990712-sergio-moro-e-eleito-governador-do-parana-no-1o-turno | A saída de Moro e a acusação de interferência na PF (g1.globo.com) https://g1.globo.com/politica/noticia/2020/04/24/moro-anuncia-demissao-do-ministerio-da-justica-e-deixa-o-governo-bolsonaro.ghtml</t>
        </is>
      </c>
      <c r="L30" s="37" t="inlineStr">
        <is>
          <t>20/10/2026</t>
        </is>
      </c>
      <c r="M30" s="37" t="inlineStr">
        <is>
          <t>Eleito governador do Paraná no 1º turno (04/10/2026). 21/10/2026: importado do acervo a verdade. (bolsomaster.site).</t>
        </is>
      </c>
      <c r="N30" s="24" t="inlineStr">
        <is>
          <t>moro.jpg</t>
        </is>
      </c>
      <c r="O30" s="24" t="inlineStr">
        <is>
          <t>Domínio público</t>
        </is>
      </c>
      <c r="P30" s="24" t="inlineStr">
        <is>
          <t>https://commons.wikimedia.org/wiki/File:Senador_da_República_Sérgio_Moro.jpg</t>
        </is>
      </c>
    </row>
    <row r="31" ht="68.65000000000001" customHeight="1" s="25">
      <c r="A31" s="37" t="inlineStr">
        <is>
          <t>ciro</t>
        </is>
      </c>
      <c r="B31" s="38" t="inlineStr">
        <is>
          <t>Ciro Nogueira</t>
        </is>
      </c>
      <c r="C31" s="37" t="inlineStr">
        <is>
          <t>Poder e Justiça</t>
        </is>
      </c>
      <c r="D31" s="37" t="inlineStr">
        <is>
          <t>Senador (PP-PI) e presidente nacional do Progressistas. Alvo da 5ª fase da Operação Compliance Zero (maio/2026, ordem de Mendonça): suposta ponte entre Vorcaro e o Congresso, com participação societária avaliada em ~R$ 13 mi comprada por R$ 1 mi e mesada de R$ 300 mil (relatos falam em R$ 500 mil). Proibido de contato com investigados; o irmão deve usar tornozeleira.</t>
        </is>
      </c>
      <c r="E31" s="37" t="inlineStr">
        <is>
          <t>Piauí (PI); mandato em Brasília</t>
        </is>
      </c>
      <c r="F31" s="37" t="inlineStr">
        <is>
          <t>Vivo</t>
        </is>
      </c>
      <c r="G31" s="37" t="inlineStr">
        <is>
          <t>Alvo de operação, sem denúncia. A defesa nega qualquer participação em atividades ilícitas.</t>
        </is>
      </c>
      <c r="H31" s="41" t="inlineStr">
        <is>
          <t>Investigado / alvo (sem denúncia)</t>
        </is>
      </c>
      <c r="I31" s="37" t="inlineStr">
        <is>
          <t>Nada nas fontes.</t>
        </is>
      </c>
      <c r="J31" s="37" t="inlineStr">
        <is>
          <t>Identificação confirmada: o "Círio Nogueira" da transcrição é o senador Ciro Nogueira, investigado no caso Master (busca em 07/05/2026). A aba Notes original ainda diz "inferida".</t>
        </is>
      </c>
      <c r="K31" s="37" t="inlineStr">
        <is>
          <t>Correio da Manhã 07/05/2026 https://www.correiodamanha.com.br/politica/2026/05/283952-ciro-nogueira-receberia-mesada-do-master-diz-investigacao.html | Wikipedia (Banco Master scandal) https://en.wikipedia.org/wiki/Banco_Master_scandal | Supostos pagamentos mensais a Ciro Nogueira (agenciabrasil.ebc.com.br) https://agenciabrasil.ebc.com.br/justica/noticia/2026-05/mesada-e-viagens-internacionais-veja-o-que-pf-diz-sobre-ciro-nogueira | Viagens de Ciro e a suspeita de contrapartida política (g1.globo.com) https://g1.globo.com/jornal-nacional/noticia/2026/05/08/pf-suspeita-que-vorcaro-pagou-ao-menos-3-viagens-internacionais-do-senador-ciro-nogueira-do-pp.ghtml | Ciro na Operação Compliance Zero (agenciabrasil.ebc.com.br) https://agenciabrasil.ebc.com.br/justica/noticia/2026-05/policia-federal-deflagra-5a-fase-da-operacao-compliance-zero | Imagens de Ciro e Vorcaro nos Alpes (cnnbrasil.com.br) https://www.cnnbrasil.com.br/blogs/debora-bergamasco/politica/imagens-obtidas-pela-pf-mostram-ciro-nogueira-e-vorcaro-nos-alpes-franceses/ | O custeio da viagem a Courchevel (piaui.uol.com.br) https://piaui.uol.com.br/web/ciro-nogueira-daniel-vorcaro-alpes-franceses-imagens/</t>
        </is>
      </c>
      <c r="L31" s="37" t="inlineStr">
        <is>
          <t>20/10/2026</t>
        </is>
      </c>
      <c r="M31" s="37" t="inlineStr">
        <is>
          <t>Identificação tratada como confirmada (antes: inferida); busca em 07/05/2026. 21/10/2026: importado do acervo a verdade. (bolsomaster.site).</t>
        </is>
      </c>
      <c r="N31" s="24" t="inlineStr">
        <is>
          <t>ciro.jpg</t>
        </is>
      </c>
      <c r="O31" s="24" t="inlineStr">
        <is>
          <t>Wikimedia Commons · CC BY-SA 4.0</t>
        </is>
      </c>
      <c r="P31" s="24" t="inlineStr">
        <is>
          <t>https://commons.wikimedia.org/wiki/File:Senador739.jpg</t>
        </is>
      </c>
    </row>
    <row r="32">
      <c r="A32" s="37" t="inlineStr">
        <is>
          <t>mendonca</t>
        </is>
      </c>
      <c r="B32" s="38" t="inlineStr">
        <is>
          <t>André Mendonça</t>
        </is>
      </c>
      <c r="C32" s="37" t="inlineStr">
        <is>
          <t>Poder e Justiça</t>
        </is>
      </c>
      <c r="D32" s="37" t="inlineStr">
        <is>
          <t>Ministro do STF indicado por Jair Bolsonaro; ex-AGU e ex-ministro da Justiça. Relator do caso Master desde fev/2026, um mês após o instituto que fundou (ITER) receber R$ 5,2 mi de empresa de sócio de Vorcaro. Mensagens mostram o advogado de Vorcaro articulando encontros com ele em fev e mar/2025. Em set/2026 afastou o diretor-geral da PF e revogou a prisão do filho do Careca do INSS.</t>
        </is>
      </c>
      <c r="E32" s="37" t="inlineStr">
        <is>
          <t>Brasília (DF)</t>
        </is>
      </c>
      <c r="F32" s="37" t="inlineStr">
        <is>
          <t>Vivo</t>
        </is>
      </c>
      <c r="G32" s="37" t="inlineStr">
        <is>
          <t>Não há processo contra ele nas fontes do acervo.</t>
        </is>
      </c>
      <c r="H32" s="39" t="inlineStr">
        <is>
          <t>Citado, sem acusação</t>
        </is>
      </c>
      <c r="I32" s="37" t="inlineStr">
        <is>
          <t>Nada nas fontes.</t>
        </is>
      </c>
      <c r="J32" s="37" t="inlineStr">
        <is>
          <t>Dados do acervo a verdade.; fontes não reverificadas uma a uma. Os levantamentos de contratos do ITER (52 contratos e R$ 8,2 mi; 55 contratos e R$ 10,8 mi) são recortes diferentes e não se somam.</t>
        </is>
      </c>
      <c r="K32" s="37" t="inlineStr">
        <is>
          <t>A visita à alfaiataria com o advogado de Vorcaro (iclnoticias.com.br) https://iclnoticias.com.br/vaza-mendonca-mensagens-e-audios-ineditos/ | Encomendas, recibos e pagamentos na alfaiataria (oglobo.globo.com) https://oglobo.globo.com/politica/noticia/2026/09/03/alfaiataria-visitada-por-mendonca-e-advogado-de-vorcaro-nao-esclarece-encomenda-nem-mostra-recibos-ternos-sob-medida-custam-a-partir-de-r-219-mil.ghtml | Encomendas, recibos e pagamentos na alfaiataria (paulomotoryn.substack.com) https://paulomotoryn.substack.com/p/exclusivo-vorcaro-gastou-r-500-mil | Encomendas, recibos e pagamentos na alfaiataria (metro1.com.br) https://www.metro1.com.br/noticias/politica/187938,notas-de-mendonca-em-alfaiataria-frequentada-por-vorcaro-registravam-sem-pagamento | Mensagens para agendar encontro com Mendonça (iclnoticias.com.br) https://iclnoticias.com.br/vaza-mendonca-mensagens-e-audios-ineditos/ | O convite a Bruno Bianco para a reunião (iclnoticias.com.br) https://iclnoticias.com.br/vaza-mendonca-mensagens-e-audios-ineditos/ | A reunião de fevereiro de 2025 (iclnoticias.com.br) https://iclnoticias.com.br/vaza-mendonca-mensagens-e-audios-ineditos/ | Encontro com Vorcaro na sede do ITER (iclnoticias.com.br) https://iclnoticias.com.br/vaza-mendonca-mensagens-e-audios-ineditos/ | Pedido de vista no julgamento sobre cemitérios (valor.globo.com) https://valor.globo.com/politica/noticia/2026/09/15/stf-em-ao-sobre-cemitrios-em-sp-dino-pede-nova-investigao-de-mendona.ghtml | Convites para coquetéis do instituto (iclnoticias.com.br) https://iclnoticias.com.br/vorcaro-foi-chamado-a-coquetel-de-mendonca/ | A viagem de helicóptero de Mendonça (noticias.uol.com.br) https://noticias.uol.com.br/colunas/daniela-lima/2026/09/22/mendonca-voou-em-aeronave-de-ex-parceiro-de-negocios-de-vorcaro.htm | Aporte de R$ 5,2 milhões ao ITER (noticias.uol.com.br) https://noticias.uol.com.br/ultimas-noticias/redacao/2026/09/17/ex-parceiro-de-vorcaro-pos-r-5-milhoes-em-instituto-de-mendonca.htm | Depoimento de Vorcaro sem a Polícia Federal (iclnoticias.com.br) https://iclnoticias.com.br/gabinete-mendonca-ouviu-vorcaro-horario-pf/ | O afastamento de um diretor da PF (cnnbrasil.com.br) https://www.cnnbrasil.com.br/blogs/teo-cury/politica/mendonca-ordenou-afastamento-de-diretor-geral-da-pf-sem-ouvir-pgr/ | A atuação do diretor afastado nos casos Master e INSS (iclnoticias.com.br) https://iclnoticias.com.br/diretor-da-pf-afastado-mendonca-prendeu-vorcaro/ | Revogação da prisão do filho do Careca do INSS (iclnoticias.com.br) https://iclnoticias.com.br/andre-mendonca-revoga-prisao-do-filho-do-careca/ | A contestação da AGU ao afastamento na PF (iclnoticias.com.br) https://iclnoticias.com.br/agu-mendonca-usurpou-competencia-fachin/ | A cronologia entre a operação de Dino e o afastamento (iclnoticias.com.br) https://iclnoticias.com.br/mendonca-cesinha-madureira-vorcaro-dino/ | Financiamento da campanha de Cezinha de Madureira (iclnoticias.com.br) https://iclnoticias.com.br/tarcisio-campanha-deputado-mendonca-vorcaro/ | A proximidade entre Cezinha e Mendonça (iclnoticias.com.br) https://iclnoticias.com.br/cezinha-de-madureira-tinha-porta-retrato-com-mendonca-na-sala-de-casa/ | 52 contratos do ITER com órgãos públicos (apublica.org) https://apublica.org/nota/instituto-de-andre-mendonca-e-alvo-de-representacoes-para-investigar-irregularidades/ | Outro levantamento: 55 contratos do instituto (iclnoticias.com.br) https://iclnoticias.com.br/instituto-de-andre-mendonca-faturou/ | A promoção do irmão de Mendonça (iclnoticias.com.br) https://iclnoticias.com.br/irmao-de-mendonca-foi-promovido-por-nunes/ | Votos relativos a Castro e contratos no Rio (iclnoticias.com.br) https://iclnoticias.com.br/mendonca-votou-a-favor-de-castro-4-vezes/ | Prazos diferentes para decisões sobre políticos (cnnbrasil.com.br) https://www.cnnbrasil.com.br/politica/mendonca-demora-9-dias-para-despachar-sobre-wagner-e-75-sobre-castro/ | O contraste nos prazos apontado pela PF (iclnoticias.com.br) https://iclnoticias.com.br/pf-aponta-diferenca-8-x-no-tempo-mendonca/ | A declaração de Gilmar sobre acesso a dados (iclnoticias.com.br) https://iclnoticias.com.br/gilmar-stf-dados-maste-ministros-mendonca/ | O pedido para rastrear o dinheiro do Master (iclnoticias.com.br) https://iclnoticias.com.br/pf-espera-ha-seis-meses-decisao-mendonca/ | A recomendação de sigilo sobre o celular de Vorcaro (iclnoticias.com.br) https://iclnoticias.com.br/contra-transparencia-mendonca-recomenda-manter/ | Tratamento de ministros em relatório da PF (iclnoticias.com.br) https://iclnoticias.com.br/relatorio-pf-mendonca-poupou-toffoli-kassio/ | O pedido de nulidade apresentado por Gonet (iclnoticias.com.br) https://iclnoticias.com.br/gonet-diz-que-mendonca-investigou-moraes/</t>
        </is>
      </c>
      <c r="L32" s="37" t="inlineStr">
        <is>
          <t>21/10/2026</t>
        </is>
      </c>
      <c r="M32" s="37" t="inlineStr">
        <is>
          <t>21/10/2026: importado do acervo a verdade. (bolsomaster.site) (perfil novo).</t>
        </is>
      </c>
      <c r="N32" s="24" t="n"/>
      <c r="O32" s="24" t="n"/>
      <c r="P32" s="24" t="n"/>
    </row>
    <row r="33">
      <c r="A33" s="37" t="inlineStr">
        <is>
          <t>faria</t>
        </is>
      </c>
      <c r="B33" s="38" t="inlineStr">
        <is>
          <t>Fábio Faria</t>
        </is>
      </c>
      <c r="C33" s="37" t="inlineStr">
        <is>
          <t>Vorcaro e o Banco Master</t>
        </is>
      </c>
      <c r="D33" s="37" t="inlineStr">
        <is>
          <t>Ex-ministro das Comunicações de Jair Bolsonaro. Mensagens recuperadas pela PF o apontam como intermediário de Vorcaro com autoridades em Brasília e com ministros de tribunais superiores, inclusive na organização de festas. Empresa ligada a Vorcaro pagou R$ 67,5 mi por um projeto dele.</t>
        </is>
      </c>
      <c r="E33" s="37" t="inlineStr">
        <is>
          <t>Brasília (DF)</t>
        </is>
      </c>
      <c r="F33" s="37" t="inlineStr">
        <is>
          <t>Vivo</t>
        </is>
      </c>
      <c r="G33" s="37" t="inlineStr">
        <is>
          <t>O acervo não informa se ele é formalmente investigado.</t>
        </is>
      </c>
      <c r="H33" s="39" t="inlineStr">
        <is>
          <t>Citado, sem acusação</t>
        </is>
      </c>
      <c r="I33" s="37" t="inlineStr">
        <is>
          <t>Nada nas fontes.</t>
        </is>
      </c>
      <c r="J33" s="37" t="inlineStr">
        <is>
          <t>Dados do acervo a verdade.; fontes não reverificadas uma a uma.</t>
        </is>
      </c>
      <c r="K33" s="37" t="inlineStr">
        <is>
          <t>Fábio Faria como interlocutor de Vorcaro (piaui.uol.com.br) https://piaui.uol.com.br/web/fabio-faria-daniel-vorcaro-lobby/ | R$ 67,5 milhões por projeto de Fábio Faria (tab.uol.com.br) https://tab.uol.com.br/noticias/redacao/2026/01/29/vorcaro-pagou-r-675-mi-em-projeto-eolico-de-fabio-faria-ex-ministro.htm | Convites a autoridades para festas e encontros (piaui.uol.com.br) https://piaui.uol.com.br/web/festa-suicas-vorcaro-fabio-faria/ | O grupo com Hugo Motta, Ciro e Fábio Faria (gazetadopovo.com.br) https://www.gazetadopovo.com.br/republica/vorcaro-grupo-motta-ciro-nogueira-fabio-faria-organizar-encontros/ | A intermediação de contatos com Moraes (g1.globo.com) https://g1.globo.com/politica/noticia/2026/09/01/ex-ministro-fabio-faria-atuou-para-intermediar-contatos-entre-vorcaro-e-moraes-aponta-pf.ghtml</t>
        </is>
      </c>
      <c r="L33" s="37" t="inlineStr">
        <is>
          <t>21/10/2026</t>
        </is>
      </c>
      <c r="M33" s="37" t="inlineStr">
        <is>
          <t>21/10/2026: importado do acervo a verdade. (bolsomaster.site) (perfil novo).</t>
        </is>
      </c>
      <c r="N33" s="24" t="n"/>
      <c r="O33" s="24" t="n"/>
      <c r="P33" s="24" t="n"/>
    </row>
    <row r="34">
      <c r="A34" s="37" t="inlineStr">
        <is>
          <t>frias</t>
        </is>
      </c>
      <c r="B34" s="38" t="inlineStr">
        <is>
          <t>Mario Frias</t>
        </is>
      </c>
      <c r="C34" s="37" t="inlineStr">
        <is>
          <t>Flávio e família</t>
        </is>
      </c>
      <c r="D34" s="37" t="inlineStr">
        <is>
          <t>Ex-secretário especial de Cultura de Jair Bolsonaro e produtor-executivo do filme Dark Horse. Áudio divulgado pelo Intercept mostra ele agradecendo Vorcaro pelo financiamento do filme.</t>
        </is>
      </c>
      <c r="E34" s="37" t="inlineStr">
        <is>
          <t>—</t>
        </is>
      </c>
      <c r="F34" s="37" t="inlineStr">
        <is>
          <t>Vivo</t>
        </is>
      </c>
      <c r="G34" s="37" t="inlineStr">
        <is>
          <t>Segundo o PDF, investigado no caso do filme.</t>
        </is>
      </c>
      <c r="H34" s="39" t="inlineStr">
        <is>
          <t>Investigado / alvo (sem denúncia)</t>
        </is>
      </c>
      <c r="I34" s="37" t="inlineStr">
        <is>
          <t>Nada nas fontes.</t>
        </is>
      </c>
      <c r="J34" s="37" t="inlineStr">
        <is>
          <t>Situação de investigado vem do PDF do acervo; não reverificada.</t>
        </is>
      </c>
      <c r="K34" s="37" t="inlineStr">
        <is>
          <t>Mario Frias e a produção de Dark Horse (intercept.com.br) https://www.intercept.com.br/2026/05/19/audio-mario-frias-daniel-vorcaro/</t>
        </is>
      </c>
      <c r="L34" s="37" t="inlineStr">
        <is>
          <t>21/10/2026</t>
        </is>
      </c>
      <c r="M34" s="37" t="inlineStr">
        <is>
          <t>21/10/2026: importado do acervo a verdade. (bolsomaster.site) (perfil novo).</t>
        </is>
      </c>
      <c r="N34" s="24" t="n"/>
      <c r="O34" s="24" t="n"/>
      <c r="P34" s="24" t="n"/>
    </row>
    <row r="35">
      <c r="A35" s="37" t="inlineStr">
        <is>
          <t>gaspar</t>
        </is>
      </c>
      <c r="B35" s="38" t="inlineStr">
        <is>
          <t>Alfredo Gaspar</t>
        </is>
      </c>
      <c r="C35" s="37" t="inlineStr">
        <is>
          <t>Flávio e família</t>
        </is>
      </c>
      <c r="D35" s="37" t="inlineStr">
        <is>
          <t>Vice na chapa de Flávio Bolsonaro em 2026.</t>
        </is>
      </c>
      <c r="E35" s="37" t="inlineStr">
        <is>
          <t>Alagoas (AL)</t>
        </is>
      </c>
      <c r="F35" s="37" t="inlineStr">
        <is>
          <t>Vivo</t>
        </is>
      </c>
      <c r="G35" s="37" t="inlineStr">
        <is>
          <t>Pedido de investigação por estupro de vulnerável arquivado pelo ministro Gilmar Mendes em out/2026, por falta de indícios suficientes. Ele nega.</t>
        </is>
      </c>
      <c r="H35" s="39" t="inlineStr">
        <is>
          <t>Citado, sem acusação</t>
        </is>
      </c>
      <c r="I35" s="37" t="inlineStr">
        <is>
          <t>Nada nas fontes.</t>
        </is>
      </c>
      <c r="J35" s="37" t="inlineStr">
        <is>
          <t>O PDF original diz que ele “é investigado”; isso está desatualizado desde o arquivamento (Folha e UOL, 06/10/2026).</t>
        </is>
      </c>
      <c r="K35" s="37" t="inlineStr">
        <is>
          <t>Alfredo Gaspar: pedido de investigação arquivado (metropoles.com) https://www.metropoles.com/colunas/igor-gadelha/denuncia-de-suposto-estupro-contra-vice-de-flavio-deve-avancar-no-stf | Alfredo Gaspar: pedido de investigação arquivado (folha.uol.com.br) https://www1.folha.uol.com.br/poder/2026/10/gilmar-arquiva-pedido-de-investigacao-contra-vice-de-flavio-bolsonaro-por-suspeita-de-estupro.shtml | Alfredo Gaspar: pedido de investigação arquivado (noticias.uol.com.br) https://noticias.uol.com.br/eleicoes/2026/10/06/gilmar-mendes-arquiva-stf-suspeita-estupro-alfredo-gaspar-vice-flavio.ghtm</t>
        </is>
      </c>
      <c r="L35" s="37" t="inlineStr">
        <is>
          <t>21/10/2026</t>
        </is>
      </c>
      <c r="M35" s="37" t="inlineStr">
        <is>
          <t>21/10/2026: importado do acervo a verdade. (bolsomaster.site) (perfil novo).</t>
        </is>
      </c>
      <c r="N35" s="24" t="n"/>
      <c r="O35" s="24" t="n"/>
      <c r="P35" s="24" t="n"/>
    </row>
  </sheetData>
  <autoFilter ref="A1:P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8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4" min="1" max="1"/>
    <col width="32" customWidth="1" style="24" min="2" max="2"/>
    <col width="20" customWidth="1" style="24" min="3" max="3"/>
    <col width="26" customWidth="1" style="24" min="4" max="4"/>
    <col width="70" customWidth="1" style="24" min="5" max="5"/>
    <col width="10" customWidth="1" style="24" min="6" max="6"/>
  </cols>
  <sheetData>
    <row r="1" ht="15" customHeight="1" s="25">
      <c r="A1" s="44" t="inlineStr">
        <is>
          <t>Id</t>
        </is>
      </c>
      <c r="B1" s="44" t="inlineStr">
        <is>
          <t>Label</t>
        </is>
      </c>
      <c r="C1" s="44" t="inlineStr">
        <is>
          <t>Type</t>
        </is>
      </c>
      <c r="D1" s="44" t="inlineStr">
        <is>
          <t>Group</t>
        </is>
      </c>
      <c r="E1" s="44" t="inlineStr">
        <is>
          <t>Description</t>
        </is>
      </c>
      <c r="F1" s="44" t="inlineStr">
        <is>
          <t>Degree</t>
        </is>
      </c>
      <c r="G1" s="24" t="inlineStr">
        <is>
          <t>Foto (arquivo)</t>
        </is>
      </c>
      <c r="H1" s="24" t="inlineStr">
        <is>
          <t>Crédito da foto</t>
        </is>
      </c>
      <c r="I1" s="24" t="inlineStr">
        <is>
          <t>Link da fonte da foto</t>
        </is>
      </c>
      <c r="J1" s="24" t="inlineStr">
        <is>
          <t>Nota da foto (opcional)</t>
        </is>
      </c>
    </row>
    <row r="2" ht="15" customHeight="1" s="25">
      <c r="A2" s="45" t="inlineStr">
        <is>
          <t>assoc</t>
        </is>
      </c>
      <c r="B2" s="45" t="inlineStr">
        <is>
          <t>Associações de aposentados</t>
        </is>
      </c>
      <c r="C2" s="45" t="inlineStr">
        <is>
          <t>Instituição ou caso</t>
        </is>
      </c>
      <c r="D2" s="45" t="inlineStr">
        <is>
          <t>Esquema do INSS</t>
        </is>
      </c>
      <c r="E2" s="45" t="inlineStr">
        <is>
          <t>Descontos sem autorização: mais de R$ 6 bi em 5 anos</t>
        </is>
      </c>
      <c r="F2" s="45">
        <f>COUNTIF(Edges!$A$2:$A$182,A2)+COUNTIF(Edges!$B$2:$B$182,A2)</f>
        <v/>
      </c>
      <c r="G2" s="24" t="n"/>
      <c r="H2" s="24" t="n"/>
      <c r="I2" s="24" t="n"/>
      <c r="J2" s="24" t="n"/>
    </row>
    <row r="3" ht="23.25" customHeight="1" s="25">
      <c r="A3" s="45" t="inlineStr">
        <is>
          <t>careca</t>
        </is>
      </c>
      <c r="B3" s="45" t="inlineStr">
        <is>
          <t>Careca do INSS</t>
        </is>
      </c>
      <c r="C3" s="45" t="inlineStr">
        <is>
          <t>Pessoa</t>
        </is>
      </c>
      <c r="D3" s="45" t="inlineStr">
        <is>
          <t>Esquema do INSS</t>
        </is>
      </c>
      <c r="E3" s="45" t="inlineStr">
        <is>
          <t>Lobista Antônio C. Camilo Antunes; preso; apontado pela PF como centro do esquema</t>
        </is>
      </c>
      <c r="F3" s="45">
        <f>COUNTIF(Edges!$A$2:$A$182,A3)+COUNTIF(Edges!$B$2:$B$182,A3)</f>
        <v/>
      </c>
    </row>
    <row r="4" ht="15" customHeight="1" s="25">
      <c r="A4" s="45" t="inlineStr">
        <is>
          <t>contador</t>
        </is>
      </c>
      <c r="B4" s="45" t="inlineStr">
        <is>
          <t>Alexandre Caetano dos Reis</t>
        </is>
      </c>
      <c r="C4" s="45" t="inlineStr">
        <is>
          <t>Pessoa</t>
        </is>
      </c>
      <c r="D4" s="45" t="inlineStr">
        <is>
          <t>Esquema do INSS</t>
        </is>
      </c>
      <c r="E4" s="45" t="inlineStr">
        <is>
          <t>Contador do Careca e do escritório de Flávio; preso</t>
        </is>
      </c>
      <c r="F4" s="45">
        <f>COUNTIF(Edges!$A$2:$A$182,A4)+COUNTIF(Edges!$B$2:$B$182,A4)</f>
        <v/>
      </c>
    </row>
    <row r="5" ht="15" customHeight="1" s="25">
      <c r="A5" s="45" t="inlineStr">
        <is>
          <t>leticia</t>
        </is>
      </c>
      <c r="B5" s="45" t="inlineStr">
        <is>
          <t>Letícia Caetano dos Reis</t>
        </is>
      </c>
      <c r="C5" s="45" t="inlineStr">
        <is>
          <t>Pessoa</t>
        </is>
      </c>
      <c r="D5" s="45" t="inlineStr">
        <is>
          <t>Esquema do INSS</t>
        </is>
      </c>
      <c r="E5" s="45" t="inlineStr">
        <is>
          <t>Irmã do contador; administra o escritório de Flávio</t>
        </is>
      </c>
      <c r="F5" s="45">
        <f>COUNTIF(Edges!$A$2:$A$182,A5)+COUNTIF(Edges!$B$2:$B$182,A5)</f>
        <v/>
      </c>
    </row>
    <row r="6" ht="15" customHeight="1" s="25">
      <c r="A6" s="45" t="inlineStr">
        <is>
          <t>lulinha</t>
        </is>
      </c>
      <c r="B6" s="45" t="inlineStr">
        <is>
          <t>Lulinha</t>
        </is>
      </c>
      <c r="C6" s="45" t="inlineStr">
        <is>
          <t>Pessoa</t>
        </is>
      </c>
      <c r="D6" s="45" t="inlineStr">
        <is>
          <t>Esquema do INSS</t>
        </is>
      </c>
      <c r="E6" s="45" t="inlineStr">
        <is>
          <t>3 inquéritos no STF; nega; sem indiciamento</t>
        </is>
      </c>
      <c r="F6" s="45">
        <f>COUNTIF(Edges!$A$2:$A$182,A6)+COUNTIF(Edges!$B$2:$B$182,A6)</f>
        <v/>
      </c>
    </row>
    <row r="7" ht="15" customHeight="1" s="25">
      <c r="A7" s="45" t="inlineStr">
        <is>
          <t>roberta</t>
        </is>
      </c>
      <c r="B7" s="45" t="inlineStr">
        <is>
          <t>Roberta (lobista)</t>
        </is>
      </c>
      <c r="C7" s="45" t="inlineStr">
        <is>
          <t>Pessoa</t>
        </is>
      </c>
      <c r="D7" s="45" t="inlineStr">
        <is>
          <t>Esquema do INSS</t>
        </is>
      </c>
      <c r="E7" s="45" t="inlineStr">
        <is>
          <t>Amiga de Lulinha; recebeu ~R$ 1 mi de empresa de fachada do Careca</t>
        </is>
      </c>
      <c r="F7" s="45">
        <f>COUNTIF(Edges!$A$2:$A$182,A7)+COUNTIF(Edges!$B$2:$B$182,A7)</f>
        <v/>
      </c>
    </row>
    <row r="8" ht="15" customHeight="1" s="25">
      <c r="A8" s="45" t="inlineStr">
        <is>
          <t>sala</t>
        </is>
      </c>
      <c r="B8" s="45" t="inlineStr">
        <is>
          <t>Sala em Águas Claras (DF)</t>
        </is>
      </c>
      <c r="C8" s="45" t="inlineStr">
        <is>
          <t>Casa ou ativo</t>
        </is>
      </c>
      <c r="D8" s="45" t="inlineStr">
        <is>
          <t>Esquema do INSS</t>
        </is>
      </c>
      <c r="E8" s="45" t="inlineStr">
        <is>
          <t>Endereço de Bravo Grafeno e de 16 empresas do Careca</t>
        </is>
      </c>
      <c r="F8" s="45">
        <f>COUNTIF(Edges!$A$2:$A$182,A8)+COUNTIF(Edges!$B$2:$B$182,A8)</f>
        <v/>
      </c>
      <c r="G8" s="24" t="n"/>
      <c r="H8" s="24" t="n"/>
      <c r="I8" s="24" t="n"/>
      <c r="J8" s="24" t="n"/>
    </row>
    <row r="9" ht="15" customHeight="1" s="25">
      <c r="A9" s="45" t="inlineStr">
        <is>
          <t>bravo</t>
        </is>
      </c>
      <c r="B9" s="45" t="inlineStr">
        <is>
          <t>Bravo Grafeno</t>
        </is>
      </c>
      <c r="C9" s="45" t="inlineStr">
        <is>
          <t>Empresa</t>
        </is>
      </c>
      <c r="D9" s="45" t="inlineStr">
        <is>
          <t>Esquema do INSS</t>
        </is>
      </c>
      <c r="E9" s="45" t="inlineStr">
        <is>
          <t>Fábrica de capacetes de Flávio e Carlos</t>
        </is>
      </c>
      <c r="F9" s="45">
        <f>COUNTIF(Edges!$A$2:$A$182,A9)+COUNTIF(Edges!$B$2:$B$182,A9)</f>
        <v/>
      </c>
      <c r="G9" s="24" t="n"/>
      <c r="H9" s="24" t="n"/>
      <c r="I9" s="24" t="n"/>
      <c r="J9" s="24" t="n"/>
    </row>
    <row r="10" ht="15" customHeight="1" s="25">
      <c r="A10" s="45" t="inlineStr">
        <is>
          <t>willer</t>
        </is>
      </c>
      <c r="B10" s="45" t="inlineStr">
        <is>
          <t>Willer Tomaz</t>
        </is>
      </c>
      <c r="C10" s="45" t="inlineStr">
        <is>
          <t>Pessoa</t>
        </is>
      </c>
      <c r="D10" s="45" t="inlineStr">
        <is>
          <t>Willer Tomaz e sua rede</t>
        </is>
      </c>
      <c r="E10" s="45" t="inlineStr">
        <is>
          <t>Advogado em Brasília; investigado por lavagem; nega</t>
        </is>
      </c>
      <c r="F10" s="45">
        <f>COUNTIF(Edges!$A$2:$A$182,A10)+COUNTIF(Edges!$B$2:$B$182,A10)</f>
        <v/>
      </c>
    </row>
    <row r="11" ht="15" customHeight="1" s="25">
      <c r="A11" s="45" t="inlineStr">
        <is>
          <t>escw</t>
        </is>
      </c>
      <c r="B11" s="45" t="inlineStr">
        <is>
          <t>Escritório de Willer</t>
        </is>
      </c>
      <c r="C11" s="45" t="inlineStr">
        <is>
          <t>Casa ou ativo</t>
        </is>
      </c>
      <c r="D11" s="45" t="inlineStr">
        <is>
          <t>Willer Tomaz e sua rede</t>
        </is>
      </c>
      <c r="E11" s="45" t="inlineStr">
        <is>
          <t>PF achou máquina de contar e dinheiro em livros-cofre</t>
        </is>
      </c>
      <c r="F11" s="45">
        <f>COUNTIF(Edges!$A$2:$A$182,A11)+COUNTIF(Edges!$B$2:$B$182,A11)</f>
        <v/>
      </c>
      <c r="G11" s="24" t="n"/>
      <c r="H11" s="24" t="n"/>
      <c r="I11" s="24" t="n"/>
      <c r="J11" s="24" t="n"/>
    </row>
    <row r="12" ht="15" customHeight="1" s="25">
      <c r="A12" s="45" t="inlineStr">
        <is>
          <t>bets</t>
        </is>
      </c>
      <c r="B12" s="45" t="inlineStr">
        <is>
          <t>Blaze e sites de apostas</t>
        </is>
      </c>
      <c r="C12" s="45" t="inlineStr">
        <is>
          <t>Empresa</t>
        </is>
      </c>
      <c r="D12" s="45" t="inlineStr">
        <is>
          <t>Willer Tomaz e sua rede</t>
        </is>
      </c>
      <c r="E12" s="45" t="inlineStr">
        <is>
          <t>~R$ 5 bi movimentados em 2025; PF vê possível lavagem</t>
        </is>
      </c>
      <c r="F12" s="45">
        <f>COUNTIF(Edges!$A$2:$A$182,A12)+COUNTIF(Edges!$B$2:$B$182,A12)</f>
        <v/>
      </c>
      <c r="G12" s="24" t="inlineStr">
        <is>
          <t>bets.png</t>
        </is>
      </c>
      <c r="H12" s="24" t="inlineStr">
        <is>
          <t>blaze.com · domínio público (logo simples, sem direito autoral)</t>
        </is>
      </c>
      <c r="I12" s="24" t="inlineStr">
        <is>
          <t>https://commons.wikimedia.org/wiki/File:Blaze_apostas_logo.png</t>
        </is>
      </c>
      <c r="J12" s="24" t="n"/>
    </row>
    <row r="13" ht="15" customHeight="1" s="25">
      <c r="A13" s="45" t="inlineStr">
        <is>
          <t>lidia</t>
        </is>
      </c>
      <c r="B13" s="45" t="inlineStr">
        <is>
          <t>Lídia Mazelli</t>
        </is>
      </c>
      <c r="C13" s="45" t="inlineStr">
        <is>
          <t>Pessoa</t>
        </is>
      </c>
      <c r="D13" s="45" t="inlineStr">
        <is>
          <t>Willer Tomaz e sua rede</t>
        </is>
      </c>
      <c r="E13" s="45" t="inlineStr">
        <is>
          <t>61 anos; diz ser doméstica; figura à frente de 14 empresas</t>
        </is>
      </c>
      <c r="F13" s="45">
        <f>COUNTIF(Edges!$A$2:$A$182,A13)+COUNTIF(Edges!$B$2:$B$182,A13)</f>
        <v/>
      </c>
    </row>
    <row r="14" ht="15" customHeight="1" s="25">
      <c r="A14" s="45" t="inlineStr">
        <is>
          <t>wt</t>
        </is>
      </c>
      <c r="B14" s="45" t="inlineStr">
        <is>
          <t>WT (e outras 13 empresas)</t>
        </is>
      </c>
      <c r="C14" s="45" t="inlineStr">
        <is>
          <t>Empresa</t>
        </is>
      </c>
      <c r="D14" s="45" t="inlineStr">
        <is>
          <t>Willer Tomaz e sua rede</t>
        </is>
      </c>
      <c r="E14" s="45" t="inlineStr">
        <is>
          <t>Empresa da “doméstica”; dona de mansão e apartamento</t>
        </is>
      </c>
      <c r="F14" s="45">
        <f>COUNTIF(Edges!$A$2:$A$182,A14)+COUNTIF(Edges!$B$2:$B$182,A14)</f>
        <v/>
      </c>
      <c r="G14" s="24" t="n"/>
      <c r="H14" s="24" t="n"/>
      <c r="I14" s="24" t="n"/>
      <c r="J14" s="24" t="n"/>
    </row>
    <row r="15" ht="15" customHeight="1" s="25">
      <c r="A15" s="45" t="inlineStr">
        <is>
          <t>alcazar</t>
        </is>
      </c>
      <c r="B15" s="45" t="inlineStr">
        <is>
          <t>Alcazar Holdings</t>
        </is>
      </c>
      <c r="C15" s="45" t="inlineStr">
        <is>
          <t>Empresa</t>
        </is>
      </c>
      <c r="D15" s="45" t="inlineStr">
        <is>
          <t>Willer Tomaz e sua rede</t>
        </is>
      </c>
      <c r="E15" s="45" t="inlineStr">
        <is>
          <t>Empresa ligada a Willer; conta no Santander</t>
        </is>
      </c>
      <c r="F15" s="45">
        <f>COUNTIF(Edges!$A$2:$A$182,A15)+COUNTIF(Edges!$B$2:$B$182,A15)</f>
        <v/>
      </c>
      <c r="G15" s="24" t="n"/>
      <c r="H15" s="24" t="n"/>
      <c r="I15" s="24" t="n"/>
      <c r="J15" s="24" t="n"/>
    </row>
    <row r="16" ht="15" customHeight="1" s="25">
      <c r="A16" s="45" t="inlineStr">
        <is>
          <t>santander</t>
        </is>
      </c>
      <c r="B16" s="45" t="inlineStr">
        <is>
          <t>Santander</t>
        </is>
      </c>
      <c r="C16" s="45" t="inlineStr">
        <is>
          <t>Empresa</t>
        </is>
      </c>
      <c r="D16" s="45" t="inlineStr">
        <is>
          <t>Willer Tomaz e sua rede</t>
        </is>
      </c>
      <c r="E16" s="45" t="inlineStr">
        <is>
          <t>Conta da Alcazar com Flávio como “usuário master”</t>
        </is>
      </c>
      <c r="F16" s="45">
        <f>COUNTIF(Edges!$A$2:$A$182,A16)+COUNTIF(Edges!$B$2:$B$182,A16)</f>
        <v/>
      </c>
      <c r="G16" s="24" t="inlineStr">
        <is>
          <t>santander.jpg</t>
        </is>
      </c>
      <c r="H16" s="24" t="inlineStr">
        <is>
          <t>Simplus Menegati · CC BY-SA 4.0</t>
        </is>
      </c>
      <c r="I16" s="24" t="inlineStr">
        <is>
          <t>https://commons.wikimedia.org/wiki/File:Agencia_Banco_Santander_de_Telemaco_Borba.jpg</t>
        </is>
      </c>
      <c r="J16" s="24" t="inlineStr"/>
    </row>
    <row r="17" ht="15" customHeight="1" s="25">
      <c r="A17" s="45" t="inlineStr">
        <is>
          <t>cpi</t>
        </is>
      </c>
      <c r="B17" s="45" t="inlineStr">
        <is>
          <t>CPI da pandemia (Covaxin)</t>
        </is>
      </c>
      <c r="C17" s="45" t="inlineStr">
        <is>
          <t>Instituição ou caso</t>
        </is>
      </c>
      <c r="D17" s="45" t="inlineStr">
        <is>
          <t>Willer Tomaz e sua rede</t>
        </is>
      </c>
      <c r="E17" s="45" t="inlineStr">
        <is>
          <t>Quebra de sigilo de Willer pedida e depois cancelada</t>
        </is>
      </c>
      <c r="F17" s="45">
        <f>COUNTIF(Edges!$A$2:$A$182,A17)+COUNTIF(Edges!$B$2:$B$182,A17)</f>
        <v/>
      </c>
      <c r="G17" s="24" t="inlineStr">
        <is>
          <t>cpi.jpg</t>
        </is>
      </c>
      <c r="H17" s="24" t="inlineStr">
        <is>
          <t>Agência Senado · CC BY 2.0</t>
        </is>
      </c>
      <c r="I17" s="24" t="inlineStr">
        <is>
          <t>https://commons.wikimedia.org/wiki/File:CPIPANDEMIA_-_Comiss%C3%A3o_Parlamentar_de_Inqu%C3%A9rito_da_Pandemia_(1).jpg</t>
        </is>
      </c>
      <c r="J17" s="24" t="inlineStr"/>
    </row>
    <row r="18" ht="15" customHeight="1" s="25">
      <c r="A18" s="45" t="inlineStr">
        <is>
          <t>renan</t>
        </is>
      </c>
      <c r="B18" s="45" t="inlineStr">
        <is>
          <t>Renan Calheiros</t>
        </is>
      </c>
      <c r="C18" s="45" t="inlineStr">
        <is>
          <t>Pessoa</t>
        </is>
      </c>
      <c r="D18" s="45" t="inlineStr">
        <is>
          <t>Willer Tomaz e sua rede</t>
        </is>
      </c>
      <c r="E18" s="45" t="inlineStr">
        <is>
          <t>Relator da CPI; pediu a quebra de sigilo</t>
        </is>
      </c>
      <c r="F18" s="45">
        <f>COUNTIF(Edges!$A$2:$A$182,A18)+COUNTIF(Edges!$B$2:$B$182,A18)</f>
        <v/>
      </c>
    </row>
    <row r="19" ht="15" customHeight="1" s="25">
      <c r="A19" s="45" t="inlineStr">
        <is>
          <t>flavio</t>
        </is>
      </c>
      <c r="B19" s="45" t="inlineStr">
        <is>
          <t>Flávio Bolsonaro</t>
        </is>
      </c>
      <c r="C19" s="45" t="inlineStr">
        <is>
          <t>Pessoa</t>
        </is>
      </c>
      <c r="D19" s="45" t="inlineStr">
        <is>
          <t>Flávio e família</t>
        </is>
      </c>
      <c r="E19" s="45" t="inlineStr">
        <is>
          <t>Senador e candidato a presidente; nega irregularidades</t>
        </is>
      </c>
      <c r="F19" s="45">
        <f>COUNTIF(Edges!$A$2:$A$182,A19)+COUNTIF(Edges!$B$2:$B$182,A19)</f>
        <v/>
      </c>
    </row>
    <row r="20" ht="15" customHeight="1" s="25">
      <c r="A20" s="45" t="inlineStr">
        <is>
          <t>fam</t>
        </is>
      </c>
      <c r="B20" s="45" t="inlineStr">
        <is>
          <t>Mulher e filhas de Flávio</t>
        </is>
      </c>
      <c r="C20" s="45" t="inlineStr">
        <is>
          <t>Pessoa</t>
        </is>
      </c>
      <c r="D20" s="45" t="inlineStr">
        <is>
          <t>Flávio e família</t>
        </is>
      </c>
      <c r="E20" s="45" t="inlineStr">
        <is>
          <t>Voaram no jato em jan/2025</t>
        </is>
      </c>
      <c r="F20" s="45">
        <f>COUNTIF(Edges!$A$2:$A$182,A20)+COUNTIF(Edges!$B$2:$B$182,A20)</f>
        <v/>
      </c>
    </row>
    <row r="21" ht="15" customHeight="1" s="25">
      <c r="A21" s="45" t="inlineStr">
        <is>
          <t>carlos</t>
        </is>
      </c>
      <c r="B21" s="45" t="inlineStr">
        <is>
          <t>Carlos Bolsonaro</t>
        </is>
      </c>
      <c r="C21" s="45" t="inlineStr">
        <is>
          <t>Pessoa</t>
        </is>
      </c>
      <c r="D21" s="45" t="inlineStr">
        <is>
          <t>Flávio e família</t>
        </is>
      </c>
      <c r="E21" s="45" t="inlineStr">
        <is>
          <t>Irmão; sócio na Bravo Grafeno</t>
        </is>
      </c>
      <c r="F21" s="45">
        <f>COUNTIF(Edges!$A$2:$A$182,A21)+COUNTIF(Edges!$B$2:$B$182,A21)</f>
        <v/>
      </c>
    </row>
    <row r="22" ht="15" customHeight="1" s="25">
      <c r="A22" s="45" t="inlineStr">
        <is>
          <t>escf</t>
        </is>
      </c>
      <c r="B22" s="45" t="inlineStr">
        <is>
          <t>Escritório de advocacia de Flávio</t>
        </is>
      </c>
      <c r="C22" s="45" t="inlineStr">
        <is>
          <t>Empresa</t>
        </is>
      </c>
      <c r="D22" s="45" t="inlineStr">
        <is>
          <t>Flávio e família</t>
        </is>
      </c>
      <c r="E22" s="45" t="inlineStr">
        <is>
          <t>Aberto em 2021</t>
        </is>
      </c>
      <c r="F22" s="45">
        <f>COUNTIF(Edges!$A$2:$A$182,A22)+COUNTIF(Edges!$B$2:$B$182,A22)</f>
        <v/>
      </c>
      <c r="G22" s="24" t="n"/>
      <c r="H22" s="24" t="n"/>
      <c r="I22" s="24" t="n"/>
      <c r="J22" s="24" t="n"/>
    </row>
    <row r="23" ht="15" customHeight="1" s="25">
      <c r="A23" s="45" t="inlineStr">
        <is>
          <t>ong</t>
        </is>
      </c>
      <c r="B23" s="45" t="inlineStr">
        <is>
          <t>ONG e produtora do filme</t>
        </is>
      </c>
      <c r="C23" s="45" t="inlineStr">
        <is>
          <t>Empresa</t>
        </is>
      </c>
      <c r="D23" s="45" t="inlineStr">
        <is>
          <t>Flávio e família</t>
        </is>
      </c>
      <c r="E23" s="45" t="inlineStr">
        <is>
          <t>Filme sobre Jair; ~US$ 24 mi negociados com Vorcaro</t>
        </is>
      </c>
      <c r="F23" s="45">
        <f>COUNTIF(Edges!$A$2:$A$182,A23)+COUNTIF(Edges!$B$2:$B$182,A23)</f>
        <v/>
      </c>
      <c r="G23" s="24" t="n"/>
      <c r="H23" s="24" t="n"/>
      <c r="I23" s="24" t="n"/>
      <c r="J23" s="24" t="n"/>
    </row>
    <row r="24" ht="15" customHeight="1" s="25">
      <c r="A24" s="45" t="inlineStr">
        <is>
          <t>eletricista</t>
        </is>
      </c>
      <c r="B24" s="45" t="inlineStr">
        <is>
          <t>Eletricista</t>
        </is>
      </c>
      <c r="C24" s="45" t="inlineStr">
        <is>
          <t>Pessoa</t>
        </is>
      </c>
      <c r="D24" s="45" t="inlineStr">
        <is>
          <t>Flávio e família</t>
        </is>
      </c>
      <c r="E24" s="45" t="inlineStr">
        <is>
          <t>Tesoureiro no papel; diz que só emprestou o nome</t>
        </is>
      </c>
      <c r="F24" s="45">
        <f>COUNTIF(Edges!$A$2:$A$182,A24)+COUNTIF(Edges!$B$2:$B$182,A24)</f>
        <v/>
      </c>
    </row>
    <row r="25" ht="15" customHeight="1" s="25">
      <c r="A25" s="45" t="inlineStr">
        <is>
          <t>jair</t>
        </is>
      </c>
      <c r="B25" s="45" t="inlineStr">
        <is>
          <t>Jair Bolsonaro</t>
        </is>
      </c>
      <c r="C25" s="45" t="inlineStr">
        <is>
          <t>Pessoa</t>
        </is>
      </c>
      <c r="D25" s="45" t="inlineStr">
        <is>
          <t>Flávio e família</t>
        </is>
      </c>
      <c r="E25" s="45" t="inlineStr">
        <is>
          <t>Pai; ex-presidente; hoje preso</t>
        </is>
      </c>
      <c r="F25" s="45">
        <f>COUNTIF(Edges!$A$2:$A$182,A25)+COUNTIF(Edges!$B$2:$B$182,A25)</f>
        <v/>
      </c>
    </row>
    <row r="26" ht="15" customHeight="1" s="25">
      <c r="A26" s="45" t="inlineStr">
        <is>
          <t>wassef</t>
        </is>
      </c>
      <c r="B26" s="45" t="inlineStr">
        <is>
          <t>Frederick Wassef</t>
        </is>
      </c>
      <c r="C26" s="45" t="inlineStr">
        <is>
          <t>Pessoa</t>
        </is>
      </c>
      <c r="D26" s="45" t="inlineStr">
        <is>
          <t>Flávio e família</t>
        </is>
      </c>
      <c r="E26" s="45" t="inlineStr">
        <is>
          <t>Advogado da família Bolsonaro</t>
        </is>
      </c>
      <c r="F26" s="45">
        <f>COUNTIF(Edges!$A$2:$A$182,A26)+COUNTIF(Edges!$B$2:$B$182,A26)</f>
        <v/>
      </c>
    </row>
    <row r="27" ht="15" customHeight="1" s="25">
      <c r="A27" s="45" t="inlineStr">
        <is>
          <t>queiroz</t>
        </is>
      </c>
      <c r="B27" s="45" t="inlineStr">
        <is>
          <t>Fabrício Queiroz</t>
        </is>
      </c>
      <c r="C27" s="45" t="inlineStr">
        <is>
          <t>Pessoa</t>
        </is>
      </c>
      <c r="D27" s="45" t="inlineStr">
        <is>
          <t>Flávio e família</t>
        </is>
      </c>
      <c r="E27" s="45" t="inlineStr">
        <is>
          <t>Operador da rachadinha; 19 meses sem depor</t>
        </is>
      </c>
      <c r="F27" s="45">
        <f>COUNTIF(Edges!$A$2:$A$182,A27)+COUNTIF(Edges!$B$2:$B$182,A27)</f>
        <v/>
      </c>
    </row>
    <row r="28" ht="15" customHeight="1" s="25">
      <c r="A28" s="45" t="inlineStr">
        <is>
          <t>advflavio</t>
        </is>
      </c>
      <c r="B28" s="45" t="inlineStr">
        <is>
          <t>Advogadas de Flávio (2)</t>
        </is>
      </c>
      <c r="C28" s="45" t="inlineStr">
        <is>
          <t>Pessoa</t>
        </is>
      </c>
      <c r="D28" s="45" t="inlineStr">
        <is>
          <t>Flávio e família</t>
        </is>
      </c>
      <c r="E28" s="45" t="inlineStr">
        <is>
          <t>Na reunião de 2020 no Planalto sobre como derrubar a investigação</t>
        </is>
      </c>
      <c r="F28" s="45">
        <f>COUNTIF(Edges!$A$2:$A$182,A28)+COUNTIF(Edges!$B$2:$B$182,A28)</f>
        <v/>
      </c>
    </row>
    <row r="29" ht="15" customHeight="1" s="25">
      <c r="A29" s="45" t="inlineStr">
        <is>
          <t>vorcaro</t>
        </is>
      </c>
      <c r="B29" s="45" t="inlineStr">
        <is>
          <t>Daniel Vorcaro</t>
        </is>
      </c>
      <c r="C29" s="45" t="inlineStr">
        <is>
          <t>Pessoa</t>
        </is>
      </c>
      <c r="D29" s="45" t="inlineStr">
        <is>
          <t>Vorcaro e o Banco Master</t>
        </is>
      </c>
      <c r="E29" s="45" t="inlineStr">
        <is>
          <t>Dono do Banco Master; preso</t>
        </is>
      </c>
      <c r="F29" s="45">
        <f>COUNTIF(Edges!$A$2:$A$182,A29)+COUNTIF(Edges!$B$2:$B$182,A29)</f>
        <v/>
      </c>
    </row>
    <row r="30" ht="15" customHeight="1" s="25">
      <c r="A30" s="45" t="inlineStr">
        <is>
          <t>master</t>
        </is>
      </c>
      <c r="B30" s="45" t="inlineStr">
        <is>
          <t>Banco Master</t>
        </is>
      </c>
      <c r="C30" s="45" t="inlineStr">
        <is>
          <t>Empresa</t>
        </is>
      </c>
      <c r="D30" s="45" t="inlineStr">
        <is>
          <t>Vorcaro e o Banco Master</t>
        </is>
      </c>
      <c r="E30" s="45" t="inlineStr">
        <is>
          <t>Pagou R$ 6,6 mi à consultoria do amigo de Nunes</t>
        </is>
      </c>
      <c r="F30" s="45">
        <f>COUNTIF(Edges!$A$2:$A$182,A30)+COUNTIF(Edges!$B$2:$B$182,A30)</f>
        <v/>
      </c>
      <c r="G30" s="24" t="n"/>
      <c r="H30" s="24" t="n"/>
      <c r="I30" s="24" t="n"/>
      <c r="J30" s="24" t="n"/>
    </row>
    <row r="31" ht="15" customHeight="1" s="25">
      <c r="A31" s="45" t="inlineStr">
        <is>
          <t>zetel</t>
        </is>
      </c>
      <c r="B31" s="45" t="inlineStr">
        <is>
          <t>Fabiano Zettel</t>
        </is>
      </c>
      <c r="C31" s="45" t="inlineStr">
        <is>
          <t>Pessoa</t>
        </is>
      </c>
      <c r="D31" s="45" t="inlineStr">
        <is>
          <t>Vorcaro e o Banco Master</t>
        </is>
      </c>
      <c r="E31" s="45" t="inlineStr">
        <is>
          <t>Cunhado de Vorcaro; preso</t>
        </is>
      </c>
      <c r="F31" s="45">
        <f>COUNTIF(Edges!$A$2:$A$182,A31)+COUNTIF(Edges!$B$2:$B$182,A31)</f>
        <v/>
      </c>
    </row>
    <row r="32" ht="15" customHeight="1" s="25">
      <c r="A32" s="45" t="inlineStr">
        <is>
          <t>dirjur</t>
        </is>
      </c>
      <c r="B32" s="45" t="inlineStr">
        <is>
          <t>Diretor jurídico do Master</t>
        </is>
      </c>
      <c r="C32" s="45" t="inlineStr">
        <is>
          <t>Pessoa</t>
        </is>
      </c>
      <c r="D32" s="45" t="inlineStr">
        <is>
          <t>Vorcaro e o Banco Master</t>
        </is>
      </c>
      <c r="E32" s="45" t="inlineStr">
        <is>
          <t>Mandou o placar do voto ao Vorcaro: “Dominado aqui”</t>
        </is>
      </c>
      <c r="F32" s="45">
        <f>COUNTIF(Edges!$A$2:$A$182,A32)+COUNTIF(Edges!$B$2:$B$182,A32)</f>
        <v/>
      </c>
    </row>
    <row r="33" ht="15" customHeight="1" s="25">
      <c r="A33" s="45" t="inlineStr">
        <is>
          <t>primeu</t>
        </is>
      </c>
      <c r="B33" s="45" t="inlineStr">
        <is>
          <t>Prime U</t>
        </is>
      </c>
      <c r="C33" s="45" t="inlineStr">
        <is>
          <t>Empresa</t>
        </is>
      </c>
      <c r="D33" s="45" t="inlineStr">
        <is>
          <t>Vorcaro e o Banco Master</t>
        </is>
      </c>
      <c r="E33" s="45" t="inlineStr">
        <is>
          <t>Bens de luxo; Vorcaro sócio; pagou passagens das mulheres</t>
        </is>
      </c>
      <c r="F33" s="45">
        <f>COUNTIF(Edges!$A$2:$A$182,A33)+COUNTIF(Edges!$B$2:$B$182,A33)</f>
        <v/>
      </c>
      <c r="G33" s="24" t="n"/>
      <c r="H33" s="24" t="n"/>
      <c r="I33" s="24" t="n"/>
      <c r="J33" s="24" t="n"/>
    </row>
    <row r="34" ht="15" customHeight="1" s="25">
      <c r="A34" s="45" t="inlineStr">
        <is>
          <t>luri</t>
        </is>
      </c>
      <c r="B34" s="45" t="inlineStr">
        <is>
          <t>Luri Eventos</t>
        </is>
      </c>
      <c r="C34" s="45" t="inlineStr">
        <is>
          <t>Empresa</t>
        </is>
      </c>
      <c r="D34" s="45" t="inlineStr">
        <is>
          <t>Vorcaro e o Banco Master</t>
        </is>
      </c>
      <c r="E34" s="45" t="inlineStr">
        <is>
          <t>Agência que recrutava as mulheres das festas</t>
        </is>
      </c>
      <c r="F34" s="45">
        <f>COUNTIF(Edges!$A$2:$A$182,A34)+COUNTIF(Edges!$B$2:$B$182,A34)</f>
        <v/>
      </c>
      <c r="G34" s="24" t="n"/>
      <c r="H34" s="24" t="n"/>
      <c r="I34" s="24" t="n"/>
      <c r="J34" s="24" t="n"/>
    </row>
    <row r="35" ht="23.25" customHeight="1" s="25">
      <c r="A35" s="45" t="inlineStr">
        <is>
          <t>promoter</t>
        </is>
      </c>
      <c r="B35" s="45" t="inlineStr">
        <is>
          <t>Promoter</t>
        </is>
      </c>
      <c r="C35" s="45" t="inlineStr">
        <is>
          <t>Pessoa</t>
        </is>
      </c>
      <c r="D35" s="45" t="inlineStr">
        <is>
          <t>Vorcaro e o Banco Master</t>
        </is>
      </c>
      <c r="E35" s="45" t="inlineStr">
        <is>
          <t>Levava as mulheres às festas; valor mensal citado na transcrição é impreciso (~R$ 60 mil)</t>
        </is>
      </c>
      <c r="F35" s="45">
        <f>COUNTIF(Edges!$A$2:$A$182,A35)+COUNTIF(Edges!$B$2:$B$182,A35)</f>
        <v/>
      </c>
    </row>
    <row r="36" ht="15" customHeight="1" s="25">
      <c r="A36" s="45" t="inlineStr">
        <is>
          <t>mordomo</t>
        </is>
      </c>
      <c r="B36" s="45" t="inlineStr">
        <is>
          <t>Mordomo do triplex</t>
        </is>
      </c>
      <c r="C36" s="45" t="inlineStr">
        <is>
          <t>Pessoa</t>
        </is>
      </c>
      <c r="D36" s="45" t="inlineStr">
        <is>
          <t>Vorcaro e o Banco Master</t>
        </is>
      </c>
      <c r="E36" s="45" t="inlineStr">
        <is>
          <t>Mandava mensagens a Vorcaro sobre as festas</t>
        </is>
      </c>
      <c r="F36" s="45">
        <f>COUNTIF(Edges!$A$2:$A$182,A36)+COUNTIF(Edges!$B$2:$B$182,A36)</f>
        <v/>
      </c>
    </row>
    <row r="37" ht="15" customHeight="1" s="25">
      <c r="A37" s="45" t="inlineStr">
        <is>
          <t>mulheres</t>
        </is>
      </c>
      <c r="B37" s="45" t="inlineStr">
        <is>
          <t>Mulheres das festas</t>
        </is>
      </c>
      <c r="C37" s="45" t="inlineStr">
        <is>
          <t>Pessoa</t>
        </is>
      </c>
      <c r="D37" s="45" t="inlineStr">
        <is>
          <t>Vorcaro e o Banco Master</t>
        </is>
      </c>
      <c r="E37" s="45" t="inlineStr">
        <is>
          <t>Agenciadas; entre elas uma ucraniana de 19 anos</t>
        </is>
      </c>
      <c r="F37" s="45">
        <f>COUNTIF(Edges!$A$2:$A$182,A37)+COUNTIF(Edges!$B$2:$B$182,A37)</f>
        <v/>
      </c>
    </row>
    <row r="38" ht="15" customHeight="1" s="25">
      <c r="A38" s="45" t="inlineStr">
        <is>
          <t>angra</t>
        </is>
      </c>
      <c r="B38" s="45" t="inlineStr">
        <is>
          <t>Mansão em Angra dos Reis</t>
        </is>
      </c>
      <c r="C38" s="45" t="inlineStr">
        <is>
          <t>Casa ou ativo</t>
        </is>
      </c>
      <c r="D38" s="45" t="inlineStr">
        <is>
          <t>Casas e ativos</t>
        </is>
      </c>
      <c r="E38" s="45" t="inlineStr">
        <is>
          <t>Era do Richarlison; hoje da WT; festa da filha de Flávio</t>
        </is>
      </c>
      <c r="F38" s="45">
        <f>COUNTIF(Edges!$A$2:$A$182,A38)+COUNTIF(Edges!$B$2:$B$182,A38)</f>
        <v/>
      </c>
      <c r="G38" s="24" t="n"/>
      <c r="H38" s="24" t="n"/>
      <c r="I38" s="24" t="n"/>
      <c r="J38" s="24" t="n"/>
    </row>
    <row r="39" ht="15" customHeight="1" s="25">
      <c r="A39" s="45" t="inlineStr">
        <is>
          <t>aptosp</t>
        </is>
      </c>
      <c r="B39" s="45" t="inlineStr">
        <is>
          <t>Apartamento de luxo em SP</t>
        </is>
      </c>
      <c r="C39" s="45" t="inlineStr">
        <is>
          <t>Casa ou ativo</t>
        </is>
      </c>
      <c r="D39" s="45" t="inlineStr">
        <is>
          <t>Casas e ativos</t>
        </is>
      </c>
      <c r="E39" s="45" t="inlineStr">
        <is>
          <t>Zetel vendeu à WT com R$ 2 mi de prejuízo; Flávio usou na campanha</t>
        </is>
      </c>
      <c r="F39" s="45">
        <f>COUNTIF(Edges!$A$2:$A$182,A39)+COUNTIF(Edges!$B$2:$B$182,A39)</f>
        <v/>
      </c>
      <c r="G39" s="24" t="n"/>
      <c r="H39" s="24" t="n"/>
      <c r="I39" s="24" t="n"/>
      <c r="J39" s="24" t="n"/>
    </row>
    <row r="40" ht="15" customHeight="1" s="25">
      <c r="A40" s="45" t="inlineStr">
        <is>
          <t>triplex</t>
        </is>
      </c>
      <c r="B40" s="45" t="inlineStr">
        <is>
          <t>Triplex de Vorcaro</t>
        </is>
      </c>
      <c r="C40" s="45" t="inlineStr">
        <is>
          <t>Casa ou ativo</t>
        </is>
      </c>
      <c r="D40" s="45" t="inlineStr">
        <is>
          <t>Casas e ativos</t>
        </is>
      </c>
      <c r="E40" s="45" t="inlineStr">
        <is>
          <t>Palco das festas</t>
        </is>
      </c>
      <c r="F40" s="45">
        <f>COUNTIF(Edges!$A$2:$A$182,A40)+COUNTIF(Edges!$B$2:$B$182,A40)</f>
        <v/>
      </c>
      <c r="G40" s="24" t="n"/>
      <c r="H40" s="24" t="n"/>
      <c r="I40" s="24" t="n"/>
      <c r="J40" s="24" t="n"/>
    </row>
    <row r="41" ht="23.25" customHeight="1" s="25">
      <c r="A41" s="45" t="inlineStr">
        <is>
          <t>jato</t>
        </is>
      </c>
      <c r="B41" s="45" t="inlineStr">
        <is>
          <t>Jato (3 cotistas)</t>
        </is>
      </c>
      <c r="C41" s="45" t="inlineStr">
        <is>
          <t>Casa ou ativo</t>
        </is>
      </c>
      <c r="D41" s="45" t="inlineStr">
        <is>
          <t>Casas e ativos</t>
        </is>
      </c>
      <c r="E41" s="45" t="inlineStr">
        <is>
          <t>Três donos: Alcazar, Prime U e um terceiro não nomeado no vídeo; Flávio voou em jan/2025</t>
        </is>
      </c>
      <c r="F41" s="45">
        <f>COUNTIF(Edges!$A$2:$A$182,A41)+COUNTIF(Edges!$B$2:$B$182,A41)</f>
        <v/>
      </c>
      <c r="G41" s="24" t="n"/>
      <c r="H41" s="24" t="n"/>
      <c r="I41" s="24" t="n"/>
      <c r="J41" s="24" t="n"/>
    </row>
    <row r="42" ht="15" customHeight="1" s="25">
      <c r="A42" s="45" t="inlineStr">
        <is>
          <t>atibaia</t>
        </is>
      </c>
      <c r="B42" s="45" t="inlineStr">
        <is>
          <t>Casa de Wassef em Atibaia</t>
        </is>
      </c>
      <c r="C42" s="45" t="inlineStr">
        <is>
          <t>Casa ou ativo</t>
        </is>
      </c>
      <c r="D42" s="45" t="inlineStr">
        <is>
          <t>Casas e ativos</t>
        </is>
      </c>
      <c r="E42" s="45" t="inlineStr">
        <is>
          <t>Onde Queiroz foi achado escondido (jun/2020)</t>
        </is>
      </c>
      <c r="F42" s="45">
        <f>COUNTIF(Edges!$A$2:$A$182,A42)+COUNTIF(Edges!$B$2:$B$182,A42)</f>
        <v/>
      </c>
      <c r="G42" s="24" t="n"/>
      <c r="H42" s="24" t="n"/>
      <c r="I42" s="24" t="n"/>
      <c r="J42" s="24" t="n"/>
    </row>
    <row r="43" ht="15" customHeight="1" s="25">
      <c r="A43" s="45" t="inlineStr">
        <is>
          <t>richarlison</t>
        </is>
      </c>
      <c r="B43" s="45" t="inlineStr">
        <is>
          <t>Richarlison</t>
        </is>
      </c>
      <c r="C43" s="45" t="inlineStr">
        <is>
          <t>Pessoa</t>
        </is>
      </c>
      <c r="D43" s="45" t="inlineStr">
        <is>
          <t>Casas e ativos</t>
        </is>
      </c>
      <c r="E43" s="45" t="inlineStr">
        <is>
          <t>Jogador; investiu ~R$ 10 mi na casa e perdeu</t>
        </is>
      </c>
      <c r="F43" s="45">
        <f>COUNTIF(Edges!$A$2:$A$182,A43)+COUNTIF(Edges!$B$2:$B$182,A43)</f>
        <v/>
      </c>
    </row>
    <row r="44" ht="15" customHeight="1" s="25">
      <c r="A44" s="45" t="inlineStr">
        <is>
          <t>dono</t>
        </is>
      </c>
      <c r="B44" s="45" t="inlineStr">
        <is>
          <t>Antônio Marcos da Silva</t>
        </is>
      </c>
      <c r="C44" s="45" t="inlineStr">
        <is>
          <t>Pessoa</t>
        </is>
      </c>
      <c r="D44" s="45" t="inlineStr">
        <is>
          <t>Casas e ativos</t>
        </is>
      </c>
      <c r="E44" s="45" t="inlineStr">
        <is>
          <t>Dono da mansão; ouviu Flávio chamar Willer de sócio</t>
        </is>
      </c>
      <c r="F44" s="45">
        <f>COUNTIF(Edges!$A$2:$A$182,A44)+COUNTIF(Edges!$B$2:$B$182,A44)</f>
        <v/>
      </c>
    </row>
    <row r="45" ht="15" customHeight="1" s="25">
      <c r="A45" s="45" t="inlineStr">
        <is>
          <t>nunes</t>
        </is>
      </c>
      <c r="B45" s="45" t="inlineStr">
        <is>
          <t>Kássio Nunes Marques</t>
        </is>
      </c>
      <c r="C45" s="45" t="inlineStr">
        <is>
          <t>Pessoa</t>
        </is>
      </c>
      <c r="D45" s="45" t="inlineStr">
        <is>
          <t>Poder e Justiça</t>
        </is>
      </c>
      <c r="E45" s="45" t="inlineStr">
        <is>
          <t>Ministro do STF; preside o TSE; nega irregularidades</t>
        </is>
      </c>
      <c r="F45" s="45">
        <f>COUNTIF(Edges!$A$2:$A$182,A45)+COUNTIF(Edges!$B$2:$B$182,A45)</f>
        <v/>
      </c>
    </row>
    <row r="46" ht="15" customHeight="1" s="25">
      <c r="A46" s="45" t="inlineStr">
        <is>
          <t>kevin</t>
        </is>
      </c>
      <c r="B46" s="45" t="inlineStr">
        <is>
          <t>Kevin Marques</t>
        </is>
      </c>
      <c r="C46" s="45" t="inlineStr">
        <is>
          <t>Pessoa</t>
        </is>
      </c>
      <c r="D46" s="45" t="inlineStr">
        <is>
          <t>Poder e Justiça</t>
        </is>
      </c>
      <c r="E46" s="45" t="inlineStr">
        <is>
          <t>Filho de Nunes; ~R$ 300 mil via consultoria</t>
        </is>
      </c>
      <c r="F46" s="45">
        <f>COUNTIF(Edges!$A$2:$A$182,A46)+COUNTIF(Edges!$B$2:$B$182,A46)</f>
        <v/>
      </c>
    </row>
    <row r="47" ht="15" customHeight="1" s="25">
      <c r="A47" s="45" t="inlineStr">
        <is>
          <t>consult</t>
        </is>
      </c>
      <c r="B47" s="45" t="inlineStr">
        <is>
          <t>Consultoria do amigo de Nunes</t>
        </is>
      </c>
      <c r="C47" s="45" t="inlineStr">
        <is>
          <t>Empresa</t>
        </is>
      </c>
      <c r="D47" s="45" t="inlineStr">
        <is>
          <t>Poder e Justiça</t>
        </is>
      </c>
      <c r="E47" s="45" t="inlineStr">
        <is>
          <t>Recebeu R$ 6,6 mi do Master</t>
        </is>
      </c>
      <c r="F47" s="45">
        <f>COUNTIF(Edges!$A$2:$A$182,A47)+COUNTIF(Edges!$B$2:$B$182,A47)</f>
        <v/>
      </c>
    </row>
    <row r="48" ht="15" customHeight="1" s="25">
      <c r="A48" s="45" t="inlineStr">
        <is>
          <t>coaf</t>
        </is>
      </c>
      <c r="B48" s="45" t="inlineStr">
        <is>
          <t>Caso rachadinha / COAF</t>
        </is>
      </c>
      <c r="C48" s="45" t="inlineStr">
        <is>
          <t>Instituição ou caso</t>
        </is>
      </c>
      <c r="D48" s="45" t="inlineStr">
        <is>
          <t>Poder e Justiça</t>
        </is>
      </c>
      <c r="E48" s="45" t="inlineStr">
        <is>
          <t>Relatórios anulados pelo STF (nov/2021)</t>
        </is>
      </c>
      <c r="F48" s="45">
        <f>COUNTIF(Edges!$A$2:$A$182,A48)+COUNTIF(Edges!$B$2:$B$182,A48)</f>
        <v/>
      </c>
      <c r="G48" s="24" t="n"/>
      <c r="H48" s="24" t="n"/>
      <c r="I48" s="24" t="n"/>
      <c r="J48" s="24" t="n"/>
    </row>
    <row r="49" ht="15" customHeight="1" s="25">
      <c r="A49" s="45" t="inlineStr">
        <is>
          <t>ramagem</t>
        </is>
      </c>
      <c r="B49" s="45" t="inlineStr">
        <is>
          <t>Alexandre Ramagem</t>
        </is>
      </c>
      <c r="C49" s="45" t="inlineStr">
        <is>
          <t>Pessoa</t>
        </is>
      </c>
      <c r="D49" s="45" t="inlineStr">
        <is>
          <t>Poder e Justiça</t>
        </is>
      </c>
      <c r="E49" s="45" t="inlineStr">
        <is>
          <t>Ex-chefe da Abin; condenado a 16 anos; foragido na Flórida</t>
        </is>
      </c>
      <c r="F49" s="45">
        <f>COUNTIF(Edges!$A$2:$A$182,A49)+COUNTIF(Edges!$B$2:$B$182,A49)</f>
        <v/>
      </c>
    </row>
    <row r="50" ht="15" customHeight="1" s="25">
      <c r="A50" s="45" t="inlineStr">
        <is>
          <t>heleno</t>
        </is>
      </c>
      <c r="B50" s="45" t="inlineStr">
        <is>
          <t>General Heleno</t>
        </is>
      </c>
      <c r="C50" s="45" t="inlineStr">
        <is>
          <t>Pessoa</t>
        </is>
      </c>
      <c r="D50" s="45" t="inlineStr">
        <is>
          <t>Poder e Justiça</t>
        </is>
      </c>
      <c r="E50" s="45" t="inlineStr">
        <is>
          <t>Na reunião de 2020 sobre a rachadinha</t>
        </is>
      </c>
      <c r="F50" s="45">
        <f>COUNTIF(Edges!$A$2:$A$182,A50)+COUNTIF(Edges!$B$2:$B$182,A50)</f>
        <v/>
      </c>
    </row>
    <row r="51" ht="15" customHeight="1" s="25">
      <c r="A51" s="45" t="inlineStr">
        <is>
          <t>moro</t>
        </is>
      </c>
      <c r="B51" s="45" t="inlineStr">
        <is>
          <t>Sérgio Moro</t>
        </is>
      </c>
      <c r="C51" s="45" t="inlineStr">
        <is>
          <t>Pessoa</t>
        </is>
      </c>
      <c r="D51" s="45" t="inlineStr">
        <is>
          <t>Poder e Justiça</t>
        </is>
      </c>
      <c r="E51" s="45" t="inlineStr">
        <is>
          <t>Deixou o Ministério da Justiça (abr/2020)</t>
        </is>
      </c>
      <c r="F51" s="45">
        <f>COUNTIF(Edges!$A$2:$A$182,A51)+COUNTIF(Edges!$B$2:$B$182,A51)</f>
        <v/>
      </c>
    </row>
    <row r="52" ht="15" customHeight="1" s="25">
      <c r="A52" s="45" t="inlineStr">
        <is>
          <t>abin</t>
        </is>
      </c>
      <c r="B52" s="45" t="inlineStr">
        <is>
          <t>Abin</t>
        </is>
      </c>
      <c r="C52" s="45" t="inlineStr">
        <is>
          <t>Instituição ou caso</t>
        </is>
      </c>
      <c r="D52" s="45" t="inlineStr">
        <is>
          <t>Poder e Justiça</t>
        </is>
      </c>
      <c r="E52" s="45" t="inlineStr">
        <is>
          <t>Relatórios para “defender FB”</t>
        </is>
      </c>
      <c r="F52" s="45">
        <f>COUNTIF(Edges!$A$2:$A$182,A52)+COUNTIF(Edges!$B$2:$B$182,A52)</f>
        <v/>
      </c>
      <c r="G52" s="24" t="inlineStr">
        <is>
          <t>abin.jpg</t>
        </is>
      </c>
      <c r="H52" s="24" t="inlineStr">
        <is>
          <t>Antonio Cruz/Agência Brasil · CC BY 3.0 BR</t>
        </is>
      </c>
      <c r="I52" s="24" t="inlineStr">
        <is>
          <t>https://commons.wikimedia.org/wiki/File:Pr%C3%A9dio_da_Abin.jpg</t>
        </is>
      </c>
      <c r="J52" s="24" t="inlineStr"/>
    </row>
    <row r="53" ht="15" customHeight="1" s="25">
      <c r="A53" s="45" t="inlineStr">
        <is>
          <t>receita</t>
        </is>
      </c>
      <c r="B53" s="45" t="inlineStr">
        <is>
          <t>Receita Federal</t>
        </is>
      </c>
      <c r="C53" s="45" t="inlineStr">
        <is>
          <t>Instituição ou caso</t>
        </is>
      </c>
      <c r="D53" s="45" t="inlineStr">
        <is>
          <t>Poder e Justiça</t>
        </is>
      </c>
      <c r="E53" s="45" t="inlineStr">
        <is>
          <t>Chefe foi pessoalmente à casa de Flávio</t>
        </is>
      </c>
      <c r="F53" s="45">
        <f>COUNTIF(Edges!$A$2:$A$182,A53)+COUNTIF(Edges!$B$2:$B$182,A53)</f>
        <v/>
      </c>
      <c r="G53" s="24" t="inlineStr">
        <is>
          <t>receita.jpg</t>
        </is>
      </c>
      <c r="H53" s="24" t="inlineStr">
        <is>
          <t>Academia de Letras de Campo Maior · CC BY-SA 4.0</t>
        </is>
      </c>
      <c r="I53" s="24" t="inlineStr">
        <is>
          <t>https://commons.wikimedia.org/wiki/File:Ag%C3%AAncia_da_Receita_Federal_de_Campo_Maior,_Piau%C3%AD,_Brasil.JPG</t>
        </is>
      </c>
      <c r="J53" s="24" t="inlineStr"/>
    </row>
    <row r="54" ht="15" customHeight="1" s="25">
      <c r="A54" s="45" t="inlineStr">
        <is>
          <t>pf</t>
        </is>
      </c>
      <c r="B54" s="45" t="inlineStr">
        <is>
          <t>Polícia Federal</t>
        </is>
      </c>
      <c r="C54" s="45" t="inlineStr">
        <is>
          <t>Instituição ou caso</t>
        </is>
      </c>
      <c r="D54" s="45" t="inlineStr">
        <is>
          <t>Poder e Justiça</t>
        </is>
      </c>
      <c r="E54" s="45" t="inlineStr">
        <is>
          <t>Investiga Willer e o Careca; diretor é indicado pelo presidente</t>
        </is>
      </c>
      <c r="F54" s="45">
        <f>COUNTIF(Edges!$A$2:$A$182,A54)+COUNTIF(Edges!$B$2:$B$182,A54)</f>
        <v/>
      </c>
      <c r="G54" s="24" t="inlineStr">
        <is>
          <t>pf.jpg</t>
        </is>
      </c>
      <c r="H54" s="24" t="inlineStr">
        <is>
          <t>Agência Senado · CC BY 2.0</t>
        </is>
      </c>
      <c r="I54" s="24" t="inlineStr">
        <is>
          <t>https://commons.wikimedia.org/wiki/File:Sede_da_Pol%C3%ADcia_Federal_(52830107256).jpg</t>
        </is>
      </c>
      <c r="J54" s="24" t="inlineStr"/>
    </row>
    <row r="55" ht="15" customHeight="1" s="25">
      <c r="A55" s="45" t="inlineStr">
        <is>
          <t>pgr</t>
        </is>
      </c>
      <c r="B55" s="45" t="inlineStr">
        <is>
          <t>Procuradoria-Geral (PGR)</t>
        </is>
      </c>
      <c r="C55" s="45" t="inlineStr">
        <is>
          <t>Instituição ou caso</t>
        </is>
      </c>
      <c r="D55" s="45" t="inlineStr">
        <is>
          <t>Poder e Justiça</t>
        </is>
      </c>
      <c r="E55" s="45" t="inlineStr">
        <is>
          <t>Decide se denuncia Vorcaro; chefe indicado pelo presidente</t>
        </is>
      </c>
      <c r="F55" s="45">
        <f>COUNTIF(Edges!$A$2:$A$182,A55)+COUNTIF(Edges!$B$2:$B$182,A55)</f>
        <v/>
      </c>
      <c r="G55" s="24" t="inlineStr">
        <is>
          <t>pgr.jpg</t>
        </is>
      </c>
      <c r="H55" s="24" t="inlineStr">
        <is>
          <t>Webysther · CC BY-SA 4.0</t>
        </is>
      </c>
      <c r="I55" s="24" t="inlineStr">
        <is>
          <t>https://commons.wikimedia.org/wiki/File:Webysther_20180212174501_-_PGR_-_Procuradoria_Geral_da_Rep%C3%BAblica.jpg</t>
        </is>
      </c>
      <c r="J55" s="24" t="inlineStr"/>
    </row>
    <row r="56" ht="23.25" customHeight="1" s="25">
      <c r="A56" s="45" t="inlineStr">
        <is>
          <t>ciro</t>
        </is>
      </c>
      <c r="B56" s="45" t="inlineStr">
        <is>
          <t>Ciro Nogueira</t>
        </is>
      </c>
      <c r="C56" s="45" t="inlineStr">
        <is>
          <t>Pessoa</t>
        </is>
      </c>
      <c r="D56" s="45" t="inlineStr">
        <is>
          <t>Poder e Justiça</t>
        </is>
      </c>
      <c r="E56" s="45" t="inlineStr">
        <is>
          <t>Teria influenciado a escolha de Nunes Marques com Flávio (Folha, set/2020). A transcrição grafa “Círio Nogueira”; identificação inferida</t>
        </is>
      </c>
      <c r="F56" s="45">
        <f>COUNTIF(Edges!$A$2:$A$182,A56)+COUNTIF(Edges!$B$2:$B$182,A56)</f>
        <v/>
      </c>
    </row>
    <row r="57" ht="23.25" customHeight="1" s="25">
      <c r="A57" s="45" t="inlineStr">
        <is>
          <t>stf</t>
        </is>
      </c>
      <c r="B57" s="45" t="inlineStr">
        <is>
          <t>STF</t>
        </is>
      </c>
      <c r="C57" s="45" t="inlineStr">
        <is>
          <t>Instituição ou caso</t>
        </is>
      </c>
      <c r="D57" s="45" t="inlineStr">
        <is>
          <t>Poder e Justiça</t>
        </is>
      </c>
      <c r="E57" s="45" t="inlineStr">
        <is>
          <t>Nunes é ministro; anulou provas da rachadinha; abriu 3 inquéritos de Lulinha; investiga Flávio no caso do filme</t>
        </is>
      </c>
      <c r="F57" s="45">
        <f>COUNTIF(Edges!$A$2:$A$182,A57)+COUNTIF(Edges!$B$2:$B$182,A57)</f>
        <v/>
      </c>
      <c r="G57" s="24" t="inlineStr">
        <is>
          <t>stf.jpg</t>
        </is>
      </c>
      <c r="H57" s="24" t="inlineStr">
        <is>
          <t>Daderot · CC0 (domínio público)</t>
        </is>
      </c>
      <c r="I57" s="24" t="inlineStr">
        <is>
          <t>https://commons.wikimedia.org/wiki/File:Supremo_Tribunal_Federal_building_in_Brasilia_-_DSC00288.JPG</t>
        </is>
      </c>
      <c r="J57" s="24" t="inlineStr"/>
    </row>
    <row r="58" ht="15" customHeight="1" s="25">
      <c r="A58" s="45" t="inlineStr">
        <is>
          <t>tse</t>
        </is>
      </c>
      <c r="B58" s="45" t="inlineStr">
        <is>
          <t>TSE</t>
        </is>
      </c>
      <c r="C58" s="45" t="inlineStr">
        <is>
          <t>Instituição ou caso</t>
        </is>
      </c>
      <c r="D58" s="45" t="inlineStr">
        <is>
          <t>Poder e Justiça</t>
        </is>
      </c>
      <c r="E58" s="45" t="inlineStr">
        <is>
          <t>Presidido por Nunes; suspendeu propaganda sobre o dinheiro do Master</t>
        </is>
      </c>
      <c r="F58" s="45">
        <f>COUNTIF(Edges!$A$2:$A$182,A58)+COUNTIF(Edges!$B$2:$B$182,A58)</f>
        <v/>
      </c>
      <c r="G58" s="24" t="inlineStr">
        <is>
          <t>tse.jpg</t>
        </is>
      </c>
      <c r="H58" s="24" t="inlineStr">
        <is>
          <t>Alexandresena · CC BY-SA 4.0</t>
        </is>
      </c>
      <c r="I58" s="24" t="inlineStr">
        <is>
          <t>https://commons.wikimedia.org/wiki/File:Sede_do_Tribunal_Superior_Eleitoral,_em_Bras%C3%ADlia.jpg</t>
        </is>
      </c>
      <c r="J58" s="24" t="inlineStr"/>
    </row>
    <row r="59">
      <c r="A59" s="45" t="inlineStr">
        <is>
          <t>mendonca</t>
        </is>
      </c>
      <c r="B59" s="45" t="inlineStr">
        <is>
          <t>André Mendonça</t>
        </is>
      </c>
      <c r="C59" s="45" t="inlineStr">
        <is>
          <t>Pessoa</t>
        </is>
      </c>
      <c r="D59" s="45" t="inlineStr">
        <is>
          <t>Poder e Justiça</t>
        </is>
      </c>
      <c r="E59" s="45" t="inlineStr">
        <is>
          <t>Ministro do STF indicado por Jair; relator do caso Master desde fev/2026</t>
        </is>
      </c>
      <c r="F59" s="45">
        <f>COUNTIF(Edges!$A$2:$A$182,A59)+COUNTIF(Edges!$B$2:$B$182,A59)</f>
        <v/>
      </c>
      <c r="G59" s="24" t="n"/>
      <c r="H59" s="24" t="n"/>
      <c r="I59" s="24" t="n"/>
      <c r="J59" s="24" t="n"/>
    </row>
    <row r="60">
      <c r="A60" s="45" t="inlineStr">
        <is>
          <t>iter</t>
        </is>
      </c>
      <c r="B60" s="45" t="inlineStr">
        <is>
          <t>Instituto ITER</t>
        </is>
      </c>
      <c r="C60" s="45" t="inlineStr">
        <is>
          <t>Instituição ou caso</t>
        </is>
      </c>
      <c r="D60" s="45" t="inlineStr">
        <is>
          <t>Poder e Justiça</t>
        </is>
      </c>
      <c r="E60" s="45" t="inlineStr">
        <is>
          <t>Fundado por Mendonça; contratos públicos sem licitação; aporte de empresa de sócio de Vorcaro</t>
        </is>
      </c>
      <c r="F60" s="45">
        <f>COUNTIF(Edges!$A$2:$A$182,A60)+COUNTIF(Edges!$B$2:$B$182,A60)</f>
        <v/>
      </c>
      <c r="G60" s="24" t="n"/>
      <c r="H60" s="24" t="n"/>
      <c r="I60" s="24" t="n"/>
      <c r="J60" s="24" t="n"/>
    </row>
    <row r="61">
      <c r="A61" s="45" t="inlineStr">
        <is>
          <t>cirorocha</t>
        </is>
      </c>
      <c r="B61" s="45" t="inlineStr">
        <is>
          <t>Ciro Rocha Soares</t>
        </is>
      </c>
      <c r="C61" s="45" t="inlineStr">
        <is>
          <t>Pessoa</t>
        </is>
      </c>
      <c r="D61" s="45" t="inlineStr">
        <is>
          <t>Vorcaro e o Banco Master</t>
        </is>
      </c>
      <c r="E61" s="45" t="inlineStr">
        <is>
          <t>Advogado de Vorcaro; mensagens o mostram aproximando o banqueiro de Mendonça</t>
        </is>
      </c>
      <c r="F61" s="45">
        <f>COUNTIF(Edges!$A$2:$A$182,A61)+COUNTIF(Edges!$B$2:$B$182,A61)</f>
        <v/>
      </c>
      <c r="G61" s="24" t="n"/>
      <c r="H61" s="24" t="n"/>
      <c r="I61" s="24" t="n"/>
      <c r="J61" s="24" t="n"/>
    </row>
    <row r="62">
      <c r="A62" s="45" t="inlineStr">
        <is>
          <t>cezinha</t>
        </is>
      </c>
      <c r="B62" s="45" t="inlineStr">
        <is>
          <t>Cezinha de Madureira</t>
        </is>
      </c>
      <c r="C62" s="45" t="inlineStr">
        <is>
          <t>Pessoa</t>
        </is>
      </c>
      <c r="D62" s="45" t="inlineStr">
        <is>
          <t>Poder e Justiça</t>
        </is>
      </c>
      <c r="E62" s="45" t="inlineStr">
        <is>
          <t>Deputado; presente na reunião Mendonça–Vorcaro (fev/2025); alvo de operação autorizada por Dino</t>
        </is>
      </c>
      <c r="F62" s="45">
        <f>COUNTIF(Edges!$A$2:$A$182,A62)+COUNTIF(Edges!$B$2:$B$182,A62)</f>
        <v/>
      </c>
      <c r="G62" s="24" t="n"/>
      <c r="H62" s="24" t="n"/>
      <c r="I62" s="24" t="n"/>
      <c r="J62" s="24" t="n"/>
    </row>
    <row r="63">
      <c r="A63" s="45" t="inlineStr">
        <is>
          <t>bianco</t>
        </is>
      </c>
      <c r="B63" s="45" t="inlineStr">
        <is>
          <t>Bruno Bianco Leal</t>
        </is>
      </c>
      <c r="C63" s="45" t="inlineStr">
        <is>
          <t>Pessoa</t>
        </is>
      </c>
      <c r="D63" s="45" t="inlineStr">
        <is>
          <t>Poder e Justiça</t>
        </is>
      </c>
      <c r="E63" s="45" t="inlineStr">
        <is>
          <t>Ex-AGU do governo Jair; convidado para a reunião com Vorcaro</t>
        </is>
      </c>
      <c r="F63" s="45">
        <f>COUNTIF(Edges!$A$2:$A$182,A63)+COUNTIF(Edges!$B$2:$B$182,A63)</f>
        <v/>
      </c>
      <c r="G63" s="24" t="n"/>
      <c r="H63" s="24" t="n"/>
      <c r="I63" s="24" t="n"/>
      <c r="J63" s="24" t="n"/>
    </row>
    <row r="64">
      <c r="A64" s="45" t="inlineStr">
        <is>
          <t>tarcisio</t>
        </is>
      </c>
      <c r="B64" s="45" t="inlineStr">
        <is>
          <t>Tarcísio de Freitas</t>
        </is>
      </c>
      <c r="C64" s="45" t="inlineStr">
        <is>
          <t>Pessoa</t>
        </is>
      </c>
      <c r="D64" s="45" t="inlineStr">
        <is>
          <t>Poder e Justiça</t>
        </is>
      </c>
      <c r="E64" s="45" t="inlineStr">
        <is>
          <t>Governador de SP; recebeu R$ 2 mi de Zettel em 2022; governo dele contratou o ITER</t>
        </is>
      </c>
      <c r="F64" s="45">
        <f>COUNTIF(Edges!$A$2:$A$182,A64)+COUNTIF(Edges!$B$2:$B$182,A64)</f>
        <v/>
      </c>
      <c r="G64" s="24" t="n"/>
      <c r="H64" s="24" t="n"/>
      <c r="I64" s="24" t="n"/>
      <c r="J64" s="24" t="n"/>
    </row>
    <row r="65">
      <c r="A65" s="45" t="inlineStr">
        <is>
          <t>rnunes</t>
        </is>
      </c>
      <c r="B65" s="45" t="inlineStr">
        <is>
          <t>Ricardo Nunes</t>
        </is>
      </c>
      <c r="C65" s="45" t="inlineStr">
        <is>
          <t>Pessoa</t>
        </is>
      </c>
      <c r="D65" s="45" t="inlineStr">
        <is>
          <t>Poder e Justiça</t>
        </is>
      </c>
      <c r="E65" s="45" t="inlineStr">
        <is>
          <t>Prefeito de SP; prefeitura contratou o ITER</t>
        </is>
      </c>
      <c r="F65" s="45">
        <f>COUNTIF(Edges!$A$2:$A$182,A65)+COUNTIF(Edges!$B$2:$B$182,A65)</f>
        <v/>
      </c>
      <c r="G65" s="24" t="n"/>
      <c r="H65" s="24" t="n"/>
      <c r="I65" s="24" t="n"/>
      <c r="J65" s="24" t="n"/>
    </row>
    <row r="66">
      <c r="A66" s="45" t="inlineStr">
        <is>
          <t>castro</t>
        </is>
      </c>
      <c r="B66" s="45" t="inlineStr">
        <is>
          <t>Cláudio Castro</t>
        </is>
      </c>
      <c r="C66" s="45" t="inlineStr">
        <is>
          <t>Pessoa</t>
        </is>
      </c>
      <c r="D66" s="45" t="inlineStr">
        <is>
          <t>Poder e Justiça</t>
        </is>
      </c>
      <c r="E66" s="45" t="inlineStr">
        <is>
          <t>Governo dele no RJ contratou o ITER</t>
        </is>
      </c>
      <c r="F66" s="45">
        <f>COUNTIF(Edges!$A$2:$A$182,A66)+COUNTIF(Edges!$B$2:$B$182,A66)</f>
        <v/>
      </c>
      <c r="G66" s="24" t="n"/>
      <c r="H66" s="24" t="n"/>
      <c r="I66" s="24" t="n"/>
      <c r="J66" s="24" t="n"/>
    </row>
    <row r="67">
      <c r="A67" s="45" t="inlineStr">
        <is>
          <t>moraes</t>
        </is>
      </c>
      <c r="B67" s="45" t="inlineStr">
        <is>
          <t>Alexandre de Moraes</t>
        </is>
      </c>
      <c r="C67" s="45" t="inlineStr">
        <is>
          <t>Pessoa</t>
        </is>
      </c>
      <c r="D67" s="45" t="inlineStr">
        <is>
          <t>Poder e Justiça</t>
        </is>
      </c>
      <c r="E67" s="45" t="inlineStr">
        <is>
          <t>Ministro do STF</t>
        </is>
      </c>
      <c r="F67" s="45">
        <f>COUNTIF(Edges!$A$2:$A$182,A67)+COUNTIF(Edges!$B$2:$B$182,A67)</f>
        <v/>
      </c>
      <c r="G67" s="24" t="n"/>
      <c r="H67" s="24" t="n"/>
      <c r="I67" s="24" t="n"/>
      <c r="J67" s="24" t="n"/>
    </row>
    <row r="68">
      <c r="A68" s="45" t="inlineStr">
        <is>
          <t>faria</t>
        </is>
      </c>
      <c r="B68" s="45" t="inlineStr">
        <is>
          <t>Fábio Faria</t>
        </is>
      </c>
      <c r="C68" s="45" t="inlineStr">
        <is>
          <t>Pessoa</t>
        </is>
      </c>
      <c r="D68" s="45" t="inlineStr">
        <is>
          <t>Vorcaro e o Banco Master</t>
        </is>
      </c>
      <c r="E68" s="45" t="inlineStr">
        <is>
          <t>Ex-ministro das Comunicações de Jair; PF o aponta como articulador de Vorcaro em Brasília</t>
        </is>
      </c>
      <c r="F68" s="45">
        <f>COUNTIF(Edges!$A$2:$A$182,A68)+COUNTIF(Edges!$B$2:$B$182,A68)</f>
        <v/>
      </c>
      <c r="G68" s="24" t="n"/>
      <c r="H68" s="24" t="n"/>
      <c r="I68" s="24" t="n"/>
      <c r="J68" s="24" t="n"/>
    </row>
    <row r="69">
      <c r="A69" s="45" t="inlineStr">
        <is>
          <t>motta</t>
        </is>
      </c>
      <c r="B69" s="45" t="inlineStr">
        <is>
          <t>Hugo Motta</t>
        </is>
      </c>
      <c r="C69" s="45" t="inlineStr">
        <is>
          <t>Pessoa</t>
        </is>
      </c>
      <c r="D69" s="45" t="inlineStr">
        <is>
          <t>Vorcaro e o Banco Master</t>
        </is>
      </c>
      <c r="E69" s="45" t="inlineStr">
        <is>
          <t>Presidente da Câmara; em grupo de mensagens com Vorcaro</t>
        </is>
      </c>
      <c r="F69" s="45">
        <f>COUNTIF(Edges!$A$2:$A$182,A69)+COUNTIF(Edges!$B$2:$B$182,A69)</f>
        <v/>
      </c>
      <c r="G69" s="24" t="n"/>
      <c r="H69" s="24" t="n"/>
      <c r="I69" s="24" t="n"/>
      <c r="J69" s="24" t="n"/>
    </row>
    <row r="70">
      <c r="A70" s="45" t="inlineStr">
        <is>
          <t>frias</t>
        </is>
      </c>
      <c r="B70" s="45" t="inlineStr">
        <is>
          <t>Mario Frias</t>
        </is>
      </c>
      <c r="C70" s="45" t="inlineStr">
        <is>
          <t>Pessoa</t>
        </is>
      </c>
      <c r="D70" s="45" t="inlineStr">
        <is>
          <t>Flávio e família</t>
        </is>
      </c>
      <c r="E70" s="45" t="inlineStr">
        <is>
          <t>Ex-secretário de Cultura de Jair; produtor-executivo de Dark Horse</t>
        </is>
      </c>
      <c r="F70" s="45">
        <f>COUNTIF(Edges!$A$2:$A$182,A70)+COUNTIF(Edges!$B$2:$B$182,A70)</f>
        <v/>
      </c>
      <c r="G70" s="24" t="n"/>
      <c r="H70" s="24" t="n"/>
      <c r="I70" s="24" t="n"/>
      <c r="J70" s="24" t="n"/>
    </row>
    <row r="71">
      <c r="A71" s="45" t="inlineStr">
        <is>
          <t>marcal</t>
        </is>
      </c>
      <c r="B71" s="45" t="inlineStr">
        <is>
          <t>Pablo Marçal</t>
        </is>
      </c>
      <c r="C71" s="45" t="inlineStr">
        <is>
          <t>Pessoa</t>
        </is>
      </c>
      <c r="D71" s="45" t="inlineStr">
        <is>
          <t>Vorcaro e o Banco Master</t>
        </is>
      </c>
      <c r="E71" s="45" t="inlineStr">
        <is>
          <t>Voo internacional de R$ 1 mi pago por empresa da qual Vorcaro era sócio</t>
        </is>
      </c>
      <c r="F71" s="45">
        <f>COUNTIF(Edges!$A$2:$A$182,A71)+COUNTIF(Edges!$B$2:$B$182,A71)</f>
        <v/>
      </c>
      <c r="G71" s="24" t="n"/>
      <c r="H71" s="24" t="n"/>
      <c r="I71" s="24" t="n"/>
      <c r="J71" s="24" t="n"/>
    </row>
    <row r="72">
      <c r="A72" s="45" t="inlineStr">
        <is>
          <t>govlula</t>
        </is>
      </c>
      <c r="B72" s="45" t="inlineStr">
        <is>
          <t>Governo Lula (Haddad, Gleisi, Mercadante)</t>
        </is>
      </c>
      <c r="C72" s="45" t="inlineStr">
        <is>
          <t>Instituição ou caso</t>
        </is>
      </c>
      <c r="D72" s="45" t="inlineStr">
        <is>
          <t>Poder e Justiça</t>
        </is>
      </c>
      <c r="E72" s="45" t="inlineStr">
        <is>
          <t>Mensagens: Vorcaro via Haddad como opositor e tentou “bloquear” Gleisi e Mercadante</t>
        </is>
      </c>
      <c r="F72" s="45">
        <f>COUNTIF(Edges!$A$2:$A$182,A72)+COUNTIF(Edges!$B$2:$B$182,A72)</f>
        <v/>
      </c>
      <c r="G72" s="24" t="n"/>
      <c r="H72" s="24" t="n"/>
      <c r="I72" s="24" t="n"/>
      <c r="J72" s="24" t="n"/>
    </row>
    <row r="73">
      <c r="A73" s="45" t="inlineStr">
        <is>
          <t>brb</t>
        </is>
      </c>
      <c r="B73" s="45" t="inlineStr">
        <is>
          <t>BRB (Banco de Brasília)</t>
        </is>
      </c>
      <c r="C73" s="45" t="inlineStr">
        <is>
          <t>Empresa</t>
        </is>
      </c>
      <c r="D73" s="45" t="inlineStr">
        <is>
          <t>Vorcaro e o Banco Master</t>
        </is>
      </c>
      <c r="E73" s="45" t="inlineStr">
        <is>
          <t>Banco público do DF, citado no caso Master; financiou a mansão de Flávio</t>
        </is>
      </c>
      <c r="F73" s="45">
        <f>COUNTIF(Edges!$A$2:$A$182,A73)+COUNTIF(Edges!$B$2:$B$182,A73)</f>
        <v/>
      </c>
      <c r="G73" s="24" t="n"/>
      <c r="H73" s="24" t="n"/>
      <c r="I73" s="24" t="n"/>
      <c r="J73" s="24" t="n"/>
    </row>
    <row r="74">
      <c r="A74" s="45" t="inlineStr">
        <is>
          <t>mansaobsb</t>
        </is>
      </c>
      <c r="B74" s="45" t="inlineStr">
        <is>
          <t>Mansão de Flávio em Brasília</t>
        </is>
      </c>
      <c r="C74" s="45" t="inlineStr">
        <is>
          <t>Casa ou ativo</t>
        </is>
      </c>
      <c r="D74" s="45" t="inlineStr">
        <is>
          <t>Casas e ativos</t>
        </is>
      </c>
      <c r="E74" s="45" t="inlineStr">
        <is>
          <t>Avaliada em R$ 6 mi; terreno de 2.400 m²; quitada 27 anos antes do previsto</t>
        </is>
      </c>
      <c r="F74" s="45">
        <f>COUNTIF(Edges!$A$2:$A$182,A74)+COUNTIF(Edges!$B$2:$B$182,A74)</f>
        <v/>
      </c>
      <c r="G74" s="24" t="n"/>
      <c r="H74" s="24" t="n"/>
      <c r="I74" s="24" t="n"/>
      <c r="J74" s="24" t="n"/>
    </row>
    <row r="75">
      <c r="A75" s="45" t="inlineStr">
        <is>
          <t>kopenhagen</t>
        </is>
      </c>
      <c r="B75" s="45" t="inlineStr">
        <is>
          <t>Loja Kopenhagen de Flávio</t>
        </is>
      </c>
      <c r="C75" s="45" t="inlineStr">
        <is>
          <t>Empresa</t>
        </is>
      </c>
      <c r="D75" s="45" t="inlineStr">
        <is>
          <t>Flávio e família</t>
        </is>
      </c>
      <c r="E75" s="45" t="inlineStr">
        <is>
          <t>Franquia no Via Parque (RJ), já vendida; MP suspeitou de lavagem da rachadinha</t>
        </is>
      </c>
      <c r="F75" s="45">
        <f>COUNTIF(Edges!$A$2:$A$182,A75)+COUNTIF(Edges!$B$2:$B$182,A75)</f>
        <v/>
      </c>
      <c r="G75" s="24" t="n"/>
      <c r="H75" s="24" t="n"/>
      <c r="I75" s="24" t="n"/>
      <c r="J75" s="24" t="n"/>
    </row>
    <row r="76">
      <c r="A76" s="45" t="inlineStr">
        <is>
          <t>adriano</t>
        </is>
      </c>
      <c r="B76" s="45" t="inlineStr">
        <is>
          <t>Adriano da Nóbrega</t>
        </is>
      </c>
      <c r="C76" s="45" t="inlineStr">
        <is>
          <t>Pessoa</t>
        </is>
      </c>
      <c r="D76" s="45" t="inlineStr">
        <is>
          <t>Flávio e família</t>
        </is>
      </c>
      <c r="E76" s="45" t="inlineStr">
        <is>
          <t>Ex-capitão do Bope, apontado como chefe do Escritório do Crime; morto em fev/2020</t>
        </is>
      </c>
      <c r="F76" s="45">
        <f>COUNTIF(Edges!$A$2:$A$182,A76)+COUNTIF(Edges!$B$2:$B$182,A76)</f>
        <v/>
      </c>
      <c r="G76" s="24" t="n"/>
      <c r="H76" s="24" t="n"/>
      <c r="I76" s="24" t="n"/>
      <c r="J76" s="24" t="n"/>
    </row>
    <row r="77">
      <c r="A77" s="45" t="inlineStr">
        <is>
          <t>ronald</t>
        </is>
      </c>
      <c r="B77" s="45" t="inlineStr">
        <is>
          <t>Ronald Paulo Alves Pereira</t>
        </is>
      </c>
      <c r="C77" s="45" t="inlineStr">
        <is>
          <t>Pessoa</t>
        </is>
      </c>
      <c r="D77" s="45" t="inlineStr">
        <is>
          <t>Flávio e família</t>
        </is>
      </c>
      <c r="E77" s="45" t="inlineStr">
        <is>
          <t>Apontado como liderança de milícia no Rio; homenageado por Flávio em 2004</t>
        </is>
      </c>
      <c r="F77" s="45">
        <f>COUNTIF(Edges!$A$2:$A$182,A77)+COUNTIF(Edges!$B$2:$B$182,A77)</f>
        <v/>
      </c>
      <c r="G77" s="24" t="n"/>
      <c r="H77" s="24" t="n"/>
      <c r="I77" s="24" t="n"/>
      <c r="J77" s="24" t="n"/>
    </row>
    <row r="78">
      <c r="A78" s="45" t="inlineStr">
        <is>
          <t>orelha</t>
        </is>
      </c>
      <c r="B78" s="45" t="inlineStr">
        <is>
          <t>Luís Carlos Felipe Martins (“Orelha”)</t>
        </is>
      </c>
      <c r="C78" s="45" t="inlineStr">
        <is>
          <t>Pessoa</t>
        </is>
      </c>
      <c r="D78" s="45" t="inlineStr">
        <is>
          <t>Flávio e família</t>
        </is>
      </c>
      <c r="E78" s="45" t="inlineStr">
        <is>
          <t>Ex-PM expulso, ligado à milícia de Rio das Pedras; homenageado por Flávio; morto em 2021</t>
        </is>
      </c>
      <c r="F78" s="45">
        <f>COUNTIF(Edges!$A$2:$A$182,A78)+COUNTIF(Edges!$B$2:$B$182,A78)</f>
        <v/>
      </c>
      <c r="G78" s="24" t="n"/>
      <c r="H78" s="24" t="n"/>
      <c r="I78" s="24" t="n"/>
      <c r="J78" s="24" t="n"/>
    </row>
    <row r="79">
      <c r="A79" s="45" t="inlineStr">
        <is>
          <t>pms16</t>
        </is>
      </c>
      <c r="B79" s="45" t="inlineStr">
        <is>
          <t>16 PMs denunciados</t>
        </is>
      </c>
      <c r="C79" s="45" t="inlineStr">
        <is>
          <t>Pessoa</t>
        </is>
      </c>
      <c r="D79" s="45" t="inlineStr">
        <is>
          <t>Flávio e família</t>
        </is>
      </c>
      <c r="E79" s="45" t="inlineStr">
        <is>
          <t>Condecorados por Flávio e Carlos; denunciados como integrantes de organizações criminosas</t>
        </is>
      </c>
      <c r="F79" s="45">
        <f>COUNTIF(Edges!$A$2:$A$182,A79)+COUNTIF(Edges!$B$2:$B$182,A79)</f>
        <v/>
      </c>
      <c r="G79" s="24" t="n"/>
      <c r="H79" s="24" t="n"/>
      <c r="I79" s="24" t="n"/>
      <c r="J79" s="24" t="n"/>
    </row>
    <row r="80">
      <c r="A80" s="45" t="inlineStr">
        <is>
          <t>peixe</t>
        </is>
      </c>
      <c r="B80" s="45" t="inlineStr">
        <is>
          <t>Robson Calixto (“Peixe”)</t>
        </is>
      </c>
      <c r="C80" s="45" t="inlineStr">
        <is>
          <t>Pessoa</t>
        </is>
      </c>
      <c r="D80" s="45" t="inlineStr">
        <is>
          <t>Flávio e família</t>
        </is>
      </c>
      <c r="E80" s="45" t="inlineStr">
        <is>
          <t>Condenado no caso Marielle; negociou emenda com assessora de Flávio</t>
        </is>
      </c>
      <c r="F80" s="45">
        <f>COUNTIF(Edges!$A$2:$A$182,A80)+COUNTIF(Edges!$B$2:$B$182,A80)</f>
        <v/>
      </c>
      <c r="G80" s="24" t="n"/>
      <c r="H80" s="24" t="n"/>
      <c r="I80" s="24" t="n"/>
      <c r="J80" s="24" t="n"/>
    </row>
    <row r="81">
      <c r="A81" s="45" t="inlineStr">
        <is>
          <t>ongbrazao</t>
        </is>
      </c>
      <c r="B81" s="45" t="inlineStr">
        <is>
          <t>ONG ligada aos irmãos Brazão</t>
        </is>
      </c>
      <c r="C81" s="45" t="inlineStr">
        <is>
          <t>Empresa</t>
        </is>
      </c>
      <c r="D81" s="45" t="inlineStr">
        <is>
          <t>Flávio e família</t>
        </is>
      </c>
      <c r="E81" s="45" t="inlineStr">
        <is>
          <t>Recebeu emenda de Flávio; PF apura desvios</t>
        </is>
      </c>
      <c r="F81" s="45">
        <f>COUNTIF(Edges!$A$2:$A$182,A81)+COUNTIF(Edges!$B$2:$B$182,A81)</f>
        <v/>
      </c>
      <c r="G81" s="24" t="n"/>
      <c r="H81" s="24" t="n"/>
      <c r="I81" s="24" t="n"/>
      <c r="J81" s="24" t="n"/>
    </row>
    <row r="82">
      <c r="A82" s="45" t="inlineStr">
        <is>
          <t>gaspar</t>
        </is>
      </c>
      <c r="B82" s="45" t="inlineStr">
        <is>
          <t>Alfredo Gaspar</t>
        </is>
      </c>
      <c r="C82" s="45" t="inlineStr">
        <is>
          <t>Pessoa</t>
        </is>
      </c>
      <c r="D82" s="45" t="inlineStr">
        <is>
          <t>Flávio e família</t>
        </is>
      </c>
      <c r="E82" s="45" t="inlineStr">
        <is>
          <t>Vice na chapa de Flávio; pedido de investigação arquivado pelo STF (out/2026); nega</t>
        </is>
      </c>
      <c r="F82" s="45">
        <f>COUNTIF(Edges!$A$2:$A$182,A82)+COUNTIF(Edges!$B$2:$B$182,A82)</f>
        <v/>
      </c>
      <c r="G82" s="24" t="n"/>
      <c r="H82" s="24" t="n"/>
      <c r="I82" s="24" t="n"/>
      <c r="J82" s="24" t="n"/>
    </row>
    <row r="83">
      <c r="A83" s="45" t="inlineStr">
        <is>
          <t>jbcarvalho</t>
        </is>
      </c>
      <c r="B83" s="45" t="inlineStr">
        <is>
          <t>Bispo JB Carvalho</t>
        </is>
      </c>
      <c r="C83" s="45" t="inlineStr">
        <is>
          <t>Pessoa</t>
        </is>
      </c>
      <c r="D83" s="45" t="inlineStr">
        <is>
          <t>Flávio e família</t>
        </is>
      </c>
      <c r="E83" s="45" t="inlineStr">
        <is>
          <t>Pastor de Flávio; defendeu em livro retirar o título de padroeira de N. Sra. Aparecida</t>
        </is>
      </c>
      <c r="F83" s="45">
        <f>COUNTIF(Edges!$A$2:$A$182,A83)+COUNTIF(Edges!$B$2:$B$182,A83)</f>
        <v/>
      </c>
      <c r="G83" s="24" t="n"/>
      <c r="H83" s="24" t="n"/>
      <c r="I83" s="24" t="n"/>
      <c r="J83" s="24" t="n"/>
    </row>
    <row r="84">
      <c r="A84" s="45" t="inlineStr">
        <is>
          <t>pmacusado</t>
        </is>
      </c>
      <c r="B84" s="45" t="inlineStr">
        <is>
          <t>PM acusado de matar menina de 5 anos</t>
        </is>
      </c>
      <c r="C84" s="45" t="inlineStr">
        <is>
          <t>Pessoa</t>
        </is>
      </c>
      <c r="D84" s="45" t="inlineStr">
        <is>
          <t>Flávio e família</t>
        </is>
      </c>
      <c r="E84" s="45" t="inlineStr">
        <is>
          <t>Preso em flagrante no RJ; Flávio atuou como advogado dele no STJ</t>
        </is>
      </c>
      <c r="F84" s="45">
        <f>COUNTIF(Edges!$A$2:$A$182,A84)+COUNTIF(Edges!$B$2:$B$182,A84)</f>
        <v/>
      </c>
      <c r="G84" s="24" t="n"/>
      <c r="H84" s="24" t="n"/>
      <c r="I84" s="24" t="n"/>
      <c r="J84" s="24" t="n"/>
    </row>
  </sheetData>
  <autoFilter ref="A1:F5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8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4" min="1" max="2"/>
    <col width="60" customWidth="1" style="24" min="3" max="3"/>
    <col width="22" customWidth="1" style="24" min="4" max="4"/>
    <col width="30" customWidth="1" style="24" min="5" max="6"/>
  </cols>
  <sheetData>
    <row r="1" ht="15" customHeight="1" s="25">
      <c r="A1" s="44" t="inlineStr">
        <is>
          <t>Source</t>
        </is>
      </c>
      <c r="B1" s="44" t="inlineStr">
        <is>
          <t>Target</t>
        </is>
      </c>
      <c r="C1" s="44" t="inlineStr">
        <is>
          <t>Label</t>
        </is>
      </c>
      <c r="D1" s="44" t="inlineStr">
        <is>
          <t>Status</t>
        </is>
      </c>
      <c r="E1" s="44" t="inlineStr">
        <is>
          <t>Source name</t>
        </is>
      </c>
      <c r="F1" s="44" t="inlineStr">
        <is>
          <t>Target name</t>
        </is>
      </c>
    </row>
    <row r="2" ht="15" customHeight="1" s="25">
      <c r="A2" s="45" t="inlineStr">
        <is>
          <t>assoc</t>
        </is>
      </c>
      <c r="B2" s="45" t="inlineStr">
        <is>
          <t>careca</t>
        </is>
      </c>
      <c r="C2" s="45" t="inlineStr">
        <is>
          <t>Dinheiro dos descontos passa pelo esquema que a PF atribui a ele</t>
        </is>
      </c>
      <c r="D2" s="45" t="inlineStr">
        <is>
          <t>Documentado</t>
        </is>
      </c>
      <c r="E2" s="45">
        <f>INDEX(Nodes!$B$2:$B$84,MATCH(A2,Nodes!$A$2:$A$84,0))</f>
        <v/>
      </c>
      <c r="F2" s="45">
        <f>INDEX(Nodes!$B$2:$B$84,MATCH(B2,Nodes!$A$2:$A$84,0))</f>
        <v/>
      </c>
    </row>
    <row r="3" ht="15" customHeight="1" s="25">
      <c r="A3" s="45" t="inlineStr">
        <is>
          <t>careca</t>
        </is>
      </c>
      <c r="B3" s="45" t="inlineStr">
        <is>
          <t>contador</t>
        </is>
      </c>
      <c r="C3" s="45" t="inlineStr">
        <is>
          <t>Contador dele</t>
        </is>
      </c>
      <c r="D3" s="45" t="inlineStr">
        <is>
          <t>Documentado</t>
        </is>
      </c>
      <c r="E3" s="45">
        <f>INDEX(Nodes!$B$2:$B$84,MATCH(A3,Nodes!$A$2:$A$84,0))</f>
        <v/>
      </c>
      <c r="F3" s="45">
        <f>INDEX(Nodes!$B$2:$B$84,MATCH(B3,Nodes!$A$2:$A$84,0))</f>
        <v/>
      </c>
    </row>
    <row r="4" ht="15" customHeight="1" s="25">
      <c r="A4" s="45" t="inlineStr">
        <is>
          <t>contador</t>
        </is>
      </c>
      <c r="B4" s="45" t="inlineStr">
        <is>
          <t>leticia</t>
        </is>
      </c>
      <c r="C4" s="45" t="inlineStr">
        <is>
          <t>Irmãos</t>
        </is>
      </c>
      <c r="D4" s="45" t="inlineStr">
        <is>
          <t>Documentado</t>
        </is>
      </c>
      <c r="E4" s="45">
        <f>INDEX(Nodes!$B$2:$B$84,MATCH(A4,Nodes!$A$2:$A$84,0))</f>
        <v/>
      </c>
      <c r="F4" s="45">
        <f>INDEX(Nodes!$B$2:$B$84,MATCH(B4,Nodes!$A$2:$A$84,0))</f>
        <v/>
      </c>
    </row>
    <row r="5" ht="15" customHeight="1" s="25">
      <c r="A5" s="45" t="inlineStr">
        <is>
          <t>leticia</t>
        </is>
      </c>
      <c r="B5" s="45" t="inlineStr">
        <is>
          <t>escf</t>
        </is>
      </c>
      <c r="C5" s="45" t="inlineStr">
        <is>
          <t>Administra desde 2021</t>
        </is>
      </c>
      <c r="D5" s="45" t="inlineStr">
        <is>
          <t>Documentado</t>
        </is>
      </c>
      <c r="E5" s="45">
        <f>INDEX(Nodes!$B$2:$B$84,MATCH(A5,Nodes!$A$2:$A$84,0))</f>
        <v/>
      </c>
      <c r="F5" s="45">
        <f>INDEX(Nodes!$B$2:$B$84,MATCH(B5,Nodes!$A$2:$A$84,0))</f>
        <v/>
      </c>
    </row>
    <row r="6" ht="15" customHeight="1" s="25">
      <c r="A6" s="45" t="inlineStr">
        <is>
          <t>contador</t>
        </is>
      </c>
      <c r="B6" s="45" t="inlineStr">
        <is>
          <t>escf</t>
        </is>
      </c>
      <c r="C6" s="45" t="inlineStr">
        <is>
          <t>Faz a contabilidade</t>
        </is>
      </c>
      <c r="D6" s="45" t="inlineStr">
        <is>
          <t>Documentado</t>
        </is>
      </c>
      <c r="E6" s="45">
        <f>INDEX(Nodes!$B$2:$B$84,MATCH(A6,Nodes!$A$2:$A$84,0))</f>
        <v/>
      </c>
      <c r="F6" s="45">
        <f>INDEX(Nodes!$B$2:$B$84,MATCH(B6,Nodes!$A$2:$A$84,0))</f>
        <v/>
      </c>
    </row>
    <row r="7" ht="15" customHeight="1" s="25">
      <c r="A7" s="45" t="inlineStr">
        <is>
          <t>willer</t>
        </is>
      </c>
      <c r="B7" s="45" t="inlineStr">
        <is>
          <t>leticia</t>
        </is>
      </c>
      <c r="C7" s="45" t="inlineStr">
        <is>
          <t>Teria indicado a irmã ao escritório de Flávio</t>
        </is>
      </c>
      <c r="D7" s="45" t="inlineStr">
        <is>
          <t>Documentado</t>
        </is>
      </c>
      <c r="E7" s="45">
        <f>INDEX(Nodes!$B$2:$B$84,MATCH(A7,Nodes!$A$2:$A$84,0))</f>
        <v/>
      </c>
      <c r="F7" s="45">
        <f>INDEX(Nodes!$B$2:$B$84,MATCH(B7,Nodes!$A$2:$A$84,0))</f>
        <v/>
      </c>
    </row>
    <row r="8" ht="15" customHeight="1" s="25">
      <c r="A8" s="45" t="inlineStr">
        <is>
          <t>willer</t>
        </is>
      </c>
      <c r="B8" s="45" t="inlineStr">
        <is>
          <t>contador</t>
        </is>
      </c>
      <c r="C8" s="45" t="inlineStr">
        <is>
          <t>É o advogado de defesa</t>
        </is>
      </c>
      <c r="D8" s="45" t="inlineStr">
        <is>
          <t>Documentado</t>
        </is>
      </c>
      <c r="E8" s="45">
        <f>INDEX(Nodes!$B$2:$B$84,MATCH(A8,Nodes!$A$2:$A$84,0))</f>
        <v/>
      </c>
      <c r="F8" s="45">
        <f>INDEX(Nodes!$B$2:$B$84,MATCH(B8,Nodes!$A$2:$A$84,0))</f>
        <v/>
      </c>
    </row>
    <row r="9" ht="15" customHeight="1" s="25">
      <c r="A9" s="45" t="inlineStr">
        <is>
          <t>willer</t>
        </is>
      </c>
      <c r="B9" s="45" t="inlineStr">
        <is>
          <t>careca</t>
        </is>
      </c>
      <c r="C9" s="45" t="inlineStr">
        <is>
          <t>Investigado no mesmo esquema do INSS</t>
        </is>
      </c>
      <c r="D9" s="45" t="inlineStr">
        <is>
          <t>Documentado</t>
        </is>
      </c>
      <c r="E9" s="45">
        <f>INDEX(Nodes!$B$2:$B$84,MATCH(A9,Nodes!$A$2:$A$84,0))</f>
        <v/>
      </c>
      <c r="F9" s="45">
        <f>INDEX(Nodes!$B$2:$B$84,MATCH(B9,Nodes!$A$2:$A$84,0))</f>
        <v/>
      </c>
    </row>
    <row r="10" ht="15" customHeight="1" s="25">
      <c r="A10" s="45" t="inlineStr">
        <is>
          <t>pf</t>
        </is>
      </c>
      <c r="B10" s="45" t="inlineStr">
        <is>
          <t>careca</t>
        </is>
      </c>
      <c r="C10" s="45" t="inlineStr">
        <is>
          <t>Investiga</t>
        </is>
      </c>
      <c r="D10" s="45" t="inlineStr">
        <is>
          <t>Documentado</t>
        </is>
      </c>
      <c r="E10" s="45">
        <f>INDEX(Nodes!$B$2:$B$84,MATCH(A10,Nodes!$A$2:$A$84,0))</f>
        <v/>
      </c>
      <c r="F10" s="45">
        <f>INDEX(Nodes!$B$2:$B$84,MATCH(B10,Nodes!$A$2:$A$84,0))</f>
        <v/>
      </c>
    </row>
    <row r="11" ht="15" customHeight="1" s="25">
      <c r="A11" s="45" t="inlineStr">
        <is>
          <t>lulinha</t>
        </is>
      </c>
      <c r="B11" s="45" t="inlineStr">
        <is>
          <t>careca</t>
        </is>
      </c>
      <c r="C11" s="45" t="inlineStr">
        <is>
          <t>Inquéritos por tráfico de influência a favor do Careca</t>
        </is>
      </c>
      <c r="D11" s="45" t="inlineStr">
        <is>
          <t>Alegado ou contestado</t>
        </is>
      </c>
      <c r="E11" s="45">
        <f>INDEX(Nodes!$B$2:$B$84,MATCH(A11,Nodes!$A$2:$A$84,0))</f>
        <v/>
      </c>
      <c r="F11" s="45">
        <f>INDEX(Nodes!$B$2:$B$84,MATCH(B11,Nodes!$A$2:$A$84,0))</f>
        <v/>
      </c>
    </row>
    <row r="12" ht="15" customHeight="1" s="25">
      <c r="A12" s="45" t="inlineStr">
        <is>
          <t>lulinha</t>
        </is>
      </c>
      <c r="B12" s="45" t="inlineStr">
        <is>
          <t>roberta</t>
        </is>
      </c>
      <c r="C12" s="45" t="inlineStr">
        <is>
          <t>Amiga; PF diz que ela podia agir em nome dele</t>
        </is>
      </c>
      <c r="D12" s="45" t="inlineStr">
        <is>
          <t>Alegado ou contestado</t>
        </is>
      </c>
      <c r="E12" s="45">
        <f>INDEX(Nodes!$B$2:$B$84,MATCH(A12,Nodes!$A$2:$A$84,0))</f>
        <v/>
      </c>
      <c r="F12" s="45">
        <f>INDEX(Nodes!$B$2:$B$84,MATCH(B12,Nodes!$A$2:$A$84,0))</f>
        <v/>
      </c>
    </row>
    <row r="13" ht="15" customHeight="1" s="25">
      <c r="A13" s="45" t="inlineStr">
        <is>
          <t>roberta</t>
        </is>
      </c>
      <c r="B13" s="45" t="inlineStr">
        <is>
          <t>careca</t>
        </is>
      </c>
      <c r="C13" s="45" t="inlineStr">
        <is>
          <t>Recebeu ~R$ 1 mi de empresa de fachada</t>
        </is>
      </c>
      <c r="D13" s="45" t="inlineStr">
        <is>
          <t>Documentado</t>
        </is>
      </c>
      <c r="E13" s="45">
        <f>INDEX(Nodes!$B$2:$B$84,MATCH(A13,Nodes!$A$2:$A$84,0))</f>
        <v/>
      </c>
      <c r="F13" s="45">
        <f>INDEX(Nodes!$B$2:$B$84,MATCH(B13,Nodes!$A$2:$A$84,0))</f>
        <v/>
      </c>
    </row>
    <row r="14" ht="15" customHeight="1" s="25">
      <c r="A14" s="45" t="inlineStr">
        <is>
          <t>careca</t>
        </is>
      </c>
      <c r="B14" s="45" t="inlineStr">
        <is>
          <t>sala</t>
        </is>
      </c>
      <c r="C14" s="45" t="inlineStr">
        <is>
          <t>16 empresas dele no endereço</t>
        </is>
      </c>
      <c r="D14" s="45" t="inlineStr">
        <is>
          <t>Documentado</t>
        </is>
      </c>
      <c r="E14" s="45">
        <f>INDEX(Nodes!$B$2:$B$84,MATCH(A14,Nodes!$A$2:$A$84,0))</f>
        <v/>
      </c>
      <c r="F14" s="45">
        <f>INDEX(Nodes!$B$2:$B$84,MATCH(B14,Nodes!$A$2:$A$84,0))</f>
        <v/>
      </c>
    </row>
    <row r="15" ht="15" customHeight="1" s="25">
      <c r="A15" s="45" t="inlineStr">
        <is>
          <t>bravo</t>
        </is>
      </c>
      <c r="B15" s="45" t="inlineStr">
        <is>
          <t>sala</t>
        </is>
      </c>
      <c r="C15" s="45" t="inlineStr">
        <is>
          <t>Registrada no mesmo endereço</t>
        </is>
      </c>
      <c r="D15" s="45" t="inlineStr">
        <is>
          <t>Documentado</t>
        </is>
      </c>
      <c r="E15" s="45">
        <f>INDEX(Nodes!$B$2:$B$84,MATCH(A15,Nodes!$A$2:$A$84,0))</f>
        <v/>
      </c>
      <c r="F15" s="45">
        <f>INDEX(Nodes!$B$2:$B$84,MATCH(B15,Nodes!$A$2:$A$84,0))</f>
        <v/>
      </c>
    </row>
    <row r="16" ht="15" customHeight="1" s="25">
      <c r="A16" s="45" t="inlineStr">
        <is>
          <t>bravo</t>
        </is>
      </c>
      <c r="B16" s="45" t="inlineStr">
        <is>
          <t>flavio</t>
        </is>
      </c>
      <c r="C16" s="45" t="inlineStr">
        <is>
          <t>Fábrica dele e do irmão</t>
        </is>
      </c>
      <c r="D16" s="45" t="inlineStr">
        <is>
          <t>Documentado</t>
        </is>
      </c>
      <c r="E16" s="45">
        <f>INDEX(Nodes!$B$2:$B$84,MATCH(A16,Nodes!$A$2:$A$84,0))</f>
        <v/>
      </c>
      <c r="F16" s="45">
        <f>INDEX(Nodes!$B$2:$B$84,MATCH(B16,Nodes!$A$2:$A$84,0))</f>
        <v/>
      </c>
    </row>
    <row r="17" ht="15" customHeight="1" s="25">
      <c r="A17" s="45" t="inlineStr">
        <is>
          <t>bravo</t>
        </is>
      </c>
      <c r="B17" s="45" t="inlineStr">
        <is>
          <t>carlos</t>
        </is>
      </c>
      <c r="C17" s="45" t="inlineStr">
        <is>
          <t>Sócios</t>
        </is>
      </c>
      <c r="D17" s="45" t="inlineStr">
        <is>
          <t>Documentado</t>
        </is>
      </c>
      <c r="E17" s="45">
        <f>INDEX(Nodes!$B$2:$B$84,MATCH(A17,Nodes!$A$2:$A$84,0))</f>
        <v/>
      </c>
      <c r="F17" s="45">
        <f>INDEX(Nodes!$B$2:$B$84,MATCH(B17,Nodes!$A$2:$A$84,0))</f>
        <v/>
      </c>
    </row>
    <row r="18" ht="15" customHeight="1" s="25">
      <c r="A18" s="45" t="inlineStr">
        <is>
          <t>flavio</t>
        </is>
      </c>
      <c r="B18" s="45" t="inlineStr">
        <is>
          <t>carlos</t>
        </is>
      </c>
      <c r="C18" s="45" t="inlineStr">
        <is>
          <t>Irmãos</t>
        </is>
      </c>
      <c r="D18" s="45" t="inlineStr">
        <is>
          <t>Documentado</t>
        </is>
      </c>
      <c r="E18" s="45">
        <f>INDEX(Nodes!$B$2:$B$84,MATCH(A18,Nodes!$A$2:$A$84,0))</f>
        <v/>
      </c>
      <c r="F18" s="45">
        <f>INDEX(Nodes!$B$2:$B$84,MATCH(B18,Nodes!$A$2:$A$84,0))</f>
        <v/>
      </c>
    </row>
    <row r="19" ht="15" customHeight="1" s="25">
      <c r="A19" s="45" t="inlineStr">
        <is>
          <t>willer</t>
        </is>
      </c>
      <c r="B19" s="45" t="inlineStr">
        <is>
          <t>escw</t>
        </is>
      </c>
      <c r="C19" s="45" t="inlineStr">
        <is>
          <t>PF fez buscas e achou dinheiro em livros-cofre</t>
        </is>
      </c>
      <c r="D19" s="45" t="inlineStr">
        <is>
          <t>Documentado</t>
        </is>
      </c>
      <c r="E19" s="45">
        <f>INDEX(Nodes!$B$2:$B$84,MATCH(A19,Nodes!$A$2:$A$84,0))</f>
        <v/>
      </c>
      <c r="F19" s="45">
        <f>INDEX(Nodes!$B$2:$B$84,MATCH(B19,Nodes!$A$2:$A$84,0))</f>
        <v/>
      </c>
    </row>
    <row r="20" ht="15" customHeight="1" s="25">
      <c r="A20" s="45" t="inlineStr">
        <is>
          <t>willer</t>
        </is>
      </c>
      <c r="B20" s="45" t="inlineStr">
        <is>
          <t>bets</t>
        </is>
      </c>
      <c r="C20" s="45" t="inlineStr">
        <is>
          <t>Movimentou ~R$ 5 bi em apostas</t>
        </is>
      </c>
      <c r="D20" s="45" t="inlineStr">
        <is>
          <t>Documentado</t>
        </is>
      </c>
      <c r="E20" s="45">
        <f>INDEX(Nodes!$B$2:$B$84,MATCH(A20,Nodes!$A$2:$A$84,0))</f>
        <v/>
      </c>
      <c r="F20" s="45">
        <f>INDEX(Nodes!$B$2:$B$84,MATCH(B20,Nodes!$A$2:$A$84,0))</f>
        <v/>
      </c>
    </row>
    <row r="21" ht="15" customHeight="1" s="25">
      <c r="A21" s="45" t="inlineStr">
        <is>
          <t>willer</t>
        </is>
      </c>
      <c r="B21" s="45" t="inlineStr">
        <is>
          <t>lidia</t>
        </is>
      </c>
      <c r="C21" s="45" t="inlineStr">
        <is>
          <t>Ela comanda 14 empresas ligadas a ele</t>
        </is>
      </c>
      <c r="D21" s="45" t="inlineStr">
        <is>
          <t>Documentado</t>
        </is>
      </c>
      <c r="E21" s="45">
        <f>INDEX(Nodes!$B$2:$B$84,MATCH(A21,Nodes!$A$2:$A$84,0))</f>
        <v/>
      </c>
      <c r="F21" s="45">
        <f>INDEX(Nodes!$B$2:$B$84,MATCH(B21,Nodes!$A$2:$A$84,0))</f>
        <v/>
      </c>
    </row>
    <row r="22" ht="15" customHeight="1" s="25">
      <c r="A22" s="45" t="inlineStr">
        <is>
          <t>lidia</t>
        </is>
      </c>
      <c r="B22" s="45" t="inlineStr">
        <is>
          <t>wt</t>
        </is>
      </c>
      <c r="C22" s="45" t="inlineStr">
        <is>
          <t>Aparece à frente da WT</t>
        </is>
      </c>
      <c r="D22" s="45" t="inlineStr">
        <is>
          <t>Documentado</t>
        </is>
      </c>
      <c r="E22" s="45">
        <f>INDEX(Nodes!$B$2:$B$84,MATCH(A22,Nodes!$A$2:$A$84,0))</f>
        <v/>
      </c>
      <c r="F22" s="45">
        <f>INDEX(Nodes!$B$2:$B$84,MATCH(B22,Nodes!$A$2:$A$84,0))</f>
        <v/>
      </c>
    </row>
    <row r="23" ht="15" customHeight="1" s="25">
      <c r="A23" s="45" t="inlineStr">
        <is>
          <t>willer</t>
        </is>
      </c>
      <c r="B23" s="45" t="inlineStr">
        <is>
          <t>alcazar</t>
        </is>
      </c>
      <c r="C23" s="45" t="inlineStr">
        <is>
          <t>Empresa ligada a ele</t>
        </is>
      </c>
      <c r="D23" s="45" t="inlineStr">
        <is>
          <t>Documentado</t>
        </is>
      </c>
      <c r="E23" s="45">
        <f>INDEX(Nodes!$B$2:$B$84,MATCH(A23,Nodes!$A$2:$A$84,0))</f>
        <v/>
      </c>
      <c r="F23" s="45">
        <f>INDEX(Nodes!$B$2:$B$84,MATCH(B23,Nodes!$A$2:$A$84,0))</f>
        <v/>
      </c>
    </row>
    <row r="24" ht="15" customHeight="1" s="25">
      <c r="A24" s="45" t="inlineStr">
        <is>
          <t>alcazar</t>
        </is>
      </c>
      <c r="B24" s="45" t="inlineStr">
        <is>
          <t>santander</t>
        </is>
      </c>
      <c r="C24" s="45" t="inlineStr">
        <is>
          <t>Conta bancária</t>
        </is>
      </c>
      <c r="D24" s="45" t="inlineStr">
        <is>
          <t>Documentado</t>
        </is>
      </c>
      <c r="E24" s="45">
        <f>INDEX(Nodes!$B$2:$B$84,MATCH(A24,Nodes!$A$2:$A$84,0))</f>
        <v/>
      </c>
      <c r="F24" s="45">
        <f>INDEX(Nodes!$B$2:$B$84,MATCH(B24,Nodes!$A$2:$A$84,0))</f>
        <v/>
      </c>
    </row>
    <row r="25" ht="15" customHeight="1" s="25">
      <c r="A25" s="45" t="inlineStr">
        <is>
          <t>santander</t>
        </is>
      </c>
      <c r="B25" s="45" t="inlineStr">
        <is>
          <t>flavio</t>
        </is>
      </c>
      <c r="C25" s="45" t="inlineStr">
        <is>
          <t>Flávio era “usuário master”; excluído após a 1ª operação</t>
        </is>
      </c>
      <c r="D25" s="45" t="inlineStr">
        <is>
          <t>Alegado ou contestado</t>
        </is>
      </c>
      <c r="E25" s="45">
        <f>INDEX(Nodes!$B$2:$B$84,MATCH(A25,Nodes!$A$2:$A$84,0))</f>
        <v/>
      </c>
      <c r="F25" s="45">
        <f>INDEX(Nodes!$B$2:$B$84,MATCH(B25,Nodes!$A$2:$A$84,0))</f>
        <v/>
      </c>
    </row>
    <row r="26" ht="15" customHeight="1" s="25">
      <c r="A26" s="45" t="inlineStr">
        <is>
          <t>alcazar</t>
        </is>
      </c>
      <c r="B26" s="45" t="inlineStr">
        <is>
          <t>flavio</t>
        </is>
      </c>
      <c r="C26" s="45" t="inlineStr">
        <is>
          <t>PF levanta hipótese de sócio de fato; ele nega</t>
        </is>
      </c>
      <c r="D26" s="45" t="inlineStr">
        <is>
          <t>Alegado ou contestado</t>
        </is>
      </c>
      <c r="E26" s="45">
        <f>INDEX(Nodes!$B$2:$B$84,MATCH(A26,Nodes!$A$2:$A$84,0))</f>
        <v/>
      </c>
      <c r="F26" s="45">
        <f>INDEX(Nodes!$B$2:$B$84,MATCH(B26,Nodes!$A$2:$A$84,0))</f>
        <v/>
      </c>
    </row>
    <row r="27" ht="15" customHeight="1" s="25">
      <c r="A27" s="45" t="inlineStr">
        <is>
          <t>willer</t>
        </is>
      </c>
      <c r="B27" s="45" t="inlineStr">
        <is>
          <t>flavio</t>
        </is>
      </c>
      <c r="C27" s="45" t="inlineStr">
        <is>
          <t>Amigo; viagens juntos; PF vê algo além da amizade</t>
        </is>
      </c>
      <c r="D27" s="45" t="inlineStr">
        <is>
          <t>Alegado ou contestado</t>
        </is>
      </c>
      <c r="E27" s="45">
        <f>INDEX(Nodes!$B$2:$B$84,MATCH(A27,Nodes!$A$2:$A$84,0))</f>
        <v/>
      </c>
      <c r="F27" s="45">
        <f>INDEX(Nodes!$B$2:$B$84,MATCH(B27,Nodes!$A$2:$A$84,0))</f>
        <v/>
      </c>
    </row>
    <row r="28" ht="15" customHeight="1" s="25">
      <c r="A28" s="45" t="inlineStr">
        <is>
          <t>cpi</t>
        </is>
      </c>
      <c r="B28" s="45" t="inlineStr">
        <is>
          <t>willer</t>
        </is>
      </c>
      <c r="C28" s="45" t="inlineStr">
        <is>
          <t>Citado na Covaxin; quebra de sigilo cancelada</t>
        </is>
      </c>
      <c r="D28" s="45" t="inlineStr">
        <is>
          <t>Documentado</t>
        </is>
      </c>
      <c r="E28" s="45">
        <f>INDEX(Nodes!$B$2:$B$84,MATCH(A28,Nodes!$A$2:$A$84,0))</f>
        <v/>
      </c>
      <c r="F28" s="45">
        <f>INDEX(Nodes!$B$2:$B$84,MATCH(B28,Nodes!$A$2:$A$84,0))</f>
        <v/>
      </c>
    </row>
    <row r="29" ht="15" customHeight="1" s="25">
      <c r="A29" s="45" t="inlineStr">
        <is>
          <t>renan</t>
        </is>
      </c>
      <c r="B29" s="45" t="inlineStr">
        <is>
          <t>cpi</t>
        </is>
      </c>
      <c r="C29" s="45" t="inlineStr">
        <is>
          <t>Relator</t>
        </is>
      </c>
      <c r="D29" s="45" t="inlineStr">
        <is>
          <t>Documentado</t>
        </is>
      </c>
      <c r="E29" s="45">
        <f>INDEX(Nodes!$B$2:$B$84,MATCH(A29,Nodes!$A$2:$A$84,0))</f>
        <v/>
      </c>
      <c r="F29" s="45">
        <f>INDEX(Nodes!$B$2:$B$84,MATCH(B29,Nodes!$A$2:$A$84,0))</f>
        <v/>
      </c>
    </row>
    <row r="30" ht="15" customHeight="1" s="25">
      <c r="A30" s="45" t="inlineStr">
        <is>
          <t>cpi</t>
        </is>
      </c>
      <c r="B30" s="45" t="inlineStr">
        <is>
          <t>flavio</t>
        </is>
      </c>
      <c r="C30" s="45" t="inlineStr">
        <is>
          <t>Reagiu contra a quebra do sigilo</t>
        </is>
      </c>
      <c r="D30" s="45" t="inlineStr">
        <is>
          <t>Documentado</t>
        </is>
      </c>
      <c r="E30" s="45">
        <f>INDEX(Nodes!$B$2:$B$84,MATCH(A30,Nodes!$A$2:$A$84,0))</f>
        <v/>
      </c>
      <c r="F30" s="45">
        <f>INDEX(Nodes!$B$2:$B$84,MATCH(B30,Nodes!$A$2:$A$84,0))</f>
        <v/>
      </c>
    </row>
    <row r="31" ht="15" customHeight="1" s="25">
      <c r="A31" s="45" t="inlineStr">
        <is>
          <t>willer</t>
        </is>
      </c>
      <c r="B31" s="45" t="inlineStr">
        <is>
          <t>wassef</t>
        </is>
      </c>
      <c r="C31" s="45" t="inlineStr">
        <is>
          <t>Trio “WWF” com Flávio</t>
        </is>
      </c>
      <c r="D31" s="45" t="inlineStr">
        <is>
          <t>Documentado</t>
        </is>
      </c>
      <c r="E31" s="45">
        <f>INDEX(Nodes!$B$2:$B$84,MATCH(A31,Nodes!$A$2:$A$84,0))</f>
        <v/>
      </c>
      <c r="F31" s="45">
        <f>INDEX(Nodes!$B$2:$B$84,MATCH(B31,Nodes!$A$2:$A$84,0))</f>
        <v/>
      </c>
    </row>
    <row r="32" ht="15" customHeight="1" s="25">
      <c r="A32" s="45" t="inlineStr">
        <is>
          <t>wassef</t>
        </is>
      </c>
      <c r="B32" s="45" t="inlineStr">
        <is>
          <t>flavio</t>
        </is>
      </c>
      <c r="C32" s="45" t="inlineStr">
        <is>
          <t>Advogado da família; trio “WWF”</t>
        </is>
      </c>
      <c r="D32" s="45" t="inlineStr">
        <is>
          <t>Documentado</t>
        </is>
      </c>
      <c r="E32" s="45">
        <f>INDEX(Nodes!$B$2:$B$84,MATCH(A32,Nodes!$A$2:$A$84,0))</f>
        <v/>
      </c>
      <c r="F32" s="45">
        <f>INDEX(Nodes!$B$2:$B$84,MATCH(B32,Nodes!$A$2:$A$84,0))</f>
        <v/>
      </c>
    </row>
    <row r="33" ht="15" customHeight="1" s="25">
      <c r="A33" s="45" t="inlineStr">
        <is>
          <t>willer</t>
        </is>
      </c>
      <c r="B33" s="45" t="inlineStr">
        <is>
          <t>nunes</t>
        </is>
      </c>
      <c r="C33" s="45" t="inlineStr">
        <is>
          <t>Teria respaldado a indicação ao STF (2020)</t>
        </is>
      </c>
      <c r="D33" s="45" t="inlineStr">
        <is>
          <t>Alegado ou contestado</t>
        </is>
      </c>
      <c r="E33" s="45">
        <f>INDEX(Nodes!$B$2:$B$84,MATCH(A33,Nodes!$A$2:$A$84,0))</f>
        <v/>
      </c>
      <c r="F33" s="45">
        <f>INDEX(Nodes!$B$2:$B$84,MATCH(B33,Nodes!$A$2:$A$84,0))</f>
        <v/>
      </c>
    </row>
    <row r="34" ht="15" customHeight="1" s="25">
      <c r="A34" s="45" t="inlineStr">
        <is>
          <t>wassef</t>
        </is>
      </c>
      <c r="B34" s="45" t="inlineStr">
        <is>
          <t>nunes</t>
        </is>
      </c>
      <c r="C34" s="45" t="inlineStr">
        <is>
          <t>Teria respaldado a indicação ao STF (2020)</t>
        </is>
      </c>
      <c r="D34" s="45" t="inlineStr">
        <is>
          <t>Alegado ou contestado</t>
        </is>
      </c>
      <c r="E34" s="45">
        <f>INDEX(Nodes!$B$2:$B$84,MATCH(A34,Nodes!$A$2:$A$84,0))</f>
        <v/>
      </c>
      <c r="F34" s="45">
        <f>INDEX(Nodes!$B$2:$B$84,MATCH(B34,Nodes!$A$2:$A$84,0))</f>
        <v/>
      </c>
    </row>
    <row r="35" ht="23.25" customHeight="1" s="25">
      <c r="A35" s="45" t="inlineStr">
        <is>
          <t>flavio</t>
        </is>
      </c>
      <c r="B35" s="45" t="inlineStr">
        <is>
          <t>nunes</t>
        </is>
      </c>
      <c r="C35" s="45" t="inlineStr">
        <is>
          <t>Teria sugerido o nome ao presidente (Folha, 2020); Nunes nega participação do trio</t>
        </is>
      </c>
      <c r="D35" s="45" t="inlineStr">
        <is>
          <t>Alegado ou contestado</t>
        </is>
      </c>
      <c r="E35" s="45">
        <f>INDEX(Nodes!$B$2:$B$84,MATCH(A35,Nodes!$A$2:$A$84,0))</f>
        <v/>
      </c>
      <c r="F35" s="45">
        <f>INDEX(Nodes!$B$2:$B$84,MATCH(B35,Nodes!$A$2:$A$84,0))</f>
        <v/>
      </c>
    </row>
    <row r="36" ht="15" customHeight="1" s="25">
      <c r="A36" s="45" t="inlineStr">
        <is>
          <t>jair</t>
        </is>
      </c>
      <c r="B36" s="45" t="inlineStr">
        <is>
          <t>nunes</t>
        </is>
      </c>
      <c r="C36" s="45" t="inlineStr">
        <is>
          <t>Indicou ao STF em 2020</t>
        </is>
      </c>
      <c r="D36" s="45" t="inlineStr">
        <is>
          <t>Documentado</t>
        </is>
      </c>
      <c r="E36" s="45">
        <f>INDEX(Nodes!$B$2:$B$84,MATCH(A36,Nodes!$A$2:$A$84,0))</f>
        <v/>
      </c>
      <c r="F36" s="45">
        <f>INDEX(Nodes!$B$2:$B$84,MATCH(B36,Nodes!$A$2:$A$84,0))</f>
        <v/>
      </c>
    </row>
    <row r="37" ht="15" customHeight="1" s="25">
      <c r="A37" s="45" t="inlineStr">
        <is>
          <t>willer</t>
        </is>
      </c>
      <c r="B37" s="45" t="inlineStr">
        <is>
          <t>angra</t>
        </is>
      </c>
      <c r="C37" s="45" t="inlineStr">
        <is>
          <t>Mansão ficou com a empresa dele (WT)</t>
        </is>
      </c>
      <c r="D37" s="45" t="inlineStr">
        <is>
          <t>Documentado</t>
        </is>
      </c>
      <c r="E37" s="45">
        <f>INDEX(Nodes!$B$2:$B$84,MATCH(A37,Nodes!$A$2:$A$84,0))</f>
        <v/>
      </c>
      <c r="F37" s="45">
        <f>INDEX(Nodes!$B$2:$B$84,MATCH(B37,Nodes!$A$2:$A$84,0))</f>
        <v/>
      </c>
    </row>
    <row r="38" ht="15" customHeight="1" s="25">
      <c r="A38" s="45" t="inlineStr">
        <is>
          <t>alcazar</t>
        </is>
      </c>
      <c r="B38" s="45" t="inlineStr">
        <is>
          <t>jato</t>
        </is>
      </c>
      <c r="C38" s="45" t="inlineStr">
        <is>
          <t>Cotista</t>
        </is>
      </c>
      <c r="D38" s="45" t="inlineStr">
        <is>
          <t>Documentado</t>
        </is>
      </c>
      <c r="E38" s="45">
        <f>INDEX(Nodes!$B$2:$B$84,MATCH(A38,Nodes!$A$2:$A$84,0))</f>
        <v/>
      </c>
      <c r="F38" s="45">
        <f>INDEX(Nodes!$B$2:$B$84,MATCH(B38,Nodes!$A$2:$A$84,0))</f>
        <v/>
      </c>
    </row>
    <row r="39" ht="15" customHeight="1" s="25">
      <c r="A39" s="45" t="inlineStr">
        <is>
          <t>primeu</t>
        </is>
      </c>
      <c r="B39" s="45" t="inlineStr">
        <is>
          <t>jato</t>
        </is>
      </c>
      <c r="C39" s="45" t="inlineStr">
        <is>
          <t>Cotista</t>
        </is>
      </c>
      <c r="D39" s="45" t="inlineStr">
        <is>
          <t>Documentado</t>
        </is>
      </c>
      <c r="E39" s="45">
        <f>INDEX(Nodes!$B$2:$B$84,MATCH(A39,Nodes!$A$2:$A$84,0))</f>
        <v/>
      </c>
      <c r="F39" s="45">
        <f>INDEX(Nodes!$B$2:$B$84,MATCH(B39,Nodes!$A$2:$A$84,0))</f>
        <v/>
      </c>
    </row>
    <row r="40" ht="15" customHeight="1" s="25">
      <c r="A40" s="45" t="inlineStr">
        <is>
          <t>flavio</t>
        </is>
      </c>
      <c r="B40" s="45" t="inlineStr">
        <is>
          <t>jato</t>
        </is>
      </c>
      <c r="C40" s="45" t="inlineStr">
        <is>
          <t>Voou em jan/2025</t>
        </is>
      </c>
      <c r="D40" s="45" t="inlineStr">
        <is>
          <t>Documentado</t>
        </is>
      </c>
      <c r="E40" s="45">
        <f>INDEX(Nodes!$B$2:$B$84,MATCH(A40,Nodes!$A$2:$A$84,0))</f>
        <v/>
      </c>
      <c r="F40" s="45">
        <f>INDEX(Nodes!$B$2:$B$84,MATCH(B40,Nodes!$A$2:$A$84,0))</f>
        <v/>
      </c>
    </row>
    <row r="41" ht="15" customHeight="1" s="25">
      <c r="A41" s="45" t="inlineStr">
        <is>
          <t>vorcaro</t>
        </is>
      </c>
      <c r="B41" s="45" t="inlineStr">
        <is>
          <t>jato</t>
        </is>
      </c>
      <c r="C41" s="45" t="inlineStr">
        <is>
          <t>Sócio da Prime U, cotista do jato (ligação indireta)</t>
        </is>
      </c>
      <c r="D41" s="45" t="inlineStr">
        <is>
          <t>Documentado</t>
        </is>
      </c>
      <c r="E41" s="45">
        <f>INDEX(Nodes!$B$2:$B$84,MATCH(A41,Nodes!$A$2:$A$84,0))</f>
        <v/>
      </c>
      <c r="F41" s="45">
        <f>INDEX(Nodes!$B$2:$B$84,MATCH(B41,Nodes!$A$2:$A$84,0))</f>
        <v/>
      </c>
    </row>
    <row r="42" ht="15" customHeight="1" s="25">
      <c r="A42" s="45" t="inlineStr">
        <is>
          <t>willer</t>
        </is>
      </c>
      <c r="B42" s="45" t="inlineStr">
        <is>
          <t>jato</t>
        </is>
      </c>
      <c r="C42" s="45" t="inlineStr">
        <is>
          <t>Voou junto</t>
        </is>
      </c>
      <c r="D42" s="45" t="inlineStr">
        <is>
          <t>Documentado</t>
        </is>
      </c>
      <c r="E42" s="45">
        <f>INDEX(Nodes!$B$2:$B$84,MATCH(A42,Nodes!$A$2:$A$84,0))</f>
        <v/>
      </c>
      <c r="F42" s="45">
        <f>INDEX(Nodes!$B$2:$B$84,MATCH(B42,Nodes!$A$2:$A$84,0))</f>
        <v/>
      </c>
    </row>
    <row r="43" ht="15" customHeight="1" s="25">
      <c r="A43" s="45" t="inlineStr">
        <is>
          <t>fam</t>
        </is>
      </c>
      <c r="B43" s="45" t="inlineStr">
        <is>
          <t>jato</t>
        </is>
      </c>
      <c r="C43" s="45" t="inlineStr">
        <is>
          <t>Voou em jan/2025</t>
        </is>
      </c>
      <c r="D43" s="45" t="inlineStr">
        <is>
          <t>Documentado</t>
        </is>
      </c>
      <c r="E43" s="45">
        <f>INDEX(Nodes!$B$2:$B$84,MATCH(A43,Nodes!$A$2:$A$84,0))</f>
        <v/>
      </c>
      <c r="F43" s="45">
        <f>INDEX(Nodes!$B$2:$B$84,MATCH(B43,Nodes!$A$2:$A$84,0))</f>
        <v/>
      </c>
    </row>
    <row r="44" ht="15" customHeight="1" s="25">
      <c r="A44" s="45" t="inlineStr">
        <is>
          <t>flavio</t>
        </is>
      </c>
      <c r="B44" s="45" t="inlineStr">
        <is>
          <t>fam</t>
        </is>
      </c>
      <c r="C44" s="45" t="inlineStr">
        <is>
          <t>Família</t>
        </is>
      </c>
      <c r="D44" s="45" t="inlineStr">
        <is>
          <t>Documentado</t>
        </is>
      </c>
      <c r="E44" s="45">
        <f>INDEX(Nodes!$B$2:$B$84,MATCH(A44,Nodes!$A$2:$A$84,0))</f>
        <v/>
      </c>
      <c r="F44" s="45">
        <f>INDEX(Nodes!$B$2:$B$84,MATCH(B44,Nodes!$A$2:$A$84,0))</f>
        <v/>
      </c>
    </row>
    <row r="45" ht="15" customHeight="1" s="25">
      <c r="A45" s="45" t="inlineStr">
        <is>
          <t>vorcaro</t>
        </is>
      </c>
      <c r="B45" s="45" t="inlineStr">
        <is>
          <t>primeu</t>
        </is>
      </c>
      <c r="C45" s="45" t="inlineStr">
        <is>
          <t>Sócio</t>
        </is>
      </c>
      <c r="D45" s="45" t="inlineStr">
        <is>
          <t>Documentado</t>
        </is>
      </c>
      <c r="E45" s="45">
        <f>INDEX(Nodes!$B$2:$B$84,MATCH(A45,Nodes!$A$2:$A$84,0))</f>
        <v/>
      </c>
      <c r="F45" s="45">
        <f>INDEX(Nodes!$B$2:$B$84,MATCH(B45,Nodes!$A$2:$A$84,0))</f>
        <v/>
      </c>
    </row>
    <row r="46" ht="15" customHeight="1" s="25">
      <c r="A46" s="45" t="inlineStr">
        <is>
          <t>primeu</t>
        </is>
      </c>
      <c r="B46" s="45" t="inlineStr">
        <is>
          <t>mulheres</t>
        </is>
      </c>
      <c r="C46" s="45" t="inlineStr">
        <is>
          <t>Passagens e hotéis delas faturados à Prime U</t>
        </is>
      </c>
      <c r="D46" s="45" t="inlineStr">
        <is>
          <t>Documentado</t>
        </is>
      </c>
      <c r="E46" s="45">
        <f>INDEX(Nodes!$B$2:$B$84,MATCH(A46,Nodes!$A$2:$A$84,0))</f>
        <v/>
      </c>
      <c r="F46" s="45">
        <f>INDEX(Nodes!$B$2:$B$84,MATCH(B46,Nodes!$A$2:$A$84,0))</f>
        <v/>
      </c>
    </row>
    <row r="47" ht="15" customHeight="1" s="25">
      <c r="A47" s="45" t="inlineStr">
        <is>
          <t>primeu</t>
        </is>
      </c>
      <c r="B47" s="45" t="inlineStr">
        <is>
          <t>angra</t>
        </is>
      </c>
      <c r="C47" s="45" t="inlineStr">
        <is>
          <t>Administrava a mansão</t>
        </is>
      </c>
      <c r="D47" s="45" t="inlineStr">
        <is>
          <t>Documentado</t>
        </is>
      </c>
      <c r="E47" s="45">
        <f>INDEX(Nodes!$B$2:$B$84,MATCH(A47,Nodes!$A$2:$A$84,0))</f>
        <v/>
      </c>
      <c r="F47" s="45">
        <f>INDEX(Nodes!$B$2:$B$84,MATCH(B47,Nodes!$A$2:$A$84,0))</f>
        <v/>
      </c>
    </row>
    <row r="48" ht="15" customHeight="1" s="25">
      <c r="A48" s="45" t="inlineStr">
        <is>
          <t>vorcaro</t>
        </is>
      </c>
      <c r="B48" s="45" t="inlineStr">
        <is>
          <t>luri</t>
        </is>
      </c>
      <c r="C48" s="45" t="inlineStr">
        <is>
          <t>Negociou comprar metade</t>
        </is>
      </c>
      <c r="D48" s="45" t="inlineStr">
        <is>
          <t>Documentado</t>
        </is>
      </c>
      <c r="E48" s="45">
        <f>INDEX(Nodes!$B$2:$B$84,MATCH(A48,Nodes!$A$2:$A$84,0))</f>
        <v/>
      </c>
      <c r="F48" s="45">
        <f>INDEX(Nodes!$B$2:$B$84,MATCH(B48,Nodes!$A$2:$A$84,0))</f>
        <v/>
      </c>
    </row>
    <row r="49" ht="15" customHeight="1" s="25">
      <c r="A49" s="45" t="inlineStr">
        <is>
          <t>vorcaro</t>
        </is>
      </c>
      <c r="B49" s="45" t="inlineStr">
        <is>
          <t>triplex</t>
        </is>
      </c>
      <c r="C49" s="45" t="inlineStr">
        <is>
          <t>Festas no triplex</t>
        </is>
      </c>
      <c r="D49" s="45" t="inlineStr">
        <is>
          <t>Documentado</t>
        </is>
      </c>
      <c r="E49" s="45">
        <f>INDEX(Nodes!$B$2:$B$84,MATCH(A49,Nodes!$A$2:$A$84,0))</f>
        <v/>
      </c>
      <c r="F49" s="45">
        <f>INDEX(Nodes!$B$2:$B$84,MATCH(B49,Nodes!$A$2:$A$84,0))</f>
        <v/>
      </c>
    </row>
    <row r="50" ht="15" customHeight="1" s="25">
      <c r="A50" s="45" t="inlineStr">
        <is>
          <t>vorcaro</t>
        </is>
      </c>
      <c r="B50" s="45" t="inlineStr">
        <is>
          <t>master</t>
        </is>
      </c>
      <c r="C50" s="45" t="inlineStr">
        <is>
          <t>Dono</t>
        </is>
      </c>
      <c r="D50" s="45" t="inlineStr">
        <is>
          <t>Documentado</t>
        </is>
      </c>
      <c r="E50" s="45">
        <f>INDEX(Nodes!$B$2:$B$84,MATCH(A50,Nodes!$A$2:$A$84,0))</f>
        <v/>
      </c>
      <c r="F50" s="45">
        <f>INDEX(Nodes!$B$2:$B$84,MATCH(B50,Nodes!$A$2:$A$84,0))</f>
        <v/>
      </c>
    </row>
    <row r="51" ht="15" customHeight="1" s="25">
      <c r="A51" s="45" t="inlineStr">
        <is>
          <t>vorcaro</t>
        </is>
      </c>
      <c r="B51" s="45" t="inlineStr">
        <is>
          <t>zetel</t>
        </is>
      </c>
      <c r="C51" s="45" t="inlineStr">
        <is>
          <t>Cunhado</t>
        </is>
      </c>
      <c r="D51" s="45" t="inlineStr">
        <is>
          <t>Documentado</t>
        </is>
      </c>
      <c r="E51" s="45">
        <f>INDEX(Nodes!$B$2:$B$84,MATCH(A51,Nodes!$A$2:$A$84,0))</f>
        <v/>
      </c>
      <c r="F51" s="45">
        <f>INDEX(Nodes!$B$2:$B$84,MATCH(B51,Nodes!$A$2:$A$84,0))</f>
        <v/>
      </c>
    </row>
    <row r="52" ht="15" customHeight="1" s="25">
      <c r="A52" s="45" t="inlineStr">
        <is>
          <t>zetel</t>
        </is>
      </c>
      <c r="B52" s="45" t="inlineStr">
        <is>
          <t>aptosp</t>
        </is>
      </c>
      <c r="C52" s="45" t="inlineStr">
        <is>
          <t>Vendeu à WT por R$ 2 mi a menos</t>
        </is>
      </c>
      <c r="D52" s="45" t="inlineStr">
        <is>
          <t>Documentado</t>
        </is>
      </c>
      <c r="E52" s="45">
        <f>INDEX(Nodes!$B$2:$B$84,MATCH(A52,Nodes!$A$2:$A$84,0))</f>
        <v/>
      </c>
      <c r="F52" s="45">
        <f>INDEX(Nodes!$B$2:$B$84,MATCH(B52,Nodes!$A$2:$A$84,0))</f>
        <v/>
      </c>
    </row>
    <row r="53" ht="15" customHeight="1" s="25">
      <c r="A53" s="45" t="inlineStr">
        <is>
          <t>wt</t>
        </is>
      </c>
      <c r="B53" s="45" t="inlineStr">
        <is>
          <t>aptosp</t>
        </is>
      </c>
      <c r="C53" s="45" t="inlineStr">
        <is>
          <t>Compradora</t>
        </is>
      </c>
      <c r="D53" s="45" t="inlineStr">
        <is>
          <t>Documentado</t>
        </is>
      </c>
      <c r="E53" s="45">
        <f>INDEX(Nodes!$B$2:$B$84,MATCH(A53,Nodes!$A$2:$A$84,0))</f>
        <v/>
      </c>
      <c r="F53" s="45">
        <f>INDEX(Nodes!$B$2:$B$84,MATCH(B53,Nodes!$A$2:$A$84,0))</f>
        <v/>
      </c>
    </row>
    <row r="54" ht="15" customHeight="1" s="25">
      <c r="A54" s="45" t="inlineStr">
        <is>
          <t>wt</t>
        </is>
      </c>
      <c r="B54" s="45" t="inlineStr">
        <is>
          <t>angra</t>
        </is>
      </c>
      <c r="C54" s="45" t="inlineStr">
        <is>
          <t>Dona</t>
        </is>
      </c>
      <c r="D54" s="45" t="inlineStr">
        <is>
          <t>Documentado</t>
        </is>
      </c>
      <c r="E54" s="45">
        <f>INDEX(Nodes!$B$2:$B$84,MATCH(A54,Nodes!$A$2:$A$84,0))</f>
        <v/>
      </c>
      <c r="F54" s="45">
        <f>INDEX(Nodes!$B$2:$B$84,MATCH(B54,Nodes!$A$2:$A$84,0))</f>
        <v/>
      </c>
    </row>
    <row r="55" ht="15" customHeight="1" s="25">
      <c r="A55" s="45" t="inlineStr">
        <is>
          <t>angra</t>
        </is>
      </c>
      <c r="B55" s="45" t="inlineStr">
        <is>
          <t>richarlison</t>
        </is>
      </c>
      <c r="C55" s="45" t="inlineStr">
        <is>
          <t>Investiu ~R$ 10 mi e perdeu a casa na Justiça</t>
        </is>
      </c>
      <c r="D55" s="45" t="inlineStr">
        <is>
          <t>Documentado</t>
        </is>
      </c>
      <c r="E55" s="45">
        <f>INDEX(Nodes!$B$2:$B$84,MATCH(A55,Nodes!$A$2:$A$84,0))</f>
        <v/>
      </c>
      <c r="F55" s="45">
        <f>INDEX(Nodes!$B$2:$B$84,MATCH(B55,Nodes!$A$2:$A$84,0))</f>
        <v/>
      </c>
    </row>
    <row r="56" ht="15" customHeight="1" s="25">
      <c r="A56" s="45" t="inlineStr">
        <is>
          <t>angra</t>
        </is>
      </c>
      <c r="B56" s="45" t="inlineStr">
        <is>
          <t>dono</t>
        </is>
      </c>
      <c r="C56" s="45" t="inlineStr">
        <is>
          <t>Antigo dono; ouviu Flávio chamar Willer de sócio</t>
        </is>
      </c>
      <c r="D56" s="45" t="inlineStr">
        <is>
          <t>Documentado</t>
        </is>
      </c>
      <c r="E56" s="45">
        <f>INDEX(Nodes!$B$2:$B$84,MATCH(A56,Nodes!$A$2:$A$84,0))</f>
        <v/>
      </c>
      <c r="F56" s="45">
        <f>INDEX(Nodes!$B$2:$B$84,MATCH(B56,Nodes!$A$2:$A$84,0))</f>
        <v/>
      </c>
    </row>
    <row r="57" ht="15" customHeight="1" s="25">
      <c r="A57" s="45" t="inlineStr">
        <is>
          <t>flavio</t>
        </is>
      </c>
      <c r="B57" s="45" t="inlineStr">
        <is>
          <t>angra</t>
        </is>
      </c>
      <c r="C57" s="45" t="inlineStr">
        <is>
          <t>Aniversário da filha na mansão</t>
        </is>
      </c>
      <c r="D57" s="45" t="inlineStr">
        <is>
          <t>Documentado</t>
        </is>
      </c>
      <c r="E57" s="45">
        <f>INDEX(Nodes!$B$2:$B$84,MATCH(A57,Nodes!$A$2:$A$84,0))</f>
        <v/>
      </c>
      <c r="F57" s="45">
        <f>INDEX(Nodes!$B$2:$B$84,MATCH(B57,Nodes!$A$2:$A$84,0))</f>
        <v/>
      </c>
    </row>
    <row r="58" ht="15" customHeight="1" s="25">
      <c r="A58" s="45" t="inlineStr">
        <is>
          <t>flavio</t>
        </is>
      </c>
      <c r="B58" s="45" t="inlineStr">
        <is>
          <t>aptosp</t>
        </is>
      </c>
      <c r="C58" s="45" t="inlineStr">
        <is>
          <t>Usou na campanha</t>
        </is>
      </c>
      <c r="D58" s="45" t="inlineStr">
        <is>
          <t>Documentado</t>
        </is>
      </c>
      <c r="E58" s="45">
        <f>INDEX(Nodes!$B$2:$B$84,MATCH(A58,Nodes!$A$2:$A$84,0))</f>
        <v/>
      </c>
      <c r="F58" s="45">
        <f>INDEX(Nodes!$B$2:$B$84,MATCH(B58,Nodes!$A$2:$A$84,0))</f>
        <v/>
      </c>
    </row>
    <row r="59" ht="15" customHeight="1" s="25">
      <c r="A59" s="45" t="inlineStr">
        <is>
          <t>vorcaro</t>
        </is>
      </c>
      <c r="B59" s="45" t="inlineStr">
        <is>
          <t>flavio</t>
        </is>
      </c>
      <c r="C59" s="45" t="inlineStr">
        <is>
          <t>Mensagem na véspera da prisão: “Irmão, estou e estarei contigo sempre”</t>
        </is>
      </c>
      <c r="D59" s="45" t="inlineStr">
        <is>
          <t>Documentado</t>
        </is>
      </c>
      <c r="E59" s="45">
        <f>INDEX(Nodes!$B$2:$B$84,MATCH(A59,Nodes!$A$2:$A$84,0))</f>
        <v/>
      </c>
      <c r="F59" s="45">
        <f>INDEX(Nodes!$B$2:$B$84,MATCH(B59,Nodes!$A$2:$A$84,0))</f>
        <v/>
      </c>
    </row>
    <row r="60" ht="23.25" customHeight="1" s="25">
      <c r="A60" s="45" t="inlineStr">
        <is>
          <t>vorcaro</t>
        </is>
      </c>
      <c r="B60" s="45" t="inlineStr">
        <is>
          <t>flavio</t>
        </is>
      </c>
      <c r="C60" s="45" t="inlineStr">
        <is>
          <t>~US$ 24 mi negociados para o filme; Flávio cobrava parcelas por áudio e é investigado</t>
        </is>
      </c>
      <c r="D60" s="45" t="inlineStr">
        <is>
          <t>Alegado ou contestado</t>
        </is>
      </c>
      <c r="E60" s="45">
        <f>INDEX(Nodes!$B$2:$B$84,MATCH(A60,Nodes!$A$2:$A$84,0))</f>
        <v/>
      </c>
      <c r="F60" s="45">
        <f>INDEX(Nodes!$B$2:$B$84,MATCH(B60,Nodes!$A$2:$A$84,0))</f>
        <v/>
      </c>
    </row>
    <row r="61" ht="15" customHeight="1" s="25">
      <c r="A61" s="45" t="inlineStr">
        <is>
          <t>ong</t>
        </is>
      </c>
      <c r="B61" s="45" t="inlineStr">
        <is>
          <t>flavio</t>
        </is>
      </c>
      <c r="C61" s="45" t="inlineStr">
        <is>
          <t>Dinheiro do filme sobre o pai</t>
        </is>
      </c>
      <c r="D61" s="45" t="inlineStr">
        <is>
          <t>Alegado ou contestado</t>
        </is>
      </c>
      <c r="E61" s="45">
        <f>INDEX(Nodes!$B$2:$B$84,MATCH(A61,Nodes!$A$2:$A$84,0))</f>
        <v/>
      </c>
      <c r="F61" s="45">
        <f>INDEX(Nodes!$B$2:$B$84,MATCH(B61,Nodes!$A$2:$A$84,0))</f>
        <v/>
      </c>
    </row>
    <row r="62" ht="15" customHeight="1" s="25">
      <c r="A62" s="45" t="inlineStr">
        <is>
          <t>ong</t>
        </is>
      </c>
      <c r="B62" s="45" t="inlineStr">
        <is>
          <t>vorcaro</t>
        </is>
      </c>
      <c r="C62" s="45" t="inlineStr">
        <is>
          <t>Negociação de ~US$ 24 mi</t>
        </is>
      </c>
      <c r="D62" s="45" t="inlineStr">
        <is>
          <t>Alegado ou contestado</t>
        </is>
      </c>
      <c r="E62" s="45">
        <f>INDEX(Nodes!$B$2:$B$84,MATCH(A62,Nodes!$A$2:$A$84,0))</f>
        <v/>
      </c>
      <c r="F62" s="45">
        <f>INDEX(Nodes!$B$2:$B$84,MATCH(B62,Nodes!$A$2:$A$84,0))</f>
        <v/>
      </c>
    </row>
    <row r="63" ht="15" customHeight="1" s="25">
      <c r="A63" s="45" t="inlineStr">
        <is>
          <t>ong</t>
        </is>
      </c>
      <c r="B63" s="45" t="inlineStr">
        <is>
          <t>eletricista</t>
        </is>
      </c>
      <c r="C63" s="45" t="inlineStr">
        <is>
          <t>Tesoureiro de fachada</t>
        </is>
      </c>
      <c r="D63" s="45" t="inlineStr">
        <is>
          <t>Documentado</t>
        </is>
      </c>
      <c r="E63" s="45">
        <f>INDEX(Nodes!$B$2:$B$84,MATCH(A63,Nodes!$A$2:$A$84,0))</f>
        <v/>
      </c>
      <c r="F63" s="45">
        <f>INDEX(Nodes!$B$2:$B$84,MATCH(B63,Nodes!$A$2:$A$84,0))</f>
        <v/>
      </c>
    </row>
    <row r="64" ht="23.25" customHeight="1" s="25">
      <c r="A64" s="45" t="inlineStr">
        <is>
          <t>triplex</t>
        </is>
      </c>
      <c r="B64" s="45" t="inlineStr">
        <is>
          <t>nunes</t>
        </is>
      </c>
      <c r="C64" s="45" t="inlineStr">
        <is>
          <t>Segundo a Piauí, frequentava as festas com o filho; ele nega irregularidades</t>
        </is>
      </c>
      <c r="D64" s="45" t="inlineStr">
        <is>
          <t>Alegado ou contestado</t>
        </is>
      </c>
      <c r="E64" s="45">
        <f>INDEX(Nodes!$B$2:$B$84,MATCH(A64,Nodes!$A$2:$A$84,0))</f>
        <v/>
      </c>
      <c r="F64" s="45">
        <f>INDEX(Nodes!$B$2:$B$84,MATCH(B64,Nodes!$A$2:$A$84,0))</f>
        <v/>
      </c>
    </row>
    <row r="65" ht="15" customHeight="1" s="25">
      <c r="A65" s="45" t="inlineStr">
        <is>
          <t>triplex</t>
        </is>
      </c>
      <c r="B65" s="45" t="inlineStr">
        <is>
          <t>mulheres</t>
        </is>
      </c>
      <c r="C65" s="45" t="inlineStr">
        <is>
          <t>Mulheres nas festas</t>
        </is>
      </c>
      <c r="D65" s="45" t="inlineStr">
        <is>
          <t>Alegado ou contestado</t>
        </is>
      </c>
      <c r="E65" s="45">
        <f>INDEX(Nodes!$B$2:$B$84,MATCH(A65,Nodes!$A$2:$A$84,0))</f>
        <v/>
      </c>
      <c r="F65" s="45">
        <f>INDEX(Nodes!$B$2:$B$84,MATCH(B65,Nodes!$A$2:$A$84,0))</f>
        <v/>
      </c>
    </row>
    <row r="66" ht="15" customHeight="1" s="25">
      <c r="A66" s="45" t="inlineStr">
        <is>
          <t>luri</t>
        </is>
      </c>
      <c r="B66" s="45" t="inlineStr">
        <is>
          <t>mulheres</t>
        </is>
      </c>
      <c r="C66" s="45" t="inlineStr">
        <is>
          <t>Recrutava</t>
        </is>
      </c>
      <c r="D66" s="45" t="inlineStr">
        <is>
          <t>Alegado ou contestado</t>
        </is>
      </c>
      <c r="E66" s="45">
        <f>INDEX(Nodes!$B$2:$B$84,MATCH(A66,Nodes!$A$2:$A$84,0))</f>
        <v/>
      </c>
      <c r="F66" s="45">
        <f>INDEX(Nodes!$B$2:$B$84,MATCH(B66,Nodes!$A$2:$A$84,0))</f>
        <v/>
      </c>
    </row>
    <row r="67" ht="15" customHeight="1" s="25">
      <c r="A67" s="45" t="inlineStr">
        <is>
          <t>promoter</t>
        </is>
      </c>
      <c r="B67" s="45" t="inlineStr">
        <is>
          <t>mulheres</t>
        </is>
      </c>
      <c r="C67" s="45" t="inlineStr">
        <is>
          <t>Levava as mulheres</t>
        </is>
      </c>
      <c r="D67" s="45" t="inlineStr">
        <is>
          <t>Alegado ou contestado</t>
        </is>
      </c>
      <c r="E67" s="45">
        <f>INDEX(Nodes!$B$2:$B$84,MATCH(A67,Nodes!$A$2:$A$84,0))</f>
        <v/>
      </c>
      <c r="F67" s="45">
        <f>INDEX(Nodes!$B$2:$B$84,MATCH(B67,Nodes!$A$2:$A$84,0))</f>
        <v/>
      </c>
    </row>
    <row r="68" ht="15" customHeight="1" s="25">
      <c r="A68" s="45" t="inlineStr">
        <is>
          <t>promoter</t>
        </is>
      </c>
      <c r="B68" s="45" t="inlineStr">
        <is>
          <t>vorcaro</t>
        </is>
      </c>
      <c r="C68" s="45" t="inlineStr">
        <is>
          <t>Pago pelo banqueiro (valor mensal impreciso na transcrição)</t>
        </is>
      </c>
      <c r="D68" s="45" t="inlineStr">
        <is>
          <t>Alegado ou contestado</t>
        </is>
      </c>
      <c r="E68" s="45">
        <f>INDEX(Nodes!$B$2:$B$84,MATCH(A68,Nodes!$A$2:$A$84,0))</f>
        <v/>
      </c>
      <c r="F68" s="45">
        <f>INDEX(Nodes!$B$2:$B$84,MATCH(B68,Nodes!$A$2:$A$84,0))</f>
        <v/>
      </c>
    </row>
    <row r="69" ht="15" customHeight="1" s="25">
      <c r="A69" s="45" t="inlineStr">
        <is>
          <t>mordomo</t>
        </is>
      </c>
      <c r="B69" s="45" t="inlineStr">
        <is>
          <t>triplex</t>
        </is>
      </c>
      <c r="C69" s="45" t="inlineStr">
        <is>
          <t>Trabalhava no triplex</t>
        </is>
      </c>
      <c r="D69" s="45" t="inlineStr">
        <is>
          <t>Documentado</t>
        </is>
      </c>
      <c r="E69" s="45">
        <f>INDEX(Nodes!$B$2:$B$84,MATCH(A69,Nodes!$A$2:$A$84,0))</f>
        <v/>
      </c>
      <c r="F69" s="45">
        <f>INDEX(Nodes!$B$2:$B$84,MATCH(B69,Nodes!$A$2:$A$84,0))</f>
        <v/>
      </c>
    </row>
    <row r="70" ht="15" customHeight="1" s="25">
      <c r="A70" s="45" t="inlineStr">
        <is>
          <t>mordomo</t>
        </is>
      </c>
      <c r="B70" s="45" t="inlineStr">
        <is>
          <t>vorcaro</t>
        </is>
      </c>
      <c r="C70" s="45" t="inlineStr">
        <is>
          <t>Mandou mensagens sobre a festa de fev/2025</t>
        </is>
      </c>
      <c r="D70" s="45" t="inlineStr">
        <is>
          <t>Alegado ou contestado</t>
        </is>
      </c>
      <c r="E70" s="45">
        <f>INDEX(Nodes!$B$2:$B$84,MATCH(A70,Nodes!$A$2:$A$84,0))</f>
        <v/>
      </c>
      <c r="F70" s="45">
        <f>INDEX(Nodes!$B$2:$B$84,MATCH(B70,Nodes!$A$2:$A$84,0))</f>
        <v/>
      </c>
    </row>
    <row r="71" ht="15" customHeight="1" s="25">
      <c r="A71" s="45" t="inlineStr">
        <is>
          <t>mordomo</t>
        </is>
      </c>
      <c r="B71" s="45" t="inlineStr">
        <is>
          <t>nunes</t>
        </is>
      </c>
      <c r="C71" s="45" t="inlineStr">
        <is>
          <t>Relatou “ministro com cinco meninas”</t>
        </is>
      </c>
      <c r="D71" s="45" t="inlineStr">
        <is>
          <t>Alegado ou contestado</t>
        </is>
      </c>
      <c r="E71" s="45">
        <f>INDEX(Nodes!$B$2:$B$84,MATCH(A71,Nodes!$A$2:$A$84,0))</f>
        <v/>
      </c>
      <c r="F71" s="45">
        <f>INDEX(Nodes!$B$2:$B$84,MATCH(B71,Nodes!$A$2:$A$84,0))</f>
        <v/>
      </c>
    </row>
    <row r="72" ht="15" customHeight="1" s="25">
      <c r="A72" s="45" t="inlineStr">
        <is>
          <t>dirjur</t>
        </is>
      </c>
      <c r="B72" s="45" t="inlineStr">
        <is>
          <t>master</t>
        </is>
      </c>
      <c r="C72" s="45" t="inlineStr">
        <is>
          <t>Diretor do banco</t>
        </is>
      </c>
      <c r="D72" s="45" t="inlineStr">
        <is>
          <t>Documentado</t>
        </is>
      </c>
      <c r="E72" s="45">
        <f>INDEX(Nodes!$B$2:$B$84,MATCH(A72,Nodes!$A$2:$A$84,0))</f>
        <v/>
      </c>
      <c r="F72" s="45">
        <f>INDEX(Nodes!$B$2:$B$84,MATCH(B72,Nodes!$A$2:$A$84,0))</f>
        <v/>
      </c>
    </row>
    <row r="73" ht="15" customHeight="1" s="25">
      <c r="A73" s="45" t="inlineStr">
        <is>
          <t>dirjur</t>
        </is>
      </c>
      <c r="B73" s="45" t="inlineStr">
        <is>
          <t>vorcaro</t>
        </is>
      </c>
      <c r="C73" s="45" t="inlineStr">
        <is>
          <t>“Dominado aqui” no dia do voto de desempate</t>
        </is>
      </c>
      <c r="D73" s="45" t="inlineStr">
        <is>
          <t>Alegado ou contestado</t>
        </is>
      </c>
      <c r="E73" s="45">
        <f>INDEX(Nodes!$B$2:$B$84,MATCH(A73,Nodes!$A$2:$A$84,0))</f>
        <v/>
      </c>
      <c r="F73" s="45">
        <f>INDEX(Nodes!$B$2:$B$84,MATCH(B73,Nodes!$A$2:$A$84,0))</f>
        <v/>
      </c>
    </row>
    <row r="74" ht="23.25" customHeight="1" s="25">
      <c r="A74" s="45" t="inlineStr">
        <is>
          <t>dirjur</t>
        </is>
      </c>
      <c r="B74" s="45" t="inlineStr">
        <is>
          <t>kevin</t>
        </is>
      </c>
      <c r="C74" s="45" t="inlineStr">
        <is>
          <t>Perguntou ao Vorcaro se mantinha o pagamento mensal e mandou o contato do Kevin (valor ilegível na transcrição)</t>
        </is>
      </c>
      <c r="D74" s="45" t="inlineStr">
        <is>
          <t>Alegado ou contestado</t>
        </is>
      </c>
      <c r="E74" s="45">
        <f>INDEX(Nodes!$B$2:$B$84,MATCH(A74,Nodes!$A$2:$A$84,0))</f>
        <v/>
      </c>
      <c r="F74" s="45">
        <f>INDEX(Nodes!$B$2:$B$84,MATCH(B74,Nodes!$A$2:$A$84,0))</f>
        <v/>
      </c>
    </row>
    <row r="75" ht="15" customHeight="1" s="25">
      <c r="A75" s="45" t="inlineStr">
        <is>
          <t>master</t>
        </is>
      </c>
      <c r="B75" s="45" t="inlineStr">
        <is>
          <t>consult</t>
        </is>
      </c>
      <c r="C75" s="45" t="inlineStr">
        <is>
          <t>Pagou R$ 6,6 mi</t>
        </is>
      </c>
      <c r="D75" s="45" t="inlineStr">
        <is>
          <t>Documentado</t>
        </is>
      </c>
      <c r="E75" s="45">
        <f>INDEX(Nodes!$B$2:$B$84,MATCH(A75,Nodes!$A$2:$A$84,0))</f>
        <v/>
      </c>
      <c r="F75" s="45">
        <f>INDEX(Nodes!$B$2:$B$84,MATCH(B75,Nodes!$A$2:$A$84,0))</f>
        <v/>
      </c>
    </row>
    <row r="76" ht="15" customHeight="1" s="25">
      <c r="A76" s="45" t="inlineStr">
        <is>
          <t>consult</t>
        </is>
      </c>
      <c r="B76" s="45" t="inlineStr">
        <is>
          <t>kevin</t>
        </is>
      </c>
      <c r="C76" s="45" t="inlineStr">
        <is>
          <t>Repassou ~R$ 300 mil</t>
        </is>
      </c>
      <c r="D76" s="45" t="inlineStr">
        <is>
          <t>Documentado</t>
        </is>
      </c>
      <c r="E76" s="45">
        <f>INDEX(Nodes!$B$2:$B$84,MATCH(A76,Nodes!$A$2:$A$84,0))</f>
        <v/>
      </c>
      <c r="F76" s="45">
        <f>INDEX(Nodes!$B$2:$B$84,MATCH(B76,Nodes!$A$2:$A$84,0))</f>
        <v/>
      </c>
    </row>
    <row r="77" ht="15" customHeight="1" s="25">
      <c r="A77" s="45" t="inlineStr">
        <is>
          <t>consult</t>
        </is>
      </c>
      <c r="B77" s="45" t="inlineStr">
        <is>
          <t>nunes</t>
        </is>
      </c>
      <c r="C77" s="45" t="inlineStr">
        <is>
          <t>Dono é amigo do ministro</t>
        </is>
      </c>
      <c r="D77" s="45" t="inlineStr">
        <is>
          <t>Documentado</t>
        </is>
      </c>
      <c r="E77" s="45">
        <f>INDEX(Nodes!$B$2:$B$84,MATCH(A77,Nodes!$A$2:$A$84,0))</f>
        <v/>
      </c>
      <c r="F77" s="45">
        <f>INDEX(Nodes!$B$2:$B$84,MATCH(B77,Nodes!$A$2:$A$84,0))</f>
        <v/>
      </c>
    </row>
    <row r="78" ht="15" customHeight="1" s="25">
      <c r="A78" s="45" t="inlineStr">
        <is>
          <t>kevin</t>
        </is>
      </c>
      <c r="B78" s="45" t="inlineStr">
        <is>
          <t>nunes</t>
        </is>
      </c>
      <c r="C78" s="45" t="inlineStr">
        <is>
          <t>Filho</t>
        </is>
      </c>
      <c r="D78" s="45" t="inlineStr">
        <is>
          <t>Documentado</t>
        </is>
      </c>
      <c r="E78" s="45">
        <f>INDEX(Nodes!$B$2:$B$84,MATCH(A78,Nodes!$A$2:$A$84,0))</f>
        <v/>
      </c>
      <c r="F78" s="45">
        <f>INDEX(Nodes!$B$2:$B$84,MATCH(B78,Nodes!$A$2:$A$84,0))</f>
        <v/>
      </c>
    </row>
    <row r="79" ht="15" customHeight="1" s="25">
      <c r="A79" s="45" t="inlineStr">
        <is>
          <t>nunes</t>
        </is>
      </c>
      <c r="B79" s="45" t="inlineStr">
        <is>
          <t>coaf</t>
        </is>
      </c>
      <c r="C79" s="45" t="inlineStr">
        <is>
          <t>Votou a favor de Flávio; provas anuladas</t>
        </is>
      </c>
      <c r="D79" s="45" t="inlineStr">
        <is>
          <t>Documentado</t>
        </is>
      </c>
      <c r="E79" s="45">
        <f>INDEX(Nodes!$B$2:$B$84,MATCH(A79,Nodes!$A$2:$A$84,0))</f>
        <v/>
      </c>
      <c r="F79" s="45">
        <f>INDEX(Nodes!$B$2:$B$84,MATCH(B79,Nodes!$A$2:$A$84,0))</f>
        <v/>
      </c>
    </row>
    <row r="80" ht="15" customHeight="1" s="25">
      <c r="A80" s="45" t="inlineStr">
        <is>
          <t>coaf</t>
        </is>
      </c>
      <c r="B80" s="45" t="inlineStr">
        <is>
          <t>flavio</t>
        </is>
      </c>
      <c r="C80" s="45" t="inlineStr">
        <is>
          <t>Investigação da rachadinha</t>
        </is>
      </c>
      <c r="D80" s="45" t="inlineStr">
        <is>
          <t>Documentado</t>
        </is>
      </c>
      <c r="E80" s="45">
        <f>INDEX(Nodes!$B$2:$B$84,MATCH(A80,Nodes!$A$2:$A$84,0))</f>
        <v/>
      </c>
      <c r="F80" s="45">
        <f>INDEX(Nodes!$B$2:$B$84,MATCH(B80,Nodes!$A$2:$A$84,0))</f>
        <v/>
      </c>
    </row>
    <row r="81" ht="15" customHeight="1" s="25">
      <c r="A81" s="45" t="inlineStr">
        <is>
          <t>coaf</t>
        </is>
      </c>
      <c r="B81" s="45" t="inlineStr">
        <is>
          <t>queiroz</t>
        </is>
      </c>
      <c r="C81" s="45" t="inlineStr">
        <is>
          <t>Operador do esquema</t>
        </is>
      </c>
      <c r="D81" s="45" t="inlineStr">
        <is>
          <t>Documentado</t>
        </is>
      </c>
      <c r="E81" s="45">
        <f>INDEX(Nodes!$B$2:$B$84,MATCH(A81,Nodes!$A$2:$A$84,0))</f>
        <v/>
      </c>
      <c r="F81" s="45">
        <f>INDEX(Nodes!$B$2:$B$84,MATCH(B81,Nodes!$A$2:$A$84,0))</f>
        <v/>
      </c>
    </row>
    <row r="82" ht="15" customHeight="1" s="25">
      <c r="A82" s="45" t="inlineStr">
        <is>
          <t>queiroz</t>
        </is>
      </c>
      <c r="B82" s="45" t="inlineStr">
        <is>
          <t>atibaia</t>
        </is>
      </c>
      <c r="C82" s="45" t="inlineStr">
        <is>
          <t>Achado escondido lá</t>
        </is>
      </c>
      <c r="D82" s="45" t="inlineStr">
        <is>
          <t>Documentado</t>
        </is>
      </c>
      <c r="E82" s="45">
        <f>INDEX(Nodes!$B$2:$B$84,MATCH(A82,Nodes!$A$2:$A$84,0))</f>
        <v/>
      </c>
      <c r="F82" s="45">
        <f>INDEX(Nodes!$B$2:$B$84,MATCH(B82,Nodes!$A$2:$A$84,0))</f>
        <v/>
      </c>
    </row>
    <row r="83" ht="15" customHeight="1" s="25">
      <c r="A83" s="45" t="inlineStr">
        <is>
          <t>wassef</t>
        </is>
      </c>
      <c r="B83" s="45" t="inlineStr">
        <is>
          <t>atibaia</t>
        </is>
      </c>
      <c r="C83" s="45" t="inlineStr">
        <is>
          <t>Casa dele</t>
        </is>
      </c>
      <c r="D83" s="45" t="inlineStr">
        <is>
          <t>Documentado</t>
        </is>
      </c>
      <c r="E83" s="45">
        <f>INDEX(Nodes!$B$2:$B$84,MATCH(A83,Nodes!$A$2:$A$84,0))</f>
        <v/>
      </c>
      <c r="F83" s="45">
        <f>INDEX(Nodes!$B$2:$B$84,MATCH(B83,Nodes!$A$2:$A$84,0))</f>
        <v/>
      </c>
    </row>
    <row r="84" ht="15" customHeight="1" s="25">
      <c r="A84" s="45" t="inlineStr">
        <is>
          <t>jair</t>
        </is>
      </c>
      <c r="B84" s="45" t="inlineStr">
        <is>
          <t>flavio</t>
        </is>
      </c>
      <c r="C84" s="45" t="inlineStr">
        <is>
          <t>Pai; Flávio promete anistia ou indulto</t>
        </is>
      </c>
      <c r="D84" s="45" t="inlineStr">
        <is>
          <t>Documentado</t>
        </is>
      </c>
      <c r="E84" s="45">
        <f>INDEX(Nodes!$B$2:$B$84,MATCH(A84,Nodes!$A$2:$A$84,0))</f>
        <v/>
      </c>
      <c r="F84" s="45">
        <f>INDEX(Nodes!$B$2:$B$84,MATCH(B84,Nodes!$A$2:$A$84,0))</f>
        <v/>
      </c>
    </row>
    <row r="85" ht="15" customHeight="1" s="25">
      <c r="A85" s="45" t="inlineStr">
        <is>
          <t>jair</t>
        </is>
      </c>
      <c r="B85" s="45" t="inlineStr">
        <is>
          <t>wassef</t>
        </is>
      </c>
      <c r="C85" s="45" t="inlineStr">
        <is>
          <t>Advogado da família</t>
        </is>
      </c>
      <c r="D85" s="45" t="inlineStr">
        <is>
          <t>Documentado</t>
        </is>
      </c>
      <c r="E85" s="45">
        <f>INDEX(Nodes!$B$2:$B$84,MATCH(A85,Nodes!$A$2:$A$84,0))</f>
        <v/>
      </c>
      <c r="F85" s="45">
        <f>INDEX(Nodes!$B$2:$B$84,MATCH(B85,Nodes!$A$2:$A$84,0))</f>
        <v/>
      </c>
    </row>
    <row r="86" ht="15" customHeight="1" s="25">
      <c r="A86" s="45" t="inlineStr">
        <is>
          <t>jair</t>
        </is>
      </c>
      <c r="B86" s="45" t="inlineStr">
        <is>
          <t>abin</t>
        </is>
      </c>
      <c r="C86" s="45" t="inlineStr">
        <is>
          <t>Abin trabalhou para defender o filho</t>
        </is>
      </c>
      <c r="D86" s="45" t="inlineStr">
        <is>
          <t>Documentado</t>
        </is>
      </c>
      <c r="E86" s="45">
        <f>INDEX(Nodes!$B$2:$B$84,MATCH(A86,Nodes!$A$2:$A$84,0))</f>
        <v/>
      </c>
      <c r="F86" s="45">
        <f>INDEX(Nodes!$B$2:$B$84,MATCH(B86,Nodes!$A$2:$A$84,0))</f>
        <v/>
      </c>
    </row>
    <row r="87" ht="15" customHeight="1" s="25">
      <c r="A87" s="45" t="inlineStr">
        <is>
          <t>abin</t>
        </is>
      </c>
      <c r="B87" s="45" t="inlineStr">
        <is>
          <t>ramagem</t>
        </is>
      </c>
      <c r="C87" s="45" t="inlineStr">
        <is>
          <t>Chefiada por ele</t>
        </is>
      </c>
      <c r="D87" s="45" t="inlineStr">
        <is>
          <t>Documentado</t>
        </is>
      </c>
      <c r="E87" s="45">
        <f>INDEX(Nodes!$B$2:$B$84,MATCH(A87,Nodes!$A$2:$A$84,0))</f>
        <v/>
      </c>
      <c r="F87" s="45">
        <f>INDEX(Nodes!$B$2:$B$84,MATCH(B87,Nodes!$A$2:$A$84,0))</f>
        <v/>
      </c>
    </row>
    <row r="88" ht="15" customHeight="1" s="25">
      <c r="A88" s="45" t="inlineStr">
        <is>
          <t>abin</t>
        </is>
      </c>
      <c r="B88" s="45" t="inlineStr">
        <is>
          <t>flavio</t>
        </is>
      </c>
      <c r="C88" s="45" t="inlineStr">
        <is>
          <t>Relatórios para “defender FB”</t>
        </is>
      </c>
      <c r="D88" s="45" t="inlineStr">
        <is>
          <t>Documentado</t>
        </is>
      </c>
      <c r="E88" s="45">
        <f>INDEX(Nodes!$B$2:$B$84,MATCH(A88,Nodes!$A$2:$A$84,0))</f>
        <v/>
      </c>
      <c r="F88" s="45">
        <f>INDEX(Nodes!$B$2:$B$84,MATCH(B88,Nodes!$A$2:$A$84,0))</f>
        <v/>
      </c>
    </row>
    <row r="89" ht="15" customHeight="1" s="25">
      <c r="A89" s="45" t="inlineStr">
        <is>
          <t>heleno</t>
        </is>
      </c>
      <c r="B89" s="45" t="inlineStr">
        <is>
          <t>jair</t>
        </is>
      </c>
      <c r="C89" s="45" t="inlineStr">
        <is>
          <t>Reunião no Planalto (2020)</t>
        </is>
      </c>
      <c r="D89" s="45" t="inlineStr">
        <is>
          <t>Documentado</t>
        </is>
      </c>
      <c r="E89" s="45">
        <f>INDEX(Nodes!$B$2:$B$84,MATCH(A89,Nodes!$A$2:$A$84,0))</f>
        <v/>
      </c>
      <c r="F89" s="45">
        <f>INDEX(Nodes!$B$2:$B$84,MATCH(B89,Nodes!$A$2:$A$84,0))</f>
        <v/>
      </c>
    </row>
    <row r="90" ht="15" customHeight="1" s="25">
      <c r="A90" s="45" t="inlineStr">
        <is>
          <t>ramagem</t>
        </is>
      </c>
      <c r="B90" s="45" t="inlineStr">
        <is>
          <t>jair</t>
        </is>
      </c>
      <c r="C90" s="45" t="inlineStr">
        <is>
          <t>Reunião no Planalto (2020)</t>
        </is>
      </c>
      <c r="D90" s="45" t="inlineStr">
        <is>
          <t>Documentado</t>
        </is>
      </c>
      <c r="E90" s="45">
        <f>INDEX(Nodes!$B$2:$B$84,MATCH(A90,Nodes!$A$2:$A$84,0))</f>
        <v/>
      </c>
      <c r="F90" s="45">
        <f>INDEX(Nodes!$B$2:$B$84,MATCH(B90,Nodes!$A$2:$A$84,0))</f>
        <v/>
      </c>
    </row>
    <row r="91" ht="15" customHeight="1" s="25">
      <c r="A91" s="45" t="inlineStr">
        <is>
          <t>ramagem</t>
        </is>
      </c>
      <c r="B91" s="45" t="inlineStr">
        <is>
          <t>flavio</t>
        </is>
      </c>
      <c r="C91" s="45" t="inlineStr">
        <is>
          <t>Diz que volta ao Brasil se Flávio ganhar</t>
        </is>
      </c>
      <c r="D91" s="45" t="inlineStr">
        <is>
          <t>Documentado</t>
        </is>
      </c>
      <c r="E91" s="45">
        <f>INDEX(Nodes!$B$2:$B$84,MATCH(A91,Nodes!$A$2:$A$84,0))</f>
        <v/>
      </c>
      <c r="F91" s="45">
        <f>INDEX(Nodes!$B$2:$B$84,MATCH(B91,Nodes!$A$2:$A$84,0))</f>
        <v/>
      </c>
    </row>
    <row r="92" ht="15" customHeight="1" s="25">
      <c r="A92" s="45" t="inlineStr">
        <is>
          <t>receita</t>
        </is>
      </c>
      <c r="B92" s="45" t="inlineStr">
        <is>
          <t>flavio</t>
        </is>
      </c>
      <c r="C92" s="45" t="inlineStr">
        <is>
          <t>Chefe foi à casa dele</t>
        </is>
      </c>
      <c r="D92" s="45" t="inlineStr">
        <is>
          <t>Documentado</t>
        </is>
      </c>
      <c r="E92" s="45">
        <f>INDEX(Nodes!$B$2:$B$84,MATCH(A92,Nodes!$A$2:$A$84,0))</f>
        <v/>
      </c>
      <c r="F92" s="45">
        <f>INDEX(Nodes!$B$2:$B$84,MATCH(B92,Nodes!$A$2:$A$84,0))</f>
        <v/>
      </c>
    </row>
    <row r="93" ht="15" customHeight="1" s="25">
      <c r="A93" s="45" t="inlineStr">
        <is>
          <t>jair</t>
        </is>
      </c>
      <c r="B93" s="45" t="inlineStr">
        <is>
          <t>receita</t>
        </is>
      </c>
      <c r="C93" s="45" t="inlineStr">
        <is>
          <t>Reunião sobre a Receita</t>
        </is>
      </c>
      <c r="D93" s="45" t="inlineStr">
        <is>
          <t>Documentado</t>
        </is>
      </c>
      <c r="E93" s="45">
        <f>INDEX(Nodes!$B$2:$B$84,MATCH(A93,Nodes!$A$2:$A$84,0))</f>
        <v/>
      </c>
      <c r="F93" s="45">
        <f>INDEX(Nodes!$B$2:$B$84,MATCH(B93,Nodes!$A$2:$A$84,0))</f>
        <v/>
      </c>
    </row>
    <row r="94" ht="15" customHeight="1" s="25">
      <c r="A94" s="45" t="inlineStr">
        <is>
          <t>jair</t>
        </is>
      </c>
      <c r="B94" s="45" t="inlineStr">
        <is>
          <t>pf</t>
        </is>
      </c>
      <c r="C94" s="45" t="inlineStr">
        <is>
          <t>Tentou trocar o comando no Rio</t>
        </is>
      </c>
      <c r="D94" s="45" t="inlineStr">
        <is>
          <t>Documentado</t>
        </is>
      </c>
      <c r="E94" s="45">
        <f>INDEX(Nodes!$B$2:$B$84,MATCH(A94,Nodes!$A$2:$A$84,0))</f>
        <v/>
      </c>
      <c r="F94" s="45">
        <f>INDEX(Nodes!$B$2:$B$84,MATCH(B94,Nodes!$A$2:$A$84,0))</f>
        <v/>
      </c>
    </row>
    <row r="95" ht="15" customHeight="1" s="25">
      <c r="A95" s="45" t="inlineStr">
        <is>
          <t>moro</t>
        </is>
      </c>
      <c r="B95" s="45" t="inlineStr">
        <is>
          <t>jair</t>
        </is>
      </c>
      <c r="C95" s="45" t="inlineStr">
        <is>
          <t>Saiu denunciando interferência na PF</t>
        </is>
      </c>
      <c r="D95" s="45" t="inlineStr">
        <is>
          <t>Documentado</t>
        </is>
      </c>
      <c r="E95" s="45">
        <f>INDEX(Nodes!$B$2:$B$84,MATCH(A95,Nodes!$A$2:$A$84,0))</f>
        <v/>
      </c>
      <c r="F95" s="45">
        <f>INDEX(Nodes!$B$2:$B$84,MATCH(B95,Nodes!$A$2:$A$84,0))</f>
        <v/>
      </c>
    </row>
    <row r="96" ht="15" customHeight="1" s="25">
      <c r="A96" s="45" t="inlineStr">
        <is>
          <t>pf</t>
        </is>
      </c>
      <c r="B96" s="45" t="inlineStr">
        <is>
          <t>willer</t>
        </is>
      </c>
      <c r="C96" s="45" t="inlineStr">
        <is>
          <t>Investiga</t>
        </is>
      </c>
      <c r="D96" s="45" t="inlineStr">
        <is>
          <t>Documentado</t>
        </is>
      </c>
      <c r="E96" s="45">
        <f>INDEX(Nodes!$B$2:$B$84,MATCH(A96,Nodes!$A$2:$A$84,0))</f>
        <v/>
      </c>
      <c r="F96" s="45">
        <f>INDEX(Nodes!$B$2:$B$84,MATCH(B96,Nodes!$A$2:$A$84,0))</f>
        <v/>
      </c>
    </row>
    <row r="97" ht="15" customHeight="1" s="25">
      <c r="A97" s="45" t="inlineStr">
        <is>
          <t>flavio</t>
        </is>
      </c>
      <c r="B97" s="45" t="inlineStr">
        <is>
          <t>pf</t>
        </is>
      </c>
      <c r="C97" s="45" t="inlineStr">
        <is>
          <t>Se eleito, indicaria o diretor</t>
        </is>
      </c>
      <c r="D97" s="45" t="inlineStr">
        <is>
          <t>Alegado ou contestado</t>
        </is>
      </c>
      <c r="E97" s="45">
        <f>INDEX(Nodes!$B$2:$B$84,MATCH(A97,Nodes!$A$2:$A$84,0))</f>
        <v/>
      </c>
      <c r="F97" s="45">
        <f>INDEX(Nodes!$B$2:$B$84,MATCH(B97,Nodes!$A$2:$A$84,0))</f>
        <v/>
      </c>
    </row>
    <row r="98" ht="15" customHeight="1" s="25">
      <c r="A98" s="45" t="inlineStr">
        <is>
          <t>flavio</t>
        </is>
      </c>
      <c r="B98" s="45" t="inlineStr">
        <is>
          <t>pgr</t>
        </is>
      </c>
      <c r="C98" s="45" t="inlineStr">
        <is>
          <t>Se eleito, indicaria o procurador-geral</t>
        </is>
      </c>
      <c r="D98" s="45" t="inlineStr">
        <is>
          <t>Alegado ou contestado</t>
        </is>
      </c>
      <c r="E98" s="45">
        <f>INDEX(Nodes!$B$2:$B$84,MATCH(A98,Nodes!$A$2:$A$84,0))</f>
        <v/>
      </c>
      <c r="F98" s="45">
        <f>INDEX(Nodes!$B$2:$B$84,MATCH(B98,Nodes!$A$2:$A$84,0))</f>
        <v/>
      </c>
    </row>
    <row r="99" ht="15" customHeight="1" s="25">
      <c r="A99" s="45" t="inlineStr">
        <is>
          <t>pgr</t>
        </is>
      </c>
      <c r="B99" s="45" t="inlineStr">
        <is>
          <t>vorcaro</t>
        </is>
      </c>
      <c r="C99" s="45" t="inlineStr">
        <is>
          <t>Decide se denuncia</t>
        </is>
      </c>
      <c r="D99" s="45" t="inlineStr">
        <is>
          <t>Documentado</t>
        </is>
      </c>
      <c r="E99" s="45">
        <f>INDEX(Nodes!$B$2:$B$84,MATCH(A99,Nodes!$A$2:$A$84,0))</f>
        <v/>
      </c>
      <c r="F99" s="45">
        <f>INDEX(Nodes!$B$2:$B$84,MATCH(B99,Nodes!$A$2:$A$84,0))</f>
        <v/>
      </c>
    </row>
    <row r="100" ht="23.25" customHeight="1" s="25">
      <c r="A100" s="45" t="inlineStr">
        <is>
          <t>willer</t>
        </is>
      </c>
      <c r="B100" s="45" t="inlineStr">
        <is>
          <t>vorcaro</t>
        </is>
      </c>
      <c r="C100" s="45" t="inlineStr">
        <is>
          <t>Parecem sócios via jato, mansão e apartamento; Willer diz que nunca o conheceu</t>
        </is>
      </c>
      <c r="D100" s="45" t="inlineStr">
        <is>
          <t>Alegado ou contestado</t>
        </is>
      </c>
      <c r="E100" s="45">
        <f>INDEX(Nodes!$B$2:$B$84,MATCH(A100,Nodes!$A$2:$A$84,0))</f>
        <v/>
      </c>
      <c r="F100" s="45">
        <f>INDEX(Nodes!$B$2:$B$84,MATCH(B100,Nodes!$A$2:$A$84,0))</f>
        <v/>
      </c>
    </row>
    <row r="101" ht="15" customHeight="1" s="25">
      <c r="A101" s="45" t="inlineStr">
        <is>
          <t>willer</t>
        </is>
      </c>
      <c r="B101" s="45" t="inlineStr">
        <is>
          <t>wt</t>
        </is>
      </c>
      <c r="C101" s="45" t="inlineStr">
        <is>
          <t>Empresa dele, segundo o vídeo</t>
        </is>
      </c>
      <c r="D101" s="45" t="inlineStr">
        <is>
          <t>Documentado</t>
        </is>
      </c>
      <c r="E101" s="45">
        <f>INDEX(Nodes!$B$2:$B$84,MATCH(A101,Nodes!$A$2:$A$84,0))</f>
        <v/>
      </c>
      <c r="F101" s="45">
        <f>INDEX(Nodes!$B$2:$B$84,MATCH(B101,Nodes!$A$2:$A$84,0))</f>
        <v/>
      </c>
    </row>
    <row r="102" ht="15" customHeight="1" s="25">
      <c r="A102" s="45" t="inlineStr">
        <is>
          <t>flavio</t>
        </is>
      </c>
      <c r="B102" s="45" t="inlineStr">
        <is>
          <t>escf</t>
        </is>
      </c>
      <c r="C102" s="45" t="inlineStr">
        <is>
          <t>Escritório de advocacia dele</t>
        </is>
      </c>
      <c r="D102" s="45" t="inlineStr">
        <is>
          <t>Documentado</t>
        </is>
      </c>
      <c r="E102" s="45">
        <f>INDEX(Nodes!$B$2:$B$84,MATCH(A102,Nodes!$A$2:$A$84,0))</f>
        <v/>
      </c>
      <c r="F102" s="45">
        <f>INDEX(Nodes!$B$2:$B$84,MATCH(B102,Nodes!$A$2:$A$84,0))</f>
        <v/>
      </c>
    </row>
    <row r="103" ht="15" customHeight="1" s="25">
      <c r="A103" s="45" t="inlineStr">
        <is>
          <t>renan</t>
        </is>
      </c>
      <c r="B103" s="45" t="inlineStr">
        <is>
          <t>willer</t>
        </is>
      </c>
      <c r="C103" s="45" t="inlineStr">
        <is>
          <t>Pediu a quebra de sigilo</t>
        </is>
      </c>
      <c r="D103" s="45" t="inlineStr">
        <is>
          <t>Documentado</t>
        </is>
      </c>
      <c r="E103" s="45">
        <f>INDEX(Nodes!$B$2:$B$84,MATCH(A103,Nodes!$A$2:$A$84,0))</f>
        <v/>
      </c>
      <c r="F103" s="45">
        <f>INDEX(Nodes!$B$2:$B$84,MATCH(B103,Nodes!$A$2:$A$84,0))</f>
        <v/>
      </c>
    </row>
    <row r="104" ht="15" customHeight="1" s="25">
      <c r="A104" s="45" t="inlineStr">
        <is>
          <t>queiroz</t>
        </is>
      </c>
      <c r="B104" s="45" t="inlineStr">
        <is>
          <t>flavio</t>
        </is>
      </c>
      <c r="C104" s="45" t="inlineStr">
        <is>
          <t>Ex-assessor; operador da rachadinha no gabinete dele</t>
        </is>
      </c>
      <c r="D104" s="45" t="inlineStr">
        <is>
          <t>Documentado</t>
        </is>
      </c>
      <c r="E104" s="45">
        <f>INDEX(Nodes!$B$2:$B$84,MATCH(A104,Nodes!$A$2:$A$84,0))</f>
        <v/>
      </c>
      <c r="F104" s="45">
        <f>INDEX(Nodes!$B$2:$B$84,MATCH(B104,Nodes!$A$2:$A$84,0))</f>
        <v/>
      </c>
    </row>
    <row r="105" ht="15" customHeight="1" s="25">
      <c r="A105" s="45" t="inlineStr">
        <is>
          <t>dono</t>
        </is>
      </c>
      <c r="B105" s="45" t="inlineStr">
        <is>
          <t>flavio</t>
        </is>
      </c>
      <c r="C105" s="45" t="inlineStr">
        <is>
          <t>Testemunha: Flávio apresentou Willer como sócio (2020)</t>
        </is>
      </c>
      <c r="D105" s="45" t="inlineStr">
        <is>
          <t>Alegado ou contestado</t>
        </is>
      </c>
      <c r="E105" s="45">
        <f>INDEX(Nodes!$B$2:$B$84,MATCH(A105,Nodes!$A$2:$A$84,0))</f>
        <v/>
      </c>
      <c r="F105" s="45">
        <f>INDEX(Nodes!$B$2:$B$84,MATCH(B105,Nodes!$A$2:$A$84,0))</f>
        <v/>
      </c>
    </row>
    <row r="106" ht="15" customHeight="1" s="25">
      <c r="A106" s="45" t="inlineStr">
        <is>
          <t>dono</t>
        </is>
      </c>
      <c r="B106" s="45" t="inlineStr">
        <is>
          <t>willer</t>
        </is>
      </c>
      <c r="C106" s="45" t="inlineStr">
        <is>
          <t>Testemunha: Flávio apresentou Willer como sócio (2020)</t>
        </is>
      </c>
      <c r="D106" s="45" t="inlineStr">
        <is>
          <t>Alegado ou contestado</t>
        </is>
      </c>
      <c r="E106" s="45">
        <f>INDEX(Nodes!$B$2:$B$84,MATCH(A106,Nodes!$A$2:$A$84,0))</f>
        <v/>
      </c>
      <c r="F106" s="45">
        <f>INDEX(Nodes!$B$2:$B$84,MATCH(B106,Nodes!$A$2:$A$84,0))</f>
        <v/>
      </c>
    </row>
    <row r="107" ht="15" customHeight="1" s="25">
      <c r="A107" s="45" t="inlineStr">
        <is>
          <t>richarlison</t>
        </is>
      </c>
      <c r="B107" s="45" t="inlineStr">
        <is>
          <t>flavio</t>
        </is>
      </c>
      <c r="C107" s="45" t="inlineStr">
        <is>
          <t>Diz que Flávio e Willer pegaram posse da casa em 24h sem pagar</t>
        </is>
      </c>
      <c r="D107" s="45" t="inlineStr">
        <is>
          <t>Alegado ou contestado</t>
        </is>
      </c>
      <c r="E107" s="45">
        <f>INDEX(Nodes!$B$2:$B$84,MATCH(A107,Nodes!$A$2:$A$84,0))</f>
        <v/>
      </c>
      <c r="F107" s="45">
        <f>INDEX(Nodes!$B$2:$B$84,MATCH(B107,Nodes!$A$2:$A$84,0))</f>
        <v/>
      </c>
    </row>
    <row r="108" ht="15" customHeight="1" s="25">
      <c r="A108" s="45" t="inlineStr">
        <is>
          <t>richarlison</t>
        </is>
      </c>
      <c r="B108" s="45" t="inlineStr">
        <is>
          <t>willer</t>
        </is>
      </c>
      <c r="C108" s="45" t="inlineStr">
        <is>
          <t>Diz que Flávio e Willer pegaram posse da casa em 24h sem pagar</t>
        </is>
      </c>
      <c r="D108" s="45" t="inlineStr">
        <is>
          <t>Alegado ou contestado</t>
        </is>
      </c>
      <c r="E108" s="45">
        <f>INDEX(Nodes!$B$2:$B$84,MATCH(A108,Nodes!$A$2:$A$84,0))</f>
        <v/>
      </c>
      <c r="F108" s="45">
        <f>INDEX(Nodes!$B$2:$B$84,MATCH(B108,Nodes!$A$2:$A$84,0))</f>
        <v/>
      </c>
    </row>
    <row r="109" ht="15" customHeight="1" s="25">
      <c r="A109" s="45" t="inlineStr">
        <is>
          <t>kevin</t>
        </is>
      </c>
      <c r="B109" s="45" t="inlineStr">
        <is>
          <t>triplex</t>
        </is>
      </c>
      <c r="C109" s="45" t="inlineStr">
        <is>
          <t>Segundo a Piauí, ia às festas com o pai</t>
        </is>
      </c>
      <c r="D109" s="45" t="inlineStr">
        <is>
          <t>Alegado ou contestado</t>
        </is>
      </c>
      <c r="E109" s="45">
        <f>INDEX(Nodes!$B$2:$B$84,MATCH(A109,Nodes!$A$2:$A$84,0))</f>
        <v/>
      </c>
      <c r="F109" s="45">
        <f>INDEX(Nodes!$B$2:$B$84,MATCH(B109,Nodes!$A$2:$A$84,0))</f>
        <v/>
      </c>
    </row>
    <row r="110" ht="15" customHeight="1" s="25">
      <c r="A110" s="45" t="inlineStr">
        <is>
          <t>nunes</t>
        </is>
      </c>
      <c r="B110" s="45" t="inlineStr">
        <is>
          <t>master</t>
        </is>
      </c>
      <c r="C110" s="45" t="inlineStr">
        <is>
          <t>Voto de desempate em julgamento de interesse do Master</t>
        </is>
      </c>
      <c r="D110" s="45" t="inlineStr">
        <is>
          <t>Alegado ou contestado</t>
        </is>
      </c>
      <c r="E110" s="45">
        <f>INDEX(Nodes!$B$2:$B$84,MATCH(A110,Nodes!$A$2:$A$84,0))</f>
        <v/>
      </c>
      <c r="F110" s="45">
        <f>INDEX(Nodes!$B$2:$B$84,MATCH(B110,Nodes!$A$2:$A$84,0))</f>
        <v/>
      </c>
    </row>
    <row r="111" ht="23.25" customHeight="1" s="25">
      <c r="A111" s="45" t="inlineStr">
        <is>
          <t>vorcaro</t>
        </is>
      </c>
      <c r="B111" s="45" t="inlineStr">
        <is>
          <t>nunes</t>
        </is>
      </c>
      <c r="C111" s="45" t="inlineStr">
        <is>
          <t>Mensagens apontam presença nas festas; Nunes diz nunca ter trocado mensagens com ele</t>
        </is>
      </c>
      <c r="D111" s="45" t="inlineStr">
        <is>
          <t>Alegado ou contestado</t>
        </is>
      </c>
      <c r="E111" s="45">
        <f>INDEX(Nodes!$B$2:$B$84,MATCH(A111,Nodes!$A$2:$A$84,0))</f>
        <v/>
      </c>
      <c r="F111" s="45">
        <f>INDEX(Nodes!$B$2:$B$84,MATCH(B111,Nodes!$A$2:$A$84,0))</f>
        <v/>
      </c>
    </row>
    <row r="112" ht="15" customHeight="1" s="25">
      <c r="A112" s="45" t="inlineStr">
        <is>
          <t>advflavio</t>
        </is>
      </c>
      <c r="B112" s="45" t="inlineStr">
        <is>
          <t>jair</t>
        </is>
      </c>
      <c r="C112" s="45" t="inlineStr">
        <is>
          <t>Reunião no Planalto (2020) sobre derrubar a investigação</t>
        </is>
      </c>
      <c r="D112" s="45" t="inlineStr">
        <is>
          <t>Documentado</t>
        </is>
      </c>
      <c r="E112" s="45">
        <f>INDEX(Nodes!$B$2:$B$84,MATCH(A112,Nodes!$A$2:$A$84,0))</f>
        <v/>
      </c>
      <c r="F112" s="45">
        <f>INDEX(Nodes!$B$2:$B$84,MATCH(B112,Nodes!$A$2:$A$84,0))</f>
        <v/>
      </c>
    </row>
    <row r="113" ht="15" customHeight="1" s="25">
      <c r="A113" s="45" t="inlineStr">
        <is>
          <t>advflavio</t>
        </is>
      </c>
      <c r="B113" s="45" t="inlineStr">
        <is>
          <t>flavio</t>
        </is>
      </c>
      <c r="C113" s="45" t="inlineStr">
        <is>
          <t>Advogadas dele</t>
        </is>
      </c>
      <c r="D113" s="45" t="inlineStr">
        <is>
          <t>Documentado</t>
        </is>
      </c>
      <c r="E113" s="45">
        <f>INDEX(Nodes!$B$2:$B$84,MATCH(A113,Nodes!$A$2:$A$84,0))</f>
        <v/>
      </c>
      <c r="F113" s="45">
        <f>INDEX(Nodes!$B$2:$B$84,MATCH(B113,Nodes!$A$2:$A$84,0))</f>
        <v/>
      </c>
    </row>
    <row r="114" ht="15" customHeight="1" s="25">
      <c r="A114" s="45" t="inlineStr">
        <is>
          <t>ciro</t>
        </is>
      </c>
      <c r="B114" s="45" t="inlineStr">
        <is>
          <t>nunes</t>
        </is>
      </c>
      <c r="C114" s="45" t="inlineStr">
        <is>
          <t>Teria influenciado a escolha para o STF</t>
        </is>
      </c>
      <c r="D114" s="45" t="inlineStr">
        <is>
          <t>Alegado ou contestado</t>
        </is>
      </c>
      <c r="E114" s="45">
        <f>INDEX(Nodes!$B$2:$B$84,MATCH(A114,Nodes!$A$2:$A$84,0))</f>
        <v/>
      </c>
      <c r="F114" s="45">
        <f>INDEX(Nodes!$B$2:$B$84,MATCH(B114,Nodes!$A$2:$A$84,0))</f>
        <v/>
      </c>
    </row>
    <row r="115" ht="15" customHeight="1" s="25">
      <c r="A115" s="45" t="inlineStr">
        <is>
          <t>ciro</t>
        </is>
      </c>
      <c r="B115" s="45" t="inlineStr">
        <is>
          <t>flavio</t>
        </is>
      </c>
      <c r="C115" s="45" t="inlineStr">
        <is>
          <t>Teria influenciado a escolha de Nunes junto com ele</t>
        </is>
      </c>
      <c r="D115" s="45" t="inlineStr">
        <is>
          <t>Alegado ou contestado</t>
        </is>
      </c>
      <c r="E115" s="45">
        <f>INDEX(Nodes!$B$2:$B$84,MATCH(A115,Nodes!$A$2:$A$84,0))</f>
        <v/>
      </c>
      <c r="F115" s="45">
        <f>INDEX(Nodes!$B$2:$B$84,MATCH(B115,Nodes!$A$2:$A$84,0))</f>
        <v/>
      </c>
    </row>
    <row r="116" ht="15" customHeight="1" s="25">
      <c r="A116" s="45" t="inlineStr">
        <is>
          <t>stf</t>
        </is>
      </c>
      <c r="B116" s="45" t="inlineStr">
        <is>
          <t>nunes</t>
        </is>
      </c>
      <c r="C116" s="45" t="inlineStr">
        <is>
          <t>Ministro</t>
        </is>
      </c>
      <c r="D116" s="45" t="inlineStr">
        <is>
          <t>Documentado</t>
        </is>
      </c>
      <c r="E116" s="45">
        <f>INDEX(Nodes!$B$2:$B$84,MATCH(A116,Nodes!$A$2:$A$84,0))</f>
        <v/>
      </c>
      <c r="F116" s="45">
        <f>INDEX(Nodes!$B$2:$B$84,MATCH(B116,Nodes!$A$2:$A$84,0))</f>
        <v/>
      </c>
    </row>
    <row r="117" ht="15" customHeight="1" s="25">
      <c r="A117" s="45" t="inlineStr">
        <is>
          <t>stf</t>
        </is>
      </c>
      <c r="B117" s="45" t="inlineStr">
        <is>
          <t>lulinha</t>
        </is>
      </c>
      <c r="C117" s="45" t="inlineStr">
        <is>
          <t>3 inquéritos abertos no governo do pai</t>
        </is>
      </c>
      <c r="D117" s="45" t="inlineStr">
        <is>
          <t>Documentado</t>
        </is>
      </c>
      <c r="E117" s="45">
        <f>INDEX(Nodes!$B$2:$B$84,MATCH(A117,Nodes!$A$2:$A$84,0))</f>
        <v/>
      </c>
      <c r="F117" s="45">
        <f>INDEX(Nodes!$B$2:$B$84,MATCH(B117,Nodes!$A$2:$A$84,0))</f>
        <v/>
      </c>
    </row>
    <row r="118" ht="15" customHeight="1" s="25">
      <c r="A118" s="45" t="inlineStr">
        <is>
          <t>stf</t>
        </is>
      </c>
      <c r="B118" s="45" t="inlineStr">
        <is>
          <t>flavio</t>
        </is>
      </c>
      <c r="C118" s="45" t="inlineStr">
        <is>
          <t>Investigado no Supremo pelo dinheiro do filme</t>
        </is>
      </c>
      <c r="D118" s="45" t="inlineStr">
        <is>
          <t>Documentado</t>
        </is>
      </c>
      <c r="E118" s="45">
        <f>INDEX(Nodes!$B$2:$B$84,MATCH(A118,Nodes!$A$2:$A$84,0))</f>
        <v/>
      </c>
      <c r="F118" s="45">
        <f>INDEX(Nodes!$B$2:$B$84,MATCH(B118,Nodes!$A$2:$A$84,0))</f>
        <v/>
      </c>
    </row>
    <row r="119" ht="15" customHeight="1" s="25">
      <c r="A119" s="45" t="inlineStr">
        <is>
          <t>stf</t>
        </is>
      </c>
      <c r="B119" s="45" t="inlineStr">
        <is>
          <t>coaf</t>
        </is>
      </c>
      <c r="C119" s="45" t="inlineStr">
        <is>
          <t>Anulou os relatórios (nov/2021)</t>
        </is>
      </c>
      <c r="D119" s="45" t="inlineStr">
        <is>
          <t>Documentado</t>
        </is>
      </c>
      <c r="E119" s="45">
        <f>INDEX(Nodes!$B$2:$B$84,MATCH(A119,Nodes!$A$2:$A$84,0))</f>
        <v/>
      </c>
      <c r="F119" s="45">
        <f>INDEX(Nodes!$B$2:$B$84,MATCH(B119,Nodes!$A$2:$A$84,0))</f>
        <v/>
      </c>
    </row>
    <row r="120" ht="15" customHeight="1" s="25">
      <c r="A120" s="45" t="inlineStr">
        <is>
          <t>tse</t>
        </is>
      </c>
      <c r="B120" s="45" t="inlineStr">
        <is>
          <t>nunes</t>
        </is>
      </c>
      <c r="C120" s="45" t="inlineStr">
        <is>
          <t>Preside</t>
        </is>
      </c>
      <c r="D120" s="45" t="inlineStr">
        <is>
          <t>Documentado</t>
        </is>
      </c>
      <c r="E120" s="45">
        <f>INDEX(Nodes!$B$2:$B$84,MATCH(A120,Nodes!$A$2:$A$84,0))</f>
        <v/>
      </c>
      <c r="F120" s="45">
        <f>INDEX(Nodes!$B$2:$B$84,MATCH(B120,Nodes!$A$2:$A$84,0))</f>
        <v/>
      </c>
    </row>
    <row r="121">
      <c r="A121" s="45" t="inlineStr">
        <is>
          <t>vorcaro</t>
        </is>
      </c>
      <c r="B121" s="45" t="inlineStr">
        <is>
          <t>flavio</t>
        </is>
      </c>
      <c r="C121" s="45" t="inlineStr">
        <is>
          <t>Visitas: um dia após a soltura e na véspera do anúncio da candidatura</t>
        </is>
      </c>
      <c r="D121" s="45" t="inlineStr">
        <is>
          <t>Alegado ou contestado</t>
        </is>
      </c>
      <c r="E121" s="45">
        <f>INDEX(Nodes!$B$2:$B$84,MATCH(A121,Nodes!$A$2:$A$84,0))</f>
        <v/>
      </c>
      <c r="F121" s="45">
        <f>INDEX(Nodes!$B$2:$B$84,MATCH(B121,Nodes!$A$2:$A$84,0))</f>
        <v/>
      </c>
    </row>
    <row r="122">
      <c r="A122" s="45" t="inlineStr">
        <is>
          <t>vorcaro</t>
        </is>
      </c>
      <c r="B122" s="45" t="inlineStr">
        <is>
          <t>flavio</t>
        </is>
      </c>
      <c r="C122" s="45" t="inlineStr">
        <is>
          <t>Feriado de 1º de maio de 2025 na Flórida, dias após repasse ao filme (Piauí)</t>
        </is>
      </c>
      <c r="D122" s="45" t="inlineStr">
        <is>
          <t>Alegado ou contestado</t>
        </is>
      </c>
      <c r="E122" s="45">
        <f>INDEX(Nodes!$B$2:$B$84,MATCH(A122,Nodes!$A$2:$A$84,0))</f>
        <v/>
      </c>
      <c r="F122" s="45">
        <f>INDEX(Nodes!$B$2:$B$84,MATCH(B122,Nodes!$A$2:$A$84,0))</f>
        <v/>
      </c>
    </row>
    <row r="123">
      <c r="A123" s="45" t="inlineStr">
        <is>
          <t>vorcaro</t>
        </is>
      </c>
      <c r="B123" s="45" t="inlineStr">
        <is>
          <t>flavio</t>
        </is>
      </c>
      <c r="C123" s="45" t="inlineStr">
        <is>
          <t>Ao menos 11 meses de contato no celular do banqueiro (Piauí); o Estadão fala em 3 meses e 6 encontros</t>
        </is>
      </c>
      <c r="D123" s="45" t="inlineStr">
        <is>
          <t>Alegado ou contestado</t>
        </is>
      </c>
      <c r="E123" s="45">
        <f>INDEX(Nodes!$B$2:$B$84,MATCH(A123,Nodes!$A$2:$A$84,0))</f>
        <v/>
      </c>
      <c r="F123" s="45">
        <f>INDEX(Nodes!$B$2:$B$84,MATCH(B123,Nodes!$A$2:$A$84,0))</f>
        <v/>
      </c>
    </row>
    <row r="124">
      <c r="A124" s="45" t="inlineStr">
        <is>
          <t>brb</t>
        </is>
      </c>
      <c r="B124" s="45" t="inlineStr">
        <is>
          <t>flavio</t>
        </is>
      </c>
      <c r="C124" s="45" t="inlineStr">
        <is>
          <t>Empréstimo para a mansão com juros abaixo do mercado; PF investiga</t>
        </is>
      </c>
      <c r="D124" s="45" t="inlineStr">
        <is>
          <t>Alegado ou contestado</t>
        </is>
      </c>
      <c r="E124" s="45">
        <f>INDEX(Nodes!$B$2:$B$84,MATCH(A124,Nodes!$A$2:$A$84,0))</f>
        <v/>
      </c>
      <c r="F124" s="45">
        <f>INDEX(Nodes!$B$2:$B$84,MATCH(B124,Nodes!$A$2:$A$84,0))</f>
        <v/>
      </c>
    </row>
    <row r="125">
      <c r="A125" s="45" t="inlineStr">
        <is>
          <t>brb</t>
        </is>
      </c>
      <c r="B125" s="45" t="inlineStr">
        <is>
          <t>mansaobsb</t>
        </is>
      </c>
      <c r="C125" s="45" t="inlineStr">
        <is>
          <t>Financiou a compra</t>
        </is>
      </c>
      <c r="D125" s="45" t="inlineStr">
        <is>
          <t>Documentado</t>
        </is>
      </c>
      <c r="E125" s="45">
        <f>INDEX(Nodes!$B$2:$B$84,MATCH(A125,Nodes!$A$2:$A$84,0))</f>
        <v/>
      </c>
      <c r="F125" s="45">
        <f>INDEX(Nodes!$B$2:$B$84,MATCH(B125,Nodes!$A$2:$A$84,0))</f>
        <v/>
      </c>
    </row>
    <row r="126">
      <c r="A126" s="45" t="inlineStr">
        <is>
          <t>flavio</t>
        </is>
      </c>
      <c r="B126" s="45" t="inlineStr">
        <is>
          <t>mansaobsb</t>
        </is>
      </c>
      <c r="C126" s="45" t="inlineStr">
        <is>
          <t>Comprou; ele diz pagar com renda de advogado</t>
        </is>
      </c>
      <c r="D126" s="45" t="inlineStr">
        <is>
          <t>Documentado</t>
        </is>
      </c>
      <c r="E126" s="45">
        <f>INDEX(Nodes!$B$2:$B$84,MATCH(A126,Nodes!$A$2:$A$84,0))</f>
        <v/>
      </c>
      <c r="F126" s="45">
        <f>INDEX(Nodes!$B$2:$B$84,MATCH(B126,Nodes!$A$2:$A$84,0))</f>
        <v/>
      </c>
    </row>
    <row r="127">
      <c r="A127" s="45" t="inlineStr">
        <is>
          <t>zetel</t>
        </is>
      </c>
      <c r="B127" s="45" t="inlineStr">
        <is>
          <t>jair</t>
        </is>
      </c>
      <c r="C127" s="45" t="inlineStr">
        <is>
          <t>Maior doador da campanha de 2022 (R$ 3 mi)</t>
        </is>
      </c>
      <c r="D127" s="45" t="inlineStr">
        <is>
          <t>Documentado</t>
        </is>
      </c>
      <c r="E127" s="45">
        <f>INDEX(Nodes!$B$2:$B$84,MATCH(A127,Nodes!$A$2:$A$84,0))</f>
        <v/>
      </c>
      <c r="F127" s="45">
        <f>INDEX(Nodes!$B$2:$B$84,MATCH(B127,Nodes!$A$2:$A$84,0))</f>
        <v/>
      </c>
    </row>
    <row r="128">
      <c r="A128" s="45" t="inlineStr">
        <is>
          <t>zetel</t>
        </is>
      </c>
      <c r="B128" s="45" t="inlineStr">
        <is>
          <t>tarcisio</t>
        </is>
      </c>
      <c r="C128" s="45" t="inlineStr">
        <is>
          <t>Doou R$ 2 mi à campanha de 2022</t>
        </is>
      </c>
      <c r="D128" s="45" t="inlineStr">
        <is>
          <t>Documentado</t>
        </is>
      </c>
      <c r="E128" s="45">
        <f>INDEX(Nodes!$B$2:$B$84,MATCH(A128,Nodes!$A$2:$A$84,0))</f>
        <v/>
      </c>
      <c r="F128" s="45">
        <f>INDEX(Nodes!$B$2:$B$84,MATCH(B128,Nodes!$A$2:$A$84,0))</f>
        <v/>
      </c>
    </row>
    <row r="129">
      <c r="A129" s="45" t="inlineStr">
        <is>
          <t>master</t>
        </is>
      </c>
      <c r="B129" s="45" t="inlineStr">
        <is>
          <t>nunes</t>
        </is>
      </c>
      <c r="C129" s="45" t="inlineStr">
        <is>
          <t>Contrato da “Turma do KN” de até R$ 427 mi, condicionado a êxito (CNN); ele nega agir pelo banco</t>
        </is>
      </c>
      <c r="D129" s="45" t="inlineStr">
        <is>
          <t>Alegado ou contestado</t>
        </is>
      </c>
      <c r="E129" s="45">
        <f>INDEX(Nodes!$B$2:$B$84,MATCH(A129,Nodes!$A$2:$A$84,0))</f>
        <v/>
      </c>
      <c r="F129" s="45">
        <f>INDEX(Nodes!$B$2:$B$84,MATCH(B129,Nodes!$A$2:$A$84,0))</f>
        <v/>
      </c>
    </row>
    <row r="130">
      <c r="A130" s="45" t="inlineStr">
        <is>
          <t>vorcaro</t>
        </is>
      </c>
      <c r="B130" s="45" t="inlineStr">
        <is>
          <t>kevin</t>
        </is>
      </c>
      <c r="C130" s="45" t="inlineStr">
        <is>
          <t>Diálogos citam suposta mesada de R$ 500 mil (CNN); Nunes nega que o filho tenha servido ao Master</t>
        </is>
      </c>
      <c r="D130" s="45" t="inlineStr">
        <is>
          <t>Alegado ou contestado</t>
        </is>
      </c>
      <c r="E130" s="45">
        <f>INDEX(Nodes!$B$2:$B$84,MATCH(A130,Nodes!$A$2:$A$84,0))</f>
        <v/>
      </c>
      <c r="F130" s="45">
        <f>INDEX(Nodes!$B$2:$B$84,MATCH(B130,Nodes!$A$2:$A$84,0))</f>
        <v/>
      </c>
    </row>
    <row r="131">
      <c r="A131" s="45" t="inlineStr">
        <is>
          <t>zetel</t>
        </is>
      </c>
      <c r="B131" s="45" t="inlineStr">
        <is>
          <t>nunes</t>
        </is>
      </c>
      <c r="C131" s="45" t="inlineStr">
        <is>
          <t>Reportagem cita encontro com garota de programa em apartamento de Zettel; ministro nega irregularidades</t>
        </is>
      </c>
      <c r="D131" s="45" t="inlineStr">
        <is>
          <t>Alegado ou contestado</t>
        </is>
      </c>
      <c r="E131" s="45">
        <f>INDEX(Nodes!$B$2:$B$84,MATCH(A131,Nodes!$A$2:$A$84,0))</f>
        <v/>
      </c>
      <c r="F131" s="45">
        <f>INDEX(Nodes!$B$2:$B$84,MATCH(B131,Nodes!$A$2:$A$84,0))</f>
        <v/>
      </c>
    </row>
    <row r="132">
      <c r="A132" s="45" t="inlineStr">
        <is>
          <t>jair</t>
        </is>
      </c>
      <c r="B132" s="45" t="inlineStr">
        <is>
          <t>mendonca</t>
        </is>
      </c>
      <c r="C132" s="45" t="inlineStr">
        <is>
          <t>Indicou ao STF</t>
        </is>
      </c>
      <c r="D132" s="45" t="inlineStr">
        <is>
          <t>Documentado</t>
        </is>
      </c>
      <c r="E132" s="45">
        <f>INDEX(Nodes!$B$2:$B$84,MATCH(A132,Nodes!$A$2:$A$84,0))</f>
        <v/>
      </c>
      <c r="F132" s="45">
        <f>INDEX(Nodes!$B$2:$B$84,MATCH(B132,Nodes!$A$2:$A$84,0))</f>
        <v/>
      </c>
    </row>
    <row r="133">
      <c r="A133" s="45" t="inlineStr">
        <is>
          <t>cirorocha</t>
        </is>
      </c>
      <c r="B133" s="45" t="inlineStr">
        <is>
          <t>vorcaro</t>
        </is>
      </c>
      <c r="C133" s="45" t="inlineStr">
        <is>
          <t>Advogado dele</t>
        </is>
      </c>
      <c r="D133" s="45" t="inlineStr">
        <is>
          <t>Documentado</t>
        </is>
      </c>
      <c r="E133" s="45">
        <f>INDEX(Nodes!$B$2:$B$84,MATCH(A133,Nodes!$A$2:$A$84,0))</f>
        <v/>
      </c>
      <c r="F133" s="45">
        <f>INDEX(Nodes!$B$2:$B$84,MATCH(B133,Nodes!$A$2:$A$84,0))</f>
        <v/>
      </c>
    </row>
    <row r="134">
      <c r="A134" s="45" t="inlineStr">
        <is>
          <t>cirorocha</t>
        </is>
      </c>
      <c r="B134" s="45" t="inlineStr">
        <is>
          <t>mendonca</t>
        </is>
      </c>
      <c r="C134" s="45" t="inlineStr">
        <is>
          <t>Levou o ministro a alfaiataria e articulou reunião com Vorcaro (mensagens)</t>
        </is>
      </c>
      <c r="D134" s="45" t="inlineStr">
        <is>
          <t>Alegado ou contestado</t>
        </is>
      </c>
      <c r="E134" s="45">
        <f>INDEX(Nodes!$B$2:$B$84,MATCH(A134,Nodes!$A$2:$A$84,0))</f>
        <v/>
      </c>
      <c r="F134" s="45">
        <f>INDEX(Nodes!$B$2:$B$84,MATCH(B134,Nodes!$A$2:$A$84,0))</f>
        <v/>
      </c>
    </row>
    <row r="135">
      <c r="A135" s="45" t="inlineStr">
        <is>
          <t>mendonca</t>
        </is>
      </c>
      <c r="B135" s="45" t="inlineStr">
        <is>
          <t>vorcaro</t>
        </is>
      </c>
      <c r="C135" s="45" t="inlineStr">
        <is>
          <t>Reuniões em 19/02 e 14/03/2025 fora da agenda oficial</t>
        </is>
      </c>
      <c r="D135" s="45" t="inlineStr">
        <is>
          <t>Alegado ou contestado</t>
        </is>
      </c>
      <c r="E135" s="45">
        <f>INDEX(Nodes!$B$2:$B$84,MATCH(A135,Nodes!$A$2:$A$84,0))</f>
        <v/>
      </c>
      <c r="F135" s="45">
        <f>INDEX(Nodes!$B$2:$B$84,MATCH(B135,Nodes!$A$2:$A$84,0))</f>
        <v/>
      </c>
    </row>
    <row r="136">
      <c r="A136" s="45" t="inlineStr">
        <is>
          <t>mendonca</t>
        </is>
      </c>
      <c r="B136" s="45" t="inlineStr">
        <is>
          <t>vorcaro</t>
        </is>
      </c>
      <c r="C136" s="45" t="inlineStr">
        <is>
          <t>Gabinete ouviu Vorcaro em 27/08/2026 sem a PF; recomendou sigilo do celular dele</t>
        </is>
      </c>
      <c r="D136" s="45" t="inlineStr">
        <is>
          <t>Alegado ou contestado</t>
        </is>
      </c>
      <c r="E136" s="45">
        <f>INDEX(Nodes!$B$2:$B$84,MATCH(A136,Nodes!$A$2:$A$84,0))</f>
        <v/>
      </c>
      <c r="F136" s="45">
        <f>INDEX(Nodes!$B$2:$B$84,MATCH(B136,Nodes!$A$2:$A$84,0))</f>
        <v/>
      </c>
    </row>
    <row r="137">
      <c r="A137" s="45" t="inlineStr">
        <is>
          <t>bianco</t>
        </is>
      </c>
      <c r="B137" s="45" t="inlineStr">
        <is>
          <t>mendonca</t>
        </is>
      </c>
      <c r="C137" s="45" t="inlineStr">
        <is>
          <t>Convidado para a reunião com Vorcaro (fev/2025)</t>
        </is>
      </c>
      <c r="D137" s="45" t="inlineStr">
        <is>
          <t>Alegado ou contestado</t>
        </is>
      </c>
      <c r="E137" s="45">
        <f>INDEX(Nodes!$B$2:$B$84,MATCH(A137,Nodes!$A$2:$A$84,0))</f>
        <v/>
      </c>
      <c r="F137" s="45">
        <f>INDEX(Nodes!$B$2:$B$84,MATCH(B137,Nodes!$A$2:$A$84,0))</f>
        <v/>
      </c>
    </row>
    <row r="138">
      <c r="A138" s="45" t="inlineStr">
        <is>
          <t>cezinha</t>
        </is>
      </c>
      <c r="B138" s="45" t="inlineStr">
        <is>
          <t>mendonca</t>
        </is>
      </c>
      <c r="C138" s="45" t="inlineStr">
        <is>
          <t>Na reunião de fev/2025; teria aproximado ministro e banqueiro</t>
        </is>
      </c>
      <c r="D138" s="45" t="inlineStr">
        <is>
          <t>Alegado ou contestado</t>
        </is>
      </c>
      <c r="E138" s="45">
        <f>INDEX(Nodes!$B$2:$B$84,MATCH(A138,Nodes!$A$2:$A$84,0))</f>
        <v/>
      </c>
      <c r="F138" s="45">
        <f>INDEX(Nodes!$B$2:$B$84,MATCH(B138,Nodes!$A$2:$A$84,0))</f>
        <v/>
      </c>
    </row>
    <row r="139">
      <c r="A139" s="45" t="inlineStr">
        <is>
          <t>tarcisio</t>
        </is>
      </c>
      <c r="B139" s="45" t="inlineStr">
        <is>
          <t>cezinha</t>
        </is>
      </c>
      <c r="C139" s="45" t="inlineStr">
        <is>
          <t>Financiou 24% da campanha do deputado</t>
        </is>
      </c>
      <c r="D139" s="45" t="inlineStr">
        <is>
          <t>Documentado</t>
        </is>
      </c>
      <c r="E139" s="45">
        <f>INDEX(Nodes!$B$2:$B$84,MATCH(A139,Nodes!$A$2:$A$84,0))</f>
        <v/>
      </c>
      <c r="F139" s="45">
        <f>INDEX(Nodes!$B$2:$B$84,MATCH(B139,Nodes!$A$2:$A$84,0))</f>
        <v/>
      </c>
    </row>
    <row r="140">
      <c r="A140" s="45" t="inlineStr">
        <is>
          <t>mendonca</t>
        </is>
      </c>
      <c r="B140" s="45" t="inlineStr">
        <is>
          <t>iter</t>
        </is>
      </c>
      <c r="C140" s="45" t="inlineStr">
        <is>
          <t>Fundador</t>
        </is>
      </c>
      <c r="D140" s="45" t="inlineStr">
        <is>
          <t>Documentado</t>
        </is>
      </c>
      <c r="E140" s="45">
        <f>INDEX(Nodes!$B$2:$B$84,MATCH(A140,Nodes!$A$2:$A$84,0))</f>
        <v/>
      </c>
      <c r="F140" s="45">
        <f>INDEX(Nodes!$B$2:$B$84,MATCH(B140,Nodes!$A$2:$A$84,0))</f>
        <v/>
      </c>
    </row>
    <row r="141">
      <c r="A141" s="45" t="inlineStr">
        <is>
          <t>vorcaro</t>
        </is>
      </c>
      <c r="B141" s="45" t="inlineStr">
        <is>
          <t>iter</t>
        </is>
      </c>
      <c r="C141" s="45" t="inlineStr">
        <is>
          <t>Empresa de sócio dele aportou R$ 5,2 mi (jan/2026); Vorcaro foi a coquetéis do instituto</t>
        </is>
      </c>
      <c r="D141" s="45" t="inlineStr">
        <is>
          <t>Alegado ou contestado</t>
        </is>
      </c>
      <c r="E141" s="45">
        <f>INDEX(Nodes!$B$2:$B$84,MATCH(A141,Nodes!$A$2:$A$84,0))</f>
        <v/>
      </c>
      <c r="F141" s="45">
        <f>INDEX(Nodes!$B$2:$B$84,MATCH(B141,Nodes!$A$2:$A$84,0))</f>
        <v/>
      </c>
    </row>
    <row r="142">
      <c r="A142" s="45" t="inlineStr">
        <is>
          <t>mendonca</t>
        </is>
      </c>
      <c r="B142" s="45" t="inlineStr">
        <is>
          <t>master</t>
        </is>
      </c>
      <c r="C142" s="45" t="inlineStr">
        <is>
          <t>Relator do caso Master no STF (sorteado em fev/2026)</t>
        </is>
      </c>
      <c r="D142" s="45" t="inlineStr">
        <is>
          <t>Documentado</t>
        </is>
      </c>
      <c r="E142" s="45">
        <f>INDEX(Nodes!$B$2:$B$84,MATCH(A142,Nodes!$A$2:$A$84,0))</f>
        <v/>
      </c>
      <c r="F142" s="45">
        <f>INDEX(Nodes!$B$2:$B$84,MATCH(B142,Nodes!$A$2:$A$84,0))</f>
        <v/>
      </c>
    </row>
    <row r="143">
      <c r="A143" s="45" t="inlineStr">
        <is>
          <t>mendonca</t>
        </is>
      </c>
      <c r="B143" s="45" t="inlineStr">
        <is>
          <t>pf</t>
        </is>
      </c>
      <c r="C143" s="45" t="inlineStr">
        <is>
          <t>Afastou o diretor-geral sem ouvir a PGR (set/2026); AGU vê usurpação de competência</t>
        </is>
      </c>
      <c r="D143" s="45" t="inlineStr">
        <is>
          <t>Documentado</t>
        </is>
      </c>
      <c r="E143" s="45">
        <f>INDEX(Nodes!$B$2:$B$84,MATCH(A143,Nodes!$A$2:$A$84,0))</f>
        <v/>
      </c>
      <c r="F143" s="45">
        <f>INDEX(Nodes!$B$2:$B$84,MATCH(B143,Nodes!$A$2:$A$84,0))</f>
        <v/>
      </c>
    </row>
    <row r="144">
      <c r="A144" s="45" t="inlineStr">
        <is>
          <t>mendonca</t>
        </is>
      </c>
      <c r="B144" s="45" t="inlineStr">
        <is>
          <t>careca</t>
        </is>
      </c>
      <c r="C144" s="45" t="inlineStr">
        <is>
          <t>Revogou a prisão do filho dele (09/09/2026)</t>
        </is>
      </c>
      <c r="D144" s="45" t="inlineStr">
        <is>
          <t>Documentado</t>
        </is>
      </c>
      <c r="E144" s="45">
        <f>INDEX(Nodes!$B$2:$B$84,MATCH(A144,Nodes!$A$2:$A$84,0))</f>
        <v/>
      </c>
      <c r="F144" s="45">
        <f>INDEX(Nodes!$B$2:$B$84,MATCH(B144,Nodes!$A$2:$A$84,0))</f>
        <v/>
      </c>
    </row>
    <row r="145">
      <c r="A145" s="45" t="inlineStr">
        <is>
          <t>pf</t>
        </is>
      </c>
      <c r="B145" s="45" t="inlineStr">
        <is>
          <t>mendonca</t>
        </is>
      </c>
      <c r="C145" s="45" t="inlineStr">
        <is>
          <t>Relatório aponta diferença de até 8x nos prazos de decisão e demora para rastrear o dinheiro</t>
        </is>
      </c>
      <c r="D145" s="45" t="inlineStr">
        <is>
          <t>Alegado ou contestado</t>
        </is>
      </c>
      <c r="E145" s="45">
        <f>INDEX(Nodes!$B$2:$B$84,MATCH(A145,Nodes!$A$2:$A$84,0))</f>
        <v/>
      </c>
      <c r="F145" s="45">
        <f>INDEX(Nodes!$B$2:$B$84,MATCH(B145,Nodes!$A$2:$A$84,0))</f>
        <v/>
      </c>
    </row>
    <row r="146">
      <c r="A146" s="45" t="inlineStr">
        <is>
          <t>mendonca</t>
        </is>
      </c>
      <c r="B146" s="45" t="inlineStr">
        <is>
          <t>moraes</t>
        </is>
      </c>
      <c r="C146" s="45" t="inlineStr">
        <is>
          <t>PF: pressionou por Moraes; PGR diz que o investigou antes do aval do plenário</t>
        </is>
      </c>
      <c r="D146" s="45" t="inlineStr">
        <is>
          <t>Alegado ou contestado</t>
        </is>
      </c>
      <c r="E146" s="45">
        <f>INDEX(Nodes!$B$2:$B$84,MATCH(A146,Nodes!$A$2:$A$84,0))</f>
        <v/>
      </c>
      <c r="F146" s="45">
        <f>INDEX(Nodes!$B$2:$B$84,MATCH(B146,Nodes!$A$2:$A$84,0))</f>
        <v/>
      </c>
    </row>
    <row r="147">
      <c r="A147" s="45" t="inlineStr">
        <is>
          <t>mendonca</t>
        </is>
      </c>
      <c r="B147" s="45" t="inlineStr">
        <is>
          <t>nunes</t>
        </is>
      </c>
      <c r="C147" s="45" t="inlineStr">
        <is>
          <t>PF: teria poupado Nunes e Toffoli</t>
        </is>
      </c>
      <c r="D147" s="45" t="inlineStr">
        <is>
          <t>Alegado ou contestado</t>
        </is>
      </c>
      <c r="E147" s="45">
        <f>INDEX(Nodes!$B$2:$B$84,MATCH(A147,Nodes!$A$2:$A$84,0))</f>
        <v/>
      </c>
      <c r="F147" s="45">
        <f>INDEX(Nodes!$B$2:$B$84,MATCH(B147,Nodes!$A$2:$A$84,0))</f>
        <v/>
      </c>
    </row>
    <row r="148">
      <c r="A148" s="45" t="inlineStr">
        <is>
          <t>tarcisio</t>
        </is>
      </c>
      <c r="B148" s="45" t="inlineStr">
        <is>
          <t>iter</t>
        </is>
      </c>
      <c r="C148" s="45" t="inlineStr">
        <is>
          <t>Governo de SP contratou o instituto (R$ 1,6 mi, sem licitação)</t>
        </is>
      </c>
      <c r="D148" s="45" t="inlineStr">
        <is>
          <t>Documentado</t>
        </is>
      </c>
      <c r="E148" s="45">
        <f>INDEX(Nodes!$B$2:$B$84,MATCH(A148,Nodes!$A$2:$A$84,0))</f>
        <v/>
      </c>
      <c r="F148" s="45">
        <f>INDEX(Nodes!$B$2:$B$84,MATCH(B148,Nodes!$A$2:$A$84,0))</f>
        <v/>
      </c>
    </row>
    <row r="149">
      <c r="A149" s="45" t="inlineStr">
        <is>
          <t>rnunes</t>
        </is>
      </c>
      <c r="B149" s="45" t="inlineStr">
        <is>
          <t>iter</t>
        </is>
      </c>
      <c r="C149" s="45" t="inlineStr">
        <is>
          <t>Prefeitura de SP contratou o instituto (R$ 380 mil)</t>
        </is>
      </c>
      <c r="D149" s="45" t="inlineStr">
        <is>
          <t>Documentado</t>
        </is>
      </c>
      <c r="E149" s="45">
        <f>INDEX(Nodes!$B$2:$B$84,MATCH(A149,Nodes!$A$2:$A$84,0))</f>
        <v/>
      </c>
      <c r="F149" s="45">
        <f>INDEX(Nodes!$B$2:$B$84,MATCH(B149,Nodes!$A$2:$A$84,0))</f>
        <v/>
      </c>
    </row>
    <row r="150">
      <c r="A150" s="45" t="inlineStr">
        <is>
          <t>rnunes</t>
        </is>
      </c>
      <c r="B150" s="45" t="inlineStr">
        <is>
          <t>mendonca</t>
        </is>
      </c>
      <c r="C150" s="45" t="inlineStr">
        <is>
          <t>Promoveu o irmão do ministro após voto favorável à Prefeitura</t>
        </is>
      </c>
      <c r="D150" s="45" t="inlineStr">
        <is>
          <t>Alegado ou contestado</t>
        </is>
      </c>
      <c r="E150" s="45">
        <f>INDEX(Nodes!$B$2:$B$84,MATCH(A150,Nodes!$A$2:$A$84,0))</f>
        <v/>
      </c>
      <c r="F150" s="45">
        <f>INDEX(Nodes!$B$2:$B$84,MATCH(B150,Nodes!$A$2:$A$84,0))</f>
        <v/>
      </c>
    </row>
    <row r="151">
      <c r="A151" s="45" t="inlineStr">
        <is>
          <t>castro</t>
        </is>
      </c>
      <c r="B151" s="45" t="inlineStr">
        <is>
          <t>iter</t>
        </is>
      </c>
      <c r="C151" s="45" t="inlineStr">
        <is>
          <t>Governo do RJ contratou o instituto (R$ 518 mil)</t>
        </is>
      </c>
      <c r="D151" s="45" t="inlineStr">
        <is>
          <t>Documentado</t>
        </is>
      </c>
      <c r="E151" s="45">
        <f>INDEX(Nodes!$B$2:$B$84,MATCH(A151,Nodes!$A$2:$A$84,0))</f>
        <v/>
      </c>
      <c r="F151" s="45">
        <f>INDEX(Nodes!$B$2:$B$84,MATCH(B151,Nodes!$A$2:$A$84,0))</f>
        <v/>
      </c>
    </row>
    <row r="152">
      <c r="A152" s="45" t="inlineStr">
        <is>
          <t>mendonca</t>
        </is>
      </c>
      <c r="B152" s="45" t="inlineStr">
        <is>
          <t>castro</t>
        </is>
      </c>
      <c r="C152" s="45" t="inlineStr">
        <is>
          <t>Votou a favor dele 4 vezes enquanto o instituto tinha contratos no Rio</t>
        </is>
      </c>
      <c r="D152" s="45" t="inlineStr">
        <is>
          <t>Alegado ou contestado</t>
        </is>
      </c>
      <c r="E152" s="45">
        <f>INDEX(Nodes!$B$2:$B$84,MATCH(A152,Nodes!$A$2:$A$84,0))</f>
        <v/>
      </c>
      <c r="F152" s="45">
        <f>INDEX(Nodes!$B$2:$B$84,MATCH(B152,Nodes!$A$2:$A$84,0))</f>
        <v/>
      </c>
    </row>
    <row r="153">
      <c r="A153" s="45" t="inlineStr">
        <is>
          <t>vorcaro</t>
        </is>
      </c>
      <c r="B153" s="45" t="inlineStr">
        <is>
          <t>ciro</t>
        </is>
      </c>
      <c r="C153" s="45" t="inlineStr">
        <is>
          <t>PF: mesada de R$ 300 mil a 500 mil e viagens pagas, incluindo Courchevel</t>
        </is>
      </c>
      <c r="D153" s="45" t="inlineStr">
        <is>
          <t>Alegado ou contestado</t>
        </is>
      </c>
      <c r="E153" s="45">
        <f>INDEX(Nodes!$B$2:$B$84,MATCH(A153,Nodes!$A$2:$A$84,0))</f>
        <v/>
      </c>
      <c r="F153" s="45">
        <f>INDEX(Nodes!$B$2:$B$84,MATCH(B153,Nodes!$A$2:$A$84,0))</f>
        <v/>
      </c>
    </row>
    <row r="154">
      <c r="A154" s="45" t="inlineStr">
        <is>
          <t>ciro</t>
        </is>
      </c>
      <c r="B154" s="45" t="inlineStr">
        <is>
          <t>master</t>
        </is>
      </c>
      <c r="C154" s="45" t="inlineStr">
        <is>
          <t>Autor da “Emenda Master” (garantia do FGC de R$ 250 mil para R$ 1 mi)</t>
        </is>
      </c>
      <c r="D154" s="45" t="inlineStr">
        <is>
          <t>Documentado</t>
        </is>
      </c>
      <c r="E154" s="45">
        <f>INDEX(Nodes!$B$2:$B$84,MATCH(A154,Nodes!$A$2:$A$84,0))</f>
        <v/>
      </c>
      <c r="F154" s="45">
        <f>INDEX(Nodes!$B$2:$B$84,MATCH(B154,Nodes!$A$2:$A$84,0))</f>
        <v/>
      </c>
    </row>
    <row r="155">
      <c r="A155" s="45" t="inlineStr">
        <is>
          <t>pf</t>
        </is>
      </c>
      <c r="B155" s="45" t="inlineStr">
        <is>
          <t>ciro</t>
        </is>
      </c>
      <c r="C155" s="45" t="inlineStr">
        <is>
          <t>Alvo da 5ª fase da Operação Compliance Zero</t>
        </is>
      </c>
      <c r="D155" s="45" t="inlineStr">
        <is>
          <t>Documentado</t>
        </is>
      </c>
      <c r="E155" s="45">
        <f>INDEX(Nodes!$B$2:$B$84,MATCH(A155,Nodes!$A$2:$A$84,0))</f>
        <v/>
      </c>
      <c r="F155" s="45">
        <f>INDEX(Nodes!$B$2:$B$84,MATCH(B155,Nodes!$A$2:$A$84,0))</f>
        <v/>
      </c>
    </row>
    <row r="156">
      <c r="A156" s="45" t="inlineStr">
        <is>
          <t>jair</t>
        </is>
      </c>
      <c r="B156" s="45" t="inlineStr">
        <is>
          <t>faria</t>
        </is>
      </c>
      <c r="C156" s="45" t="inlineStr">
        <is>
          <t>Ex-ministro das Comunicações</t>
        </is>
      </c>
      <c r="D156" s="45" t="inlineStr">
        <is>
          <t>Documentado</t>
        </is>
      </c>
      <c r="E156" s="45">
        <f>INDEX(Nodes!$B$2:$B$84,MATCH(A156,Nodes!$A$2:$A$84,0))</f>
        <v/>
      </c>
      <c r="F156" s="45">
        <f>INDEX(Nodes!$B$2:$B$84,MATCH(B156,Nodes!$A$2:$A$84,0))</f>
        <v/>
      </c>
    </row>
    <row r="157">
      <c r="A157" s="45" t="inlineStr">
        <is>
          <t>faria</t>
        </is>
      </c>
      <c r="B157" s="45" t="inlineStr">
        <is>
          <t>vorcaro</t>
        </is>
      </c>
      <c r="C157" s="45" t="inlineStr">
        <is>
          <t>PF: articulador dele em Brasília; empresa ligada ao banqueiro pagou R$ 67,5 mi por projeto de Faria</t>
        </is>
      </c>
      <c r="D157" s="45" t="inlineStr">
        <is>
          <t>Alegado ou contestado</t>
        </is>
      </c>
      <c r="E157" s="45">
        <f>INDEX(Nodes!$B$2:$B$84,MATCH(A157,Nodes!$A$2:$A$84,0))</f>
        <v/>
      </c>
      <c r="F157" s="45">
        <f>INDEX(Nodes!$B$2:$B$84,MATCH(B157,Nodes!$A$2:$A$84,0))</f>
        <v/>
      </c>
    </row>
    <row r="158">
      <c r="A158" s="45" t="inlineStr">
        <is>
          <t>faria</t>
        </is>
      </c>
      <c r="B158" s="45" t="inlineStr">
        <is>
          <t>moraes</t>
        </is>
      </c>
      <c r="C158" s="45" t="inlineStr">
        <is>
          <t>PF: intermediou contatos entre Vorcaro e Moraes</t>
        </is>
      </c>
      <c r="D158" s="45" t="inlineStr">
        <is>
          <t>Alegado ou contestado</t>
        </is>
      </c>
      <c r="E158" s="45">
        <f>INDEX(Nodes!$B$2:$B$84,MATCH(A158,Nodes!$A$2:$A$84,0))</f>
        <v/>
      </c>
      <c r="F158" s="45">
        <f>INDEX(Nodes!$B$2:$B$84,MATCH(B158,Nodes!$A$2:$A$84,0))</f>
        <v/>
      </c>
    </row>
    <row r="159">
      <c r="A159" s="45" t="inlineStr">
        <is>
          <t>motta</t>
        </is>
      </c>
      <c r="B159" s="45" t="inlineStr">
        <is>
          <t>vorcaro</t>
        </is>
      </c>
      <c r="C159" s="45" t="inlineStr">
        <is>
          <t>Grupo de mensagens com Vorcaro, Ciro e Faria para organizar encontros</t>
        </is>
      </c>
      <c r="D159" s="45" t="inlineStr">
        <is>
          <t>Alegado ou contestado</t>
        </is>
      </c>
      <c r="E159" s="45">
        <f>INDEX(Nodes!$B$2:$B$84,MATCH(A159,Nodes!$A$2:$A$84,0))</f>
        <v/>
      </c>
      <c r="F159" s="45">
        <f>INDEX(Nodes!$B$2:$B$84,MATCH(B159,Nodes!$A$2:$A$84,0))</f>
        <v/>
      </c>
    </row>
    <row r="160">
      <c r="A160" s="45" t="inlineStr">
        <is>
          <t>jair</t>
        </is>
      </c>
      <c r="B160" s="45" t="inlineStr">
        <is>
          <t>frias</t>
        </is>
      </c>
      <c r="C160" s="45" t="inlineStr">
        <is>
          <t>Ex-secretário especial de Cultura</t>
        </is>
      </c>
      <c r="D160" s="45" t="inlineStr">
        <is>
          <t>Documentado</t>
        </is>
      </c>
      <c r="E160" s="45">
        <f>INDEX(Nodes!$B$2:$B$84,MATCH(A160,Nodes!$A$2:$A$84,0))</f>
        <v/>
      </c>
      <c r="F160" s="45">
        <f>INDEX(Nodes!$B$2:$B$84,MATCH(B160,Nodes!$A$2:$A$84,0))</f>
        <v/>
      </c>
    </row>
    <row r="161">
      <c r="A161" s="45" t="inlineStr">
        <is>
          <t>frias</t>
        </is>
      </c>
      <c r="B161" s="45" t="inlineStr">
        <is>
          <t>ong</t>
        </is>
      </c>
      <c r="C161" s="45" t="inlineStr">
        <is>
          <t>Produtor-executivo de Dark Horse</t>
        </is>
      </c>
      <c r="D161" s="45" t="inlineStr">
        <is>
          <t>Documentado</t>
        </is>
      </c>
      <c r="E161" s="45">
        <f>INDEX(Nodes!$B$2:$B$84,MATCH(A161,Nodes!$A$2:$A$84,0))</f>
        <v/>
      </c>
      <c r="F161" s="45">
        <f>INDEX(Nodes!$B$2:$B$84,MATCH(B161,Nodes!$A$2:$A$84,0))</f>
        <v/>
      </c>
    </row>
    <row r="162">
      <c r="A162" s="45" t="inlineStr">
        <is>
          <t>frias</t>
        </is>
      </c>
      <c r="B162" s="45" t="inlineStr">
        <is>
          <t>vorcaro</t>
        </is>
      </c>
      <c r="C162" s="45" t="inlineStr">
        <is>
          <t>Áudio agradece o financiamento do filme: “meu irmão”</t>
        </is>
      </c>
      <c r="D162" s="45" t="inlineStr">
        <is>
          <t>Alegado ou contestado</t>
        </is>
      </c>
      <c r="E162" s="45">
        <f>INDEX(Nodes!$B$2:$B$84,MATCH(A162,Nodes!$A$2:$A$84,0))</f>
        <v/>
      </c>
      <c r="F162" s="45">
        <f>INDEX(Nodes!$B$2:$B$84,MATCH(B162,Nodes!$A$2:$A$84,0))</f>
        <v/>
      </c>
    </row>
    <row r="163">
      <c r="A163" s="45" t="inlineStr">
        <is>
          <t>vorcaro</t>
        </is>
      </c>
      <c r="B163" s="45" t="inlineStr">
        <is>
          <t>marcal</t>
        </is>
      </c>
      <c r="C163" s="45" t="inlineStr">
        <is>
          <t>Empresa da qual Vorcaro era sócio pagou voo de R$ 1 mi</t>
        </is>
      </c>
      <c r="D163" s="45" t="inlineStr">
        <is>
          <t>Alegado ou contestado</t>
        </is>
      </c>
      <c r="E163" s="45">
        <f>INDEX(Nodes!$B$2:$B$84,MATCH(A163,Nodes!$A$2:$A$84,0))</f>
        <v/>
      </c>
      <c r="F163" s="45">
        <f>INDEX(Nodes!$B$2:$B$84,MATCH(B163,Nodes!$A$2:$A$84,0))</f>
        <v/>
      </c>
    </row>
    <row r="164">
      <c r="A164" s="45" t="inlineStr">
        <is>
          <t>vorcaro</t>
        </is>
      </c>
      <c r="B164" s="45" t="inlineStr">
        <is>
          <t>govlula</t>
        </is>
      </c>
      <c r="C164" s="45" t="inlineStr">
        <is>
          <t>Mensagens: via Haddad como opositor e pediu ajuda para “bloquear” Gleisi e Mercadante</t>
        </is>
      </c>
      <c r="D164" s="45" t="inlineStr">
        <is>
          <t>Alegado ou contestado</t>
        </is>
      </c>
      <c r="E164" s="45">
        <f>INDEX(Nodes!$B$2:$B$84,MATCH(A164,Nodes!$A$2:$A$84,0))</f>
        <v/>
      </c>
      <c r="F164" s="45">
        <f>INDEX(Nodes!$B$2:$B$84,MATCH(B164,Nodes!$A$2:$A$84,0))</f>
        <v/>
      </c>
    </row>
    <row r="165">
      <c r="A165" s="45" t="inlineStr">
        <is>
          <t>gaspar</t>
        </is>
      </c>
      <c r="B165" s="45" t="inlineStr">
        <is>
          <t>flavio</t>
        </is>
      </c>
      <c r="C165" s="45" t="inlineStr">
        <is>
          <t>Vice na chapa</t>
        </is>
      </c>
      <c r="D165" s="45" t="inlineStr">
        <is>
          <t>Documentado</t>
        </is>
      </c>
      <c r="E165" s="45">
        <f>INDEX(Nodes!$B$2:$B$84,MATCH(A165,Nodes!$A$2:$A$84,0))</f>
        <v/>
      </c>
      <c r="F165" s="45">
        <f>INDEX(Nodes!$B$2:$B$84,MATCH(B165,Nodes!$A$2:$A$84,0))</f>
        <v/>
      </c>
    </row>
    <row r="166">
      <c r="A166" s="45" t="inlineStr">
        <is>
          <t>jbcarvalho</t>
        </is>
      </c>
      <c r="B166" s="45" t="inlineStr">
        <is>
          <t>flavio</t>
        </is>
      </c>
      <c r="C166" s="45" t="inlineStr">
        <is>
          <t>Flávio foi batizado na igreja dele (Folha)</t>
        </is>
      </c>
      <c r="D166" s="45" t="inlineStr">
        <is>
          <t>Documentado</t>
        </is>
      </c>
      <c r="E166" s="45">
        <f>INDEX(Nodes!$B$2:$B$84,MATCH(A166,Nodes!$A$2:$A$84,0))</f>
        <v/>
      </c>
      <c r="F166" s="45">
        <f>INDEX(Nodes!$B$2:$B$84,MATCH(B166,Nodes!$A$2:$A$84,0))</f>
        <v/>
      </c>
    </row>
    <row r="167">
      <c r="A167" s="45" t="inlineStr">
        <is>
          <t>kopenhagen</t>
        </is>
      </c>
      <c r="B167" s="45" t="inlineStr">
        <is>
          <t>flavio</t>
        </is>
      </c>
      <c r="C167" s="45" t="inlineStr">
        <is>
          <t>Franquia dele; MP suspeitou de lavagem (1.512 depósitos em espécie)</t>
        </is>
      </c>
      <c r="D167" s="45" t="inlineStr">
        <is>
          <t>Alegado ou contestado</t>
        </is>
      </c>
      <c r="E167" s="45">
        <f>INDEX(Nodes!$B$2:$B$84,MATCH(A167,Nodes!$A$2:$A$84,0))</f>
        <v/>
      </c>
      <c r="F167" s="45">
        <f>INDEX(Nodes!$B$2:$B$84,MATCH(B167,Nodes!$A$2:$A$84,0))</f>
        <v/>
      </c>
    </row>
    <row r="168">
      <c r="A168" s="45" t="inlineStr">
        <is>
          <t>flavio</t>
        </is>
      </c>
      <c r="B168" s="45" t="inlineStr">
        <is>
          <t>nunes</t>
        </is>
      </c>
      <c r="C168" s="45" t="inlineStr">
        <is>
          <t>Ex-sócio na Kopenhagen cita lobby dele com Nunes (Brasil de Fato)</t>
        </is>
      </c>
      <c r="D168" s="45" t="inlineStr">
        <is>
          <t>Alegado ou contestado</t>
        </is>
      </c>
      <c r="E168" s="45">
        <f>INDEX(Nodes!$B$2:$B$84,MATCH(A168,Nodes!$A$2:$A$84,0))</f>
        <v/>
      </c>
      <c r="F168" s="45">
        <f>INDEX(Nodes!$B$2:$B$84,MATCH(B168,Nodes!$A$2:$A$84,0))</f>
        <v/>
      </c>
    </row>
    <row r="169">
      <c r="A169" s="45" t="inlineStr">
        <is>
          <t>adriano</t>
        </is>
      </c>
      <c r="B169" s="45" t="inlineStr">
        <is>
          <t>flavio</t>
        </is>
      </c>
      <c r="C169" s="45" t="inlineStr">
        <is>
          <t>Mãe e mulher empregadas no gabinete; homenageado por Flávio em 2003 e 2005</t>
        </is>
      </c>
      <c r="D169" s="45" t="inlineStr">
        <is>
          <t>Documentado</t>
        </is>
      </c>
      <c r="E169" s="45">
        <f>INDEX(Nodes!$B$2:$B$84,MATCH(A169,Nodes!$A$2:$A$84,0))</f>
        <v/>
      </c>
      <c r="F169" s="45">
        <f>INDEX(Nodes!$B$2:$B$84,MATCH(B169,Nodes!$A$2:$A$84,0))</f>
        <v/>
      </c>
    </row>
    <row r="170">
      <c r="A170" s="45" t="inlineStr">
        <is>
          <t>adriano</t>
        </is>
      </c>
      <c r="B170" s="45" t="inlineStr">
        <is>
          <t>coaf</t>
        </is>
      </c>
      <c r="C170" s="45" t="inlineStr">
        <is>
          <t>MP-RJ: mãe e mulher eram “assessoras fantasmas” e devolviam salário (310 desvios)</t>
        </is>
      </c>
      <c r="D170" s="45" t="inlineStr">
        <is>
          <t>Alegado ou contestado</t>
        </is>
      </c>
      <c r="E170" s="45">
        <f>INDEX(Nodes!$B$2:$B$84,MATCH(A170,Nodes!$A$2:$A$84,0))</f>
        <v/>
      </c>
      <c r="F170" s="45">
        <f>INDEX(Nodes!$B$2:$B$84,MATCH(B170,Nodes!$A$2:$A$84,0))</f>
        <v/>
      </c>
    </row>
    <row r="171">
      <c r="A171" s="45" t="inlineStr">
        <is>
          <t>coaf</t>
        </is>
      </c>
      <c r="B171" s="45" t="inlineStr">
        <is>
          <t>adriano</t>
        </is>
      </c>
      <c r="C171" s="45" t="inlineStr">
        <is>
          <t>Dinheiro da rachadinha teria financiado prédios da milícia (Intercept)</t>
        </is>
      </c>
      <c r="D171" s="45" t="inlineStr">
        <is>
          <t>Alegado ou contestado</t>
        </is>
      </c>
      <c r="E171" s="45">
        <f>INDEX(Nodes!$B$2:$B$84,MATCH(A171,Nodes!$A$2:$A$84,0))</f>
        <v/>
      </c>
      <c r="F171" s="45">
        <f>INDEX(Nodes!$B$2:$B$84,MATCH(B171,Nodes!$A$2:$A$84,0))</f>
        <v/>
      </c>
    </row>
    <row r="172">
      <c r="A172" s="45" t="inlineStr">
        <is>
          <t>flavio</t>
        </is>
      </c>
      <c r="B172" s="45" t="inlineStr">
        <is>
          <t>ronald</t>
        </is>
      </c>
      <c r="C172" s="45" t="inlineStr">
        <is>
          <t>Homenageou em 2004</t>
        </is>
      </c>
      <c r="D172" s="45" t="inlineStr">
        <is>
          <t>Documentado</t>
        </is>
      </c>
      <c r="E172" s="45">
        <f>INDEX(Nodes!$B$2:$B$84,MATCH(A172,Nodes!$A$2:$A$84,0))</f>
        <v/>
      </c>
      <c r="F172" s="45">
        <f>INDEX(Nodes!$B$2:$B$84,MATCH(B172,Nodes!$A$2:$A$84,0))</f>
        <v/>
      </c>
    </row>
    <row r="173">
      <c r="A173" s="45" t="inlineStr">
        <is>
          <t>flavio</t>
        </is>
      </c>
      <c r="B173" s="45" t="inlineStr">
        <is>
          <t>orelha</t>
        </is>
      </c>
      <c r="C173" s="45" t="inlineStr">
        <is>
          <t>Homenageou</t>
        </is>
      </c>
      <c r="D173" s="45" t="inlineStr">
        <is>
          <t>Documentado</t>
        </is>
      </c>
      <c r="E173" s="45">
        <f>INDEX(Nodes!$B$2:$B$84,MATCH(A173,Nodes!$A$2:$A$84,0))</f>
        <v/>
      </c>
      <c r="F173" s="45">
        <f>INDEX(Nodes!$B$2:$B$84,MATCH(B173,Nodes!$A$2:$A$84,0))</f>
        <v/>
      </c>
    </row>
    <row r="174">
      <c r="A174" s="45" t="inlineStr">
        <is>
          <t>adriano</t>
        </is>
      </c>
      <c r="B174" s="45" t="inlineStr">
        <is>
          <t>orelha</t>
        </is>
      </c>
      <c r="C174" s="45" t="inlineStr">
        <is>
          <t>Ligados</t>
        </is>
      </c>
      <c r="D174" s="45" t="inlineStr">
        <is>
          <t>Documentado</t>
        </is>
      </c>
      <c r="E174" s="45">
        <f>INDEX(Nodes!$B$2:$B$84,MATCH(A174,Nodes!$A$2:$A$84,0))</f>
        <v/>
      </c>
      <c r="F174" s="45">
        <f>INDEX(Nodes!$B$2:$B$84,MATCH(B174,Nodes!$A$2:$A$84,0))</f>
        <v/>
      </c>
    </row>
    <row r="175">
      <c r="A175" s="45" t="inlineStr">
        <is>
          <t>flavio</t>
        </is>
      </c>
      <c r="B175" s="45" t="inlineStr">
        <is>
          <t>pms16</t>
        </is>
      </c>
      <c r="C175" s="45" t="inlineStr">
        <is>
          <t>Condecorou</t>
        </is>
      </c>
      <c r="D175" s="45" t="inlineStr">
        <is>
          <t>Documentado</t>
        </is>
      </c>
      <c r="E175" s="45">
        <f>INDEX(Nodes!$B$2:$B$84,MATCH(A175,Nodes!$A$2:$A$84,0))</f>
        <v/>
      </c>
      <c r="F175" s="45">
        <f>INDEX(Nodes!$B$2:$B$84,MATCH(B175,Nodes!$A$2:$A$84,0))</f>
        <v/>
      </c>
    </row>
    <row r="176">
      <c r="A176" s="45" t="inlineStr">
        <is>
          <t>carlos</t>
        </is>
      </c>
      <c r="B176" s="45" t="inlineStr">
        <is>
          <t>pms16</t>
        </is>
      </c>
      <c r="C176" s="45" t="inlineStr">
        <is>
          <t>Condecorou</t>
        </is>
      </c>
      <c r="D176" s="45" t="inlineStr">
        <is>
          <t>Documentado</t>
        </is>
      </c>
      <c r="E176" s="45">
        <f>INDEX(Nodes!$B$2:$B$84,MATCH(A176,Nodes!$A$2:$A$84,0))</f>
        <v/>
      </c>
      <c r="F176" s="45">
        <f>INDEX(Nodes!$B$2:$B$84,MATCH(B176,Nodes!$A$2:$A$84,0))</f>
        <v/>
      </c>
    </row>
    <row r="177">
      <c r="A177" s="45" t="inlineStr">
        <is>
          <t>flavio</t>
        </is>
      </c>
      <c r="B177" s="45" t="inlineStr">
        <is>
          <t>ongbrazao</t>
        </is>
      </c>
      <c r="C177" s="45" t="inlineStr">
        <is>
          <t>Emenda para a ONG; PF apura</t>
        </is>
      </c>
      <c r="D177" s="45" t="inlineStr">
        <is>
          <t>Alegado ou contestado</t>
        </is>
      </c>
      <c r="E177" s="45">
        <f>INDEX(Nodes!$B$2:$B$84,MATCH(A177,Nodes!$A$2:$A$84,0))</f>
        <v/>
      </c>
      <c r="F177" s="45">
        <f>INDEX(Nodes!$B$2:$B$84,MATCH(B177,Nodes!$A$2:$A$84,0))</f>
        <v/>
      </c>
    </row>
    <row r="178">
      <c r="A178" s="45" t="inlineStr">
        <is>
          <t>peixe</t>
        </is>
      </c>
      <c r="B178" s="45" t="inlineStr">
        <is>
          <t>flavio</t>
        </is>
      </c>
      <c r="C178" s="45" t="inlineStr">
        <is>
          <t>Negociou emenda com assessora dele (Estadão)</t>
        </is>
      </c>
      <c r="D178" s="45" t="inlineStr">
        <is>
          <t>Alegado ou contestado</t>
        </is>
      </c>
      <c r="E178" s="45">
        <f>INDEX(Nodes!$B$2:$B$84,MATCH(A178,Nodes!$A$2:$A$84,0))</f>
        <v/>
      </c>
      <c r="F178" s="45">
        <f>INDEX(Nodes!$B$2:$B$84,MATCH(B178,Nodes!$A$2:$A$84,0))</f>
        <v/>
      </c>
    </row>
    <row r="179">
      <c r="A179" s="45" t="inlineStr">
        <is>
          <t>peixe</t>
        </is>
      </c>
      <c r="B179" s="45" t="inlineStr">
        <is>
          <t>ongbrazao</t>
        </is>
      </c>
      <c r="C179" s="45" t="inlineStr">
        <is>
          <t>Ligado ao esquema dos irmãos Brazão</t>
        </is>
      </c>
      <c r="D179" s="45" t="inlineStr">
        <is>
          <t>Alegado ou contestado</t>
        </is>
      </c>
      <c r="E179" s="45">
        <f>INDEX(Nodes!$B$2:$B$84,MATCH(A179,Nodes!$A$2:$A$84,0))</f>
        <v/>
      </c>
      <c r="F179" s="45">
        <f>INDEX(Nodes!$B$2:$B$84,MATCH(B179,Nodes!$A$2:$A$84,0))</f>
        <v/>
      </c>
    </row>
    <row r="180">
      <c r="A180" s="45" t="inlineStr">
        <is>
          <t>flavio</t>
        </is>
      </c>
      <c r="B180" s="45" t="inlineStr">
        <is>
          <t>pmacusado</t>
        </is>
      </c>
      <c r="C180" s="45" t="inlineStr">
        <is>
          <t>Atuou como advogado dele; recurso no STJ reverteu decisão</t>
        </is>
      </c>
      <c r="D180" s="45" t="inlineStr">
        <is>
          <t>Documentado</t>
        </is>
      </c>
      <c r="E180" s="45">
        <f>INDEX(Nodes!$B$2:$B$84,MATCH(A180,Nodes!$A$2:$A$84,0))</f>
        <v/>
      </c>
      <c r="F180" s="45">
        <f>INDEX(Nodes!$B$2:$B$84,MATCH(B180,Nodes!$A$2:$A$84,0))</f>
        <v/>
      </c>
    </row>
    <row r="181">
      <c r="A181" s="45" t="inlineStr">
        <is>
          <t>willer</t>
        </is>
      </c>
      <c r="B181" s="45" t="inlineStr">
        <is>
          <t>angra</t>
        </is>
      </c>
      <c r="C181" s="45" t="inlineStr">
        <is>
          <t>Obteve a posse na Justiça; STJ reconheceu em 2025</t>
        </is>
      </c>
      <c r="D181" s="45" t="inlineStr">
        <is>
          <t>Documentado</t>
        </is>
      </c>
      <c r="E181" s="45">
        <f>INDEX(Nodes!$B$2:$B$84,MATCH(A181,Nodes!$A$2:$A$84,0))</f>
        <v/>
      </c>
      <c r="F181" s="45">
        <f>INDEX(Nodes!$B$2:$B$84,MATCH(B181,Nodes!$A$2:$A$84,0))</f>
        <v/>
      </c>
    </row>
    <row r="182">
      <c r="A182" s="45" t="inlineStr">
        <is>
          <t>jair</t>
        </is>
      </c>
      <c r="B182" s="45" t="inlineStr">
        <is>
          <t>angra</t>
        </is>
      </c>
      <c r="C182" s="45" t="inlineStr">
        <is>
          <t>Governo dele liberou em um dia a transferência do imóvel (ICL)</t>
        </is>
      </c>
      <c r="D182" s="45" t="inlineStr">
        <is>
          <t>Alegado ou contestado</t>
        </is>
      </c>
      <c r="E182" s="45">
        <f>INDEX(Nodes!$B$2:$B$84,MATCH(A182,Nodes!$A$2:$A$84,0))</f>
        <v/>
      </c>
      <c r="F182" s="45">
        <f>INDEX(Nodes!$B$2:$B$84,MATCH(B182,Nodes!$A$2:$A$84,0))</f>
        <v/>
      </c>
    </row>
  </sheetData>
  <autoFilter ref="A1:F12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24" min="1" max="1"/>
  </cols>
  <sheetData>
    <row r="1" ht="15" customHeight="1" s="25">
      <c r="A1" s="46" t="inlineStr">
        <is>
          <t>Notes</t>
        </is>
      </c>
    </row>
    <row r="2" ht="15" customHeight="1" s="25">
      <c r="A2" s="45" t="inlineStr">
        <is>
          <t>Source: transcrição do vídeo do canal Revelando (fornecida pela usuária) e reportagens citadas na conversa.</t>
        </is>
      </c>
    </row>
    <row r="3" ht="23.25" customHeight="1" s="25">
      <c r="A3" s="45" t="inlineStr">
        <is>
          <t>Status “Documentado”: o vídeo apresenta como fato ou relatório da PF/imprensa. “Alegado ou contestado”: hipótese, suspeita ou algo que o citado nega.</t>
        </is>
      </c>
    </row>
    <row r="4" ht="15" customHeight="1" s="25">
      <c r="A4" s="45" t="inlineStr">
        <is>
          <t>Todas as pessoas e empresas citadas negam ou contestam irregularidades; nada aqui é condenação.</t>
        </is>
      </c>
    </row>
    <row r="5" ht="15" customHeight="1" s="25">
      <c r="A5" s="45" t="inlineStr">
        <is>
          <t>Alguns nomes vêm de transcrição automática e podem estar grafados de forma imprecisa (ex.: Willer Tomás/Tomaz, Roberta).</t>
        </is>
      </c>
    </row>
    <row r="6" ht="15" customHeight="1" s="25">
      <c r="A6" s="45" t="inlineStr">
        <is>
          <t>“Ciro Nogueira” aparece como “Círio Nogueira” na transcrição; a identificação é inferida do contexto (Folha, 2020).</t>
        </is>
      </c>
    </row>
    <row r="7" ht="15" customHeight="1" s="25">
      <c r="A7" s="45" t="inlineStr">
        <is>
          <t>Valores monetários mensais do promoter e do diretor jurídico estão ilegíveis na transcrição e foram omitidos.</t>
        </is>
      </c>
    </row>
    <row r="8" ht="23.25" customHeight="1" s="25">
      <c r="A8" s="45" t="inlineStr">
        <is>
          <t>Não incluídos por não serem nomeados no vídeo: terceiro cotista do jato, sócio do Careca no exterior, amiga que cobrou Vorcaro, e as mulheres individualmente.</t>
        </is>
      </c>
    </row>
    <row r="9" ht="15" customHeight="1" s="25">
      <c r="A9" s="45" t="inlineStr">
        <is>
          <t>Pronto para importar em ferramentas de grafos: Nodes (Id, Label) e Edges (Source, Target) seguem o padrão do Gephi/Kumu.</t>
        </is>
      </c>
    </row>
    <row r="10" ht="15" customHeight="1" s="25">
      <c r="A10" s="45" t="inlineStr">
        <is>
          <t>Degree (Nodes) e nomes (Edges) são fórmulas; recalculam se você editar as abas.</t>
        </is>
      </c>
    </row>
    <row r="11">
      <c r="A11" t="inlineStr">
        <is>
          <t>21/10/2026: importados 26 nós, 62 conexões e 4 perfis do acervo a verdade. (https://bolsomaster.site, PDF em https://bolsomaster.site/documento-original.pdf). As fontes de cada item são as do acervo e não foram reverificadas uma a uma.</t>
        </is>
      </c>
    </row>
    <row r="12">
      <c r="A12" t="inlineStr">
        <is>
          <t>Na importação, foi marcado como “Documentado” só o que é ato público ou fato noticiado sem disputa (indicação, doação registrada, homenagem, decisão judicial, contrato público). Suspeitas, mensagens, relatórios da PF sobre condutas e afirmações de ex-sócios ficaram como “Alegado ou contestado”.</t>
        </is>
      </c>
    </row>
    <row r="13">
      <c r="A13" t="inlineStr">
        <is>
          <t>Correções do próprio acervo aplicadas: honorários de até R$ 427 mi não são recebimento pessoal de Nunes; o caso do vice Alfredo Gaspar foi arquivado; números do celular de Vorcaro (Piauí × Estadão) não se somam; contratos do ITER são dois levantamentos diferentes.</t>
        </is>
      </c>
    </row>
    <row r="14">
      <c r="A14" t="inlineStr">
        <is>
          <t>Registros do acervo deixados de fora: registro-3 (comparação retórica do PDF; o próprio acervo diz que não comprova a origem do dinheiro); registro-5 (afirmação de exclusividade não verificada pelo acervo); registro-7 (comparação de valores entre casos diferentes); registro-8 (comparação de valores entre casos diferentes); registro-22 (hipótese do PDF sobre o esquema, com fonte em vídeo); registro-27 (já no mapa (Nunes preside o TSE)); registro-41 (pessoa não identificada com clareza); registro-87 (sem pessoa ou conexão específica); registro-88 (só título de reportagem); registro-91 (projeto de lei sem ligação direta com o mapa); registro-93 (post de Nikolas Ferreira sem ligação com o mapa); registro-126 (padrinho não identificado no texto).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2026-10-20T16:05:06Z</dcterms:created>
  <dcterms:modified xmlns:dcterms="http://purl.org/dc/terms/" xmlns:xsi="http://www.w3.org/2001/XMLSchema-instance" xsi:type="dcterms:W3CDTF">2026-10-21T22:49:56Z</dcterms:modified>
  <cp:revision>0</cp:revision>
</cp:coreProperties>
</file>