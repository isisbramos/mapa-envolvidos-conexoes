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o" sheetId="1" state="visible" r:id="rId1"/>
    <sheet xmlns:r="http://schemas.openxmlformats.org/officeDocument/2006/relationships" name="Perfis" sheetId="2" state="visible" r:id="rId2"/>
    <sheet xmlns:r="http://schemas.openxmlformats.org/officeDocument/2006/relationships" name="Nodes" sheetId="3" state="visible" r:id="rId3"/>
    <sheet xmlns:r="http://schemas.openxmlformats.org/officeDocument/2006/relationships" name="Edges" sheetId="4" state="visible" r:id="rId4"/>
    <sheet xmlns:r="http://schemas.openxmlformats.org/officeDocument/2006/relationships" name="Notes" sheetId="5" state="visible" r:id="rId5"/>
  </sheets>
  <definedNames>
    <definedName name="_xlnm._FilterDatabase" localSheetId="1" hidden="1">'Perfis'!$A$1:$P$36</definedName>
    <definedName name="_xlnm._FilterDatabase" localSheetId="2" hidden="1">'Nodes'!$A$1:$F$58</definedName>
    <definedName name="_xlnm._FilterDatabase" localSheetId="3" hidden="1">'Edges'!$A$1:$F$120</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55555"/>
      <sz val="11"/>
    </font>
    <font>
      <name val="Cambria"/>
      <charset val="1"/>
      <family val="0"/>
      <b val="1"/>
      <color rgb="FFFFFFFF"/>
      <sz val="11"/>
    </font>
    <font>
      <name val="Cambria"/>
      <charset val="1"/>
      <family val="0"/>
      <b val="1"/>
      <sz val="11"/>
    </font>
    <font>
      <name val="Calibri"/>
      <family val="2"/>
      <b val="1"/>
      <color rgb="FF000000"/>
      <sz val="18"/>
    </font>
    <font>
      <name val="Calibri"/>
      <family val="2"/>
      <color rgb="FF000000"/>
      <sz val="10"/>
    </font>
    <font>
      <name val="Arial"/>
      <charset val="1"/>
      <family val="0"/>
      <b val="1"/>
      <sz val="10"/>
    </font>
    <font>
      <name val="Arial"/>
      <charset val="1"/>
      <family val="0"/>
      <sz val="10"/>
    </font>
  </fonts>
  <fills count="9">
    <fill>
      <patternFill/>
    </fill>
    <fill>
      <patternFill patternType="gray125"/>
    </fill>
    <fill>
      <patternFill patternType="solid">
        <fgColor rgb="FF2F3B52"/>
        <bgColor rgb="FF003366"/>
      </patternFill>
    </fill>
    <fill>
      <patternFill patternType="solid">
        <fgColor rgb="FFF4B6B6"/>
        <bgColor rgb="FFF8D3A8"/>
      </patternFill>
    </fill>
    <fill>
      <patternFill patternType="solid">
        <fgColor rgb="FFF8D3A8"/>
        <bgColor rgb="FFFBEBA5"/>
      </patternFill>
    </fill>
    <fill>
      <patternFill patternType="solid">
        <fgColor rgb="FFFBEBA5"/>
        <bgColor rgb="FFF8D3A8"/>
      </patternFill>
    </fill>
    <fill>
      <patternFill patternType="solid">
        <fgColor rgb="FFD9E6F5"/>
        <bgColor rgb="FFE5E5E5"/>
      </patternFill>
    </fill>
    <fill>
      <patternFill patternType="solid">
        <fgColor rgb="FFE5E5E5"/>
        <bgColor rgb="FFE7E6E6"/>
      </patternFill>
    </fill>
    <fill>
      <patternFill patternType="solid">
        <fgColor rgb="FFE7E6E6"/>
        <bgColor rgb="FFE5E5E5"/>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7" fillId="0" borderId="0" applyAlignment="1" pivotButton="0" quotePrefix="0" xfId="0">
      <alignment horizontal="general" vertical="bottom"/>
    </xf>
    <xf numFmtId="0" fontId="6" fillId="2" borderId="0" applyAlignment="1" pivotButton="0" quotePrefix="0" xfId="0">
      <alignment horizontal="general" vertical="center" wrapText="1"/>
    </xf>
    <xf numFmtId="0" fontId="0"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general" vertical="top" wrapText="1"/>
    </xf>
    <xf numFmtId="0" fontId="7" fillId="6" borderId="1" applyAlignment="1" pivotButton="0" quotePrefix="0" xfId="0">
      <alignment horizontal="general" vertical="top" wrapText="1"/>
    </xf>
    <xf numFmtId="0" fontId="7" fillId="5" borderId="1" applyAlignment="1" pivotButton="0" quotePrefix="0" xfId="0">
      <alignment horizontal="general" vertical="top" wrapText="1"/>
    </xf>
    <xf numFmtId="0" fontId="7" fillId="7" borderId="1" applyAlignment="1" pivotButton="0" quotePrefix="0" xfId="0">
      <alignment horizontal="general" vertical="top" wrapText="1"/>
    </xf>
    <xf numFmtId="0" fontId="7" fillId="3" borderId="1" applyAlignment="1" pivotButton="0" quotePrefix="0" xfId="0">
      <alignment horizontal="general" vertical="top" wrapText="1"/>
    </xf>
    <xf numFmtId="0" fontId="10" fillId="8" borderId="0" applyAlignment="1" pivotButton="0" quotePrefix="0" xfId="0">
      <alignment horizontal="general" vertical="center"/>
    </xf>
    <xf numFmtId="0" fontId="11" fillId="0" borderId="0" applyAlignment="1" pivotButton="0" quotePrefix="0" xfId="0">
      <alignment horizontal="general" vertical="top" wrapText="1"/>
    </xf>
    <xf numFmtId="0" fontId="1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2F3B5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9E6F5"/>
          <bgColor rgb="FF000000"/>
        </patternFill>
      </fill>
    </dxf>
    <dxf>
      <fill>
        <patternFill patternType="solid">
          <fgColor rgb="FFE5E5E5"/>
          <bgColor rgb="FF000000"/>
        </patternFill>
      </fill>
    </dxf>
    <dxf>
      <fill>
        <patternFill patternType="solid">
          <fgColor rgb="FFF4B6B6"/>
          <bgColor rgb="FF000000"/>
        </patternFill>
      </fill>
    </dxf>
    <dxf>
      <fill>
        <patternFill patternType="solid">
          <fgColor rgb="FFF8D3A8"/>
          <bgColor rgb="FF000000"/>
        </patternFill>
      </fill>
    </dxf>
    <dxf>
      <fill>
        <patternFill patternType="solid">
          <fgColor rgb="FFFBEBA5"/>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E7E6E6"/>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5E5E5"/>
      <rgbColor rgb="FFFBEBA5"/>
      <rgbColor rgb="FF99CCFF"/>
      <rgbColor rgb="FFF4B6B6"/>
      <rgbColor rgb="FFCC99FF"/>
      <rgbColor rgb="FFF8D3A8"/>
      <rgbColor rgb="FF3366FF"/>
      <rgbColor rgb="FF33CCCC"/>
      <rgbColor rgb="FF99CC00"/>
      <rgbColor rgb="FFFFCC00"/>
      <rgbColor rgb="FFFF9900"/>
      <rgbColor rgb="FFFF6600"/>
      <rgbColor rgb="FF4F81BD"/>
      <rgbColor rgb="FFB3B3B3"/>
      <rgbColor rgb="FF003366"/>
      <rgbColor rgb="FF339966"/>
      <rgbColor rgb="FF003300"/>
      <rgbColor rgb="FF333300"/>
      <rgbColor rgb="FF993300"/>
      <rgbColor rgb="FF993366"/>
      <rgbColor rgb="FF555555"/>
      <rgbColor rgb="FF2F3B5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Pessoas por estágio jurídico</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Resumo!B4</f>
              <strCache>
                <ptCount val="1"/>
                <pt idx="0">
                  <v>Pessoas</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cat>
            <strRef>
              <f>Resumo!$A$5:$A$9</f>
              <strCache>
                <ptCount val="5"/>
                <pt idx="0">
                  <v>Condenado</v>
                </pt>
                <pt idx="1">
                  <v>Preso, sem condenação</v>
                </pt>
                <pt idx="2">
                  <v>Investigado / alvo (sem denúncia)</v>
                </pt>
                <pt idx="3">
                  <v>Citado, sem acusação</v>
                </pt>
                <pt idx="4">
                  <v>Não pesquisado</v>
                </pt>
              </strCache>
            </strRef>
          </cat>
          <val>
            <numRef>
              <f>Resumo!$B$5:$B$9</f>
              <numCache>
                <formatCode>General</formatCode>
                <ptCount val="5"/>
                <pt idx="0">
                  <v>3</v>
                </pt>
                <pt idx="1">
                  <v>4</v>
                </pt>
                <pt idx="2">
                  <v>7</v>
                </pt>
                <pt idx="3">
                  <v>8</v>
                </pt>
                <pt idx="4">
                  <v>8</v>
                </pt>
              </numCache>
            </numRef>
          </val>
        </ser>
        <gapWidth val="150"/>
        <overlap val="0"/>
        <axId val="60663680"/>
        <axId val="27512961"/>
      </barChart>
      <catAx>
        <axId val="60663680"/>
        <scaling>
          <orientation val="minMax"/>
        </scaling>
        <delete val="0"/>
        <axPos val="b"/>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7512961"/>
        <crosses val="autoZero"/>
        <auto val="1"/>
        <lblAlgn val="ctr"/>
        <lblOffset val="100"/>
        <noMultiLvlLbl val="0"/>
      </catAx>
      <valAx>
        <axId val="27512961"/>
        <scaling>
          <orientation val="minMax"/>
        </scaling>
        <delete val="0"/>
        <axPos val="l"/>
        <majorGridlines>
          <spPr>
            <a:ln xmlns:a="http://schemas.openxmlformats.org/drawingml/2006/main" w="0">
              <a:solidFill>
                <a:srgbClr val="b3b3b3"/>
              </a:solidFill>
              <a:prstDash val="solid"/>
            </a:ln>
          </spPr>
        </majorGridlines>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663680"/>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0</col>
      <colOff>0</colOff>
      <row>9</row>
      <rowOff>33120</rowOff>
    </from>
    <to>
      <col>2</col>
      <colOff>3237480</colOff>
      <row>22</row>
      <rowOff>76320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C3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24" min="1" max="1"/>
    <col width="10" customWidth="1" style="24" min="2" max="2"/>
    <col width="110" customWidth="1" style="24" min="3" max="3"/>
  </cols>
  <sheetData>
    <row r="1" ht="17.35" customHeight="1" s="25">
      <c r="A1" s="26" t="inlineStr">
        <is>
          <t>Mapa de envolvidos: situação jurídica por estágio</t>
        </is>
      </c>
    </row>
    <row r="2" ht="15" customHeight="1" s="25">
      <c r="A2" s="27" t="inlineStr">
        <is>
          <t>Pesquisa em fontes públicas, atualizada em 21/10/2026 (revisão 3, com o acervo a verdade.). Estágio ≠ culpa: só os "Condenado" têm decisão condenatória.</t>
        </is>
      </c>
    </row>
    <row r="4" ht="15" customHeight="1" s="25">
      <c r="A4" s="28" t="inlineStr">
        <is>
          <t>Estágio</t>
        </is>
      </c>
      <c r="B4" s="28" t="inlineStr">
        <is>
          <t>Pessoas</t>
        </is>
      </c>
      <c r="C4" s="28" t="inlineStr">
        <is>
          <t>Quem</t>
        </is>
      </c>
    </row>
    <row r="5" ht="15" customHeight="1" s="25">
      <c r="A5" s="29" t="inlineStr">
        <is>
          <t>Condenado</t>
        </is>
      </c>
      <c r="B5" s="24">
        <f>COUNTIF(Perfis!$H$2:$H$36,A5)</f>
        <v/>
      </c>
      <c r="C5" s="30" t="inlineStr">
        <is>
          <t>Jair Messias Bolsonaro; Alexandre Ramagem; Augusto Heleno</t>
        </is>
      </c>
    </row>
    <row r="6" ht="15" customHeight="1" s="25">
      <c r="A6" s="31" t="inlineStr">
        <is>
          <t>Preso, sem condenação</t>
        </is>
      </c>
      <c r="B6" s="24">
        <f>COUNTIF(Perfis!$H$2:$H$36,A6)</f>
        <v/>
      </c>
      <c r="C6" s="30" t="inlineStr">
        <is>
          <t>Antônio Carlos Camilo Antunes; Alexandre Caetano dos Reis; Daniel Vorcaro; Fabiano Campos Zettel</t>
        </is>
      </c>
    </row>
    <row r="7" ht="28.35" customHeight="1" s="25">
      <c r="A7" s="32" t="inlineStr">
        <is>
          <t>Investigado / alvo (sem denúncia)</t>
        </is>
      </c>
      <c r="B7" s="24">
        <f>COUNTIF(Perfis!$H$2:$H$36,A7)</f>
        <v/>
      </c>
      <c r="C7" s="30" t="inlineStr">
        <is>
          <t>Fábio Luís Lula da Silva; Roberta Moreira Luchsinger; Willer Tomaz; Flávio Bolsonaro; Carlos Bolsonaro; Frederick Wassef; Ciro Nogueira; Mario Frias; Weverton Rocha</t>
        </is>
      </c>
    </row>
    <row r="8" ht="28.35" customHeight="1" s="25">
      <c r="A8" s="33" t="inlineStr">
        <is>
          <t>Citado, sem acusação</t>
        </is>
      </c>
      <c r="B8" s="24">
        <f>COUNTIF(Perfis!$H$2:$H$36,A8)</f>
        <v/>
      </c>
      <c r="C8" s="30" t="inlineStr">
        <is>
          <t>Letícia Caetano dos Reis; Lídia Maria Figueiredo Mazelli; Renan Calheiros; Fabrício José Carlos de Queiroz; Richarlison; Kassio Nunes Marques; Kevin Marques; Sergio Fernando Moro; André Mendonça; Fábio Faria; Alfredo Gaspar</t>
        </is>
      </c>
    </row>
    <row r="9" ht="28.35" customHeight="1" s="25">
      <c r="A9" s="34" t="inlineStr">
        <is>
          <t>Não pesquisado</t>
        </is>
      </c>
      <c r="B9" s="24">
        <f>COUNTIF(Perfis!$H$2:$H$36,A9)</f>
        <v/>
      </c>
      <c r="C9" s="30" t="inlineStr">
        <is>
          <t>Mulher e filhas de Flávio; advogadas de Flávio; diretor jurídico; promoter; mordomo; mulheres das festas; eletricista; Antônio Marcos da Silva (sem fonte pública confirmada)</t>
        </is>
      </c>
    </row>
    <row r="10" ht="15" customHeight="1" s="25">
      <c r="A10" s="35" t="inlineStr">
        <is>
          <t>Total</t>
        </is>
      </c>
      <c r="B10" s="35">
        <f>SUM(B5:B9)</f>
        <v/>
      </c>
    </row>
    <row r="28" ht="15" customHeight="1" s="25">
      <c r="A28" s="35" t="inlineStr">
        <is>
          <t>Notas de método</t>
        </is>
      </c>
    </row>
    <row r="29" ht="30" customHeight="1" s="25">
      <c r="A29" s="30" t="inlineStr">
        <is>
          <t>• Pessoas privadas, menores e não nomeadas (família de Flávio, mulheres das festas, promoter, mordomo, eletricista, advogadas, diretor jurídico) não foram pesquisadas.</t>
        </is>
      </c>
    </row>
    <row r="30" ht="30" customHeight="1" s="25">
      <c r="A30" s="30" t="inlineStr">
        <is>
          <t>• Localização é só cidade/UF noticiada, sem endereço residencial. Vivo/morto reflete as notícias mais recentes que achei; não encontrei registro de morte de ninguém.</t>
        </is>
      </c>
    </row>
    <row r="31" ht="30" customHeight="1" s="25">
      <c r="A31" s="30" t="inlineStr">
        <is>
          <t>• "Milícia": só aparece vínculo apurado no caso Queiroz (transferências de Adriano da Nóbrega). Nenhuma fonte acusa Queiroz de integrar milícia.</t>
        </is>
      </c>
    </row>
    <row r="32" ht="30" customHeight="1" s="25">
      <c r="A32" s="30" t="inlineStr">
        <is>
          <t>• Vários detalhes de 2026 vêm de manchetes ou de reportagens sem confirmação cruzada; marquei como "não confirmado" onde não consegui abrir a fonte.</t>
        </is>
      </c>
    </row>
    <row r="33" ht="30" customHeight="1" s="25">
      <c r="A33" s="30" t="inlineStr">
        <is>
          <t>• Contexto eleitoral (revisão 2): 1º turno em 04/10/2026; Flávio (47,03%) e Lula (45,16%) vão ao 2º turno em 25/10. Moro foi eleito governador do PR e Carlos, senador por SC; Renan perdeu a reeleição.</t>
        </is>
      </c>
    </row>
    <row r="34" ht="30" customHeight="1" s="25">
      <c r="A34" s="30" t="inlineStr">
        <is>
          <t>• Abas Nodes, Edges e Notes originais ficaram intactas.</t>
        </is>
      </c>
    </row>
  </sheetData>
  <mergeCells count="6">
    <mergeCell ref="A33:C33"/>
    <mergeCell ref="A32:C32"/>
    <mergeCell ref="A31:C31"/>
    <mergeCell ref="A30:C30"/>
    <mergeCell ref="A34:C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P9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4" min="1" max="1"/>
    <col width="26" customWidth="1" style="24" min="2" max="2"/>
    <col width="22" customWidth="1" style="24" min="3" max="3"/>
    <col width="70" customWidth="1" style="24" min="4" max="4"/>
    <col width="34" customWidth="1" style="24" min="5" max="5"/>
    <col width="22" customWidth="1" style="24" min="6" max="6"/>
    <col width="56" customWidth="1" style="24" min="7" max="7"/>
    <col width="24" customWidth="1" style="24" min="8" max="8"/>
    <col width="42" customWidth="1" style="24" min="9" max="9"/>
    <col width="44" customWidth="1" style="24" min="10" max="10"/>
    <col width="70" customWidth="1" style="24" min="11" max="11"/>
    <col width="12" customWidth="1" style="24" min="12" max="12"/>
    <col width="38" customWidth="1" style="24" min="13" max="13"/>
  </cols>
  <sheetData>
    <row r="1" ht="30" customHeight="1" s="25">
      <c r="A1" s="36" t="inlineStr">
        <is>
          <t>Id</t>
        </is>
      </c>
      <c r="B1" s="36" t="inlineStr">
        <is>
          <t>Nome</t>
        </is>
      </c>
      <c r="C1" s="36" t="inlineStr">
        <is>
          <t>Grupo</t>
        </is>
      </c>
      <c r="D1" s="36" t="inlineStr">
        <is>
          <t>Quem é / histórico</t>
        </is>
      </c>
      <c r="E1" s="36" t="inlineStr">
        <is>
          <t>Onde atua ou vive (nível cidade/UF)</t>
        </is>
      </c>
      <c r="F1" s="36" t="inlineStr">
        <is>
          <t>Vivo ou morto</t>
        </is>
      </c>
      <c r="G1" s="36" t="inlineStr">
        <is>
          <t>Situação jurídica</t>
        </is>
      </c>
      <c r="H1" s="36" t="inlineStr">
        <is>
          <t>Estágio</t>
        </is>
      </c>
      <c r="I1" s="36" t="inlineStr">
        <is>
          <t>Milícia?</t>
        </is>
      </c>
      <c r="J1" s="36" t="inlineStr">
        <is>
          <t>Divergências com a planilha / ressalvas</t>
        </is>
      </c>
      <c r="K1" s="36" t="inlineStr">
        <is>
          <t>Fontes</t>
        </is>
      </c>
      <c r="L1" s="36" t="inlineStr">
        <is>
          <t>Checado em</t>
        </is>
      </c>
      <c r="M1" s="36" t="inlineStr">
        <is>
          <t>Mudou nesta revisão</t>
        </is>
      </c>
      <c r="N1" s="24" t="inlineStr">
        <is>
          <t>Foto (arquivo)</t>
        </is>
      </c>
      <c r="O1" s="24" t="inlineStr">
        <is>
          <t>Crédito da foto</t>
        </is>
      </c>
      <c r="P1" s="24" t="inlineStr">
        <is>
          <t>Link da fonte da foto</t>
        </is>
      </c>
    </row>
    <row r="2" ht="135.8" customHeight="1" s="25">
      <c r="A2" s="37" t="inlineStr">
        <is>
          <t>careca</t>
        </is>
      </c>
      <c r="B2" s="38" t="inlineStr">
        <is>
          <t>Antônio Carlos Camilo Antunes ("Careca do INSS")</t>
        </is>
      </c>
      <c r="C2" s="37" t="inlineStr">
        <is>
          <t>Esquema do INSS</t>
        </is>
      </c>
      <c r="D2" s="37" t="inlineStr">
        <is>
          <t>Lobista. Declara-se gerente (renda declarada ~R$ 24,5 mil/mês), mas relatório o aponta como sócio de 22 empresas; pessoas e empresas ligadas a ele receberam ~R$ 53,6 mi. PF diz que mantinha offshore nas Ilhas Virgens Britânicas. Tinha 61 anos em jan/2026. O filho, Romeu, preso em dez/2025, foi solto por Mendonça em 09/09/2026 (tornozeleira, passaporte apreendido, sem sair de Brasília).</t>
        </is>
      </c>
      <c r="E2" s="37" t="inlineStr">
        <is>
          <t>Complexo da Papuda, Brasília (DF), ala de vulneráveis (Bloco V) desde jan/2026</t>
        </is>
      </c>
      <c r="F2" s="37" t="inlineStr">
        <is>
          <t>Vivo (preso; confirmado em 09/09/2026)</t>
        </is>
      </c>
      <c r="G2" s="37" t="inlineStr">
        <is>
          <t>Preso desde 12/09/2025 (STF; Operação Sem Desconto; relator Mendonça), hoje na Papuda. Em jan/2026 Mendonça negou pedido de liberdade (decisão sigilosa), vendo risco de reiteração e de atrapalhar a investigação. Segue preso em set/2026. Em 2026 preparava uma proposta de delação, sem notícia de aceite. Nas fontes não há condenação nem denúncia.</t>
        </is>
      </c>
      <c r="H2" s="39" t="inlineStr">
        <is>
          <t>Preso, sem condenação</t>
        </is>
      </c>
      <c r="I2" s="37" t="inlineStr">
        <is>
          <t>Nada nas fontes.</t>
        </is>
      </c>
      <c r="J2" s="37" t="inlineStr">
        <is>
          <t>—</t>
        </is>
      </c>
      <c r="K2" s="37" t="inlineStr">
        <is>
          <t>CNN Brasil 12/09/2025 https://www.cnnbrasil.com.br/politica/quem-e-o-careca-do-inss-preso-em-operacao-da-pf-nesta-sexta-12/ | Delação (fev/2026) https://portaldeprefeitura.com.br/bastidores-da-politica/policia-federal/careca-do-inss-prepara-proposta-de-delacao-premiada-lulinha/615241/ | Gazeta do Povo https://www.gazetadopovo.com.br/republica/mendonca-mantem-prisao-preventiva-do-careca-do-inss/ | Rondônia ao Vivo 09/09/2026 https://www.rondoniaovivo.com/noticia/geral/2026/09/09/stf-mendonca-manda-soltar-filho-do-careca-do-inss.html | Metrópoles https://www.metropoles.com/colunas/manoela-alcantara/careca-do-inss-e-transferido-para-ala-de-vulneraveis-da-papuda | Revogação da prisão do filho do Careca do INSS (iclnoticias.com.br) https://iclnoticias.com.br/andre-mendonca-revoga-prisao-do-filho-do-careca/ | Endereço e contabilidade compartilhados em Brasília (iclnoticias.com.br) https://iclnoticias.com.br/empresas-de-flavio-bolsonaro-e-careca-do-inss/</t>
        </is>
      </c>
      <c r="L2" s="37" t="inlineStr">
        <is>
          <t>20/10/2026</t>
        </is>
      </c>
      <c r="M2" s="37" t="inlineStr">
        <is>
          <t>Confirmado preso em 09/09/2026; local, idade e decisão de jan/2026 adicionados. 21/10/2026: importado do acervo a verdade. (bolsomaster.site).</t>
        </is>
      </c>
      <c r="N2" s="24" t="inlineStr">
        <is>
          <t>careca.jpg</t>
        </is>
      </c>
      <c r="O2" s="24" t="inlineStr">
        <is>
          <t>Edilson Rodrigues/Agência Senado · CC BY-SA 4.0</t>
        </is>
      </c>
      <c r="P2" s="24" t="inlineStr">
        <is>
          <t>https://commons.wikimedia.org/wiki/File:CPMI_-_INSS_-_Comissão_Parlamentar_Mista_de_Inquérito_do_INSS_-_2025_(54811232041)_(cropped).jpg</t>
        </is>
      </c>
    </row>
    <row r="3" ht="41.75" customHeight="1" s="25">
      <c r="A3" s="37" t="inlineStr">
        <is>
          <t>contador</t>
        </is>
      </c>
      <c r="B3" s="38" t="inlineStr">
        <is>
          <t>Alexandre Caetano dos Reis</t>
        </is>
      </c>
      <c r="C3" s="37" t="inlineStr">
        <is>
          <t>Esquema do INSS</t>
        </is>
      </c>
      <c r="D3" s="37" t="inlineStr">
        <is>
          <t>Contador, dono da Voga Serviços Contábeis; cuida também da contabilidade do escritório de advocacia de Flávio. Segundo reportagem, era sócio do Careca em offshore nas Ilhas Virgens Britânicas.</t>
        </is>
      </c>
      <c r="E3" s="37" t="inlineStr">
        <is>
          <t>Brasília/Águas Claras (DF) – escritório; hoje preso (Papuda, segundo Bahia Notícias)</t>
        </is>
      </c>
      <c r="F3" s="37" t="inlineStr">
        <is>
          <t>Vivo (preso)</t>
        </is>
      </c>
      <c r="G3" s="37" t="inlineStr">
        <is>
          <t>Preso em dez/2025 em desdobramento do caso INSS. Willer Tomaz tem procuração nos autos para defendê-lo. Sem condenação nas fontes.</t>
        </is>
      </c>
      <c r="H3" s="39" t="inlineStr">
        <is>
          <t>Preso, sem condenação</t>
        </is>
      </c>
      <c r="I3" s="37" t="inlineStr">
        <is>
          <t>Nada nas fontes.</t>
        </is>
      </c>
      <c r="J3" s="37" t="inlineStr">
        <is>
          <t>—</t>
        </is>
      </c>
      <c r="K3" s="37" t="inlineStr">
        <is>
          <t>Bahia Notícias https://www.bahianoticias.com.br/noticia/321055-empresas-de-flavio-bolsonaro-e-careca-do-inss-dividem-a-mesma-sala-e-possuem-o-mesmo-contador | Endereço e contabilidade compartilhados em Brasília (iclnoticias.com.br) https://iclnoticias.com.br/empresas-de-flavio-bolsonaro-e-careca-do-inss/</t>
        </is>
      </c>
      <c r="L3" s="37" t="inlineStr">
        <is>
          <t>20/10/2026</t>
        </is>
      </c>
      <c r="M3" s="37" t="inlineStr">
        <is>
          <t>21/10/2026: importado do acervo a verdade. (bolsomaster.site).</t>
        </is>
      </c>
    </row>
    <row r="4" ht="41.75" customHeight="1" s="25">
      <c r="A4" s="37" t="inlineStr">
        <is>
          <t>leticia</t>
        </is>
      </c>
      <c r="B4" s="38" t="inlineStr">
        <is>
          <t>Letícia Caetano dos Reis</t>
        </is>
      </c>
      <c r="C4" s="37" t="inlineStr">
        <is>
          <t>Esquema do INSS</t>
        </is>
      </c>
      <c r="D4" s="37" t="inlineStr">
        <is>
          <t>Irmã do contador; administra o escritório de advocacia de Flávio desde 2021. Em entrevista à Agência Pública (2022) disse que chegou ao escritório por indicação de Willer Tomaz.</t>
        </is>
      </c>
      <c r="E4" s="37" t="inlineStr">
        <is>
          <t>Brasília/Águas Claras (DF) – local do escritório</t>
        </is>
      </c>
      <c r="F4" s="37" t="inlineStr">
        <is>
          <t>Vivo (sem registro de morte)</t>
        </is>
      </c>
      <c r="G4" s="37" t="inlineStr">
        <is>
          <t>Sem prisão, acusação ou investigação formal noticiada nas fontes que li. Aparece pelo vínculo familiar e profissional.</t>
        </is>
      </c>
      <c r="H4" s="40" t="inlineStr">
        <is>
          <t>Citado, sem acusação</t>
        </is>
      </c>
      <c r="I4" s="37" t="inlineStr">
        <is>
          <t>Nada nas fontes.</t>
        </is>
      </c>
      <c r="J4" s="37" t="inlineStr">
        <is>
          <t>Pessoa privada: mantive só o papel público no caso.</t>
        </is>
      </c>
      <c r="K4" s="37" t="inlineStr">
        <is>
          <t>Bahia Notícias (link acima)</t>
        </is>
      </c>
      <c r="L4" s="37" t="inlineStr">
        <is>
          <t>20/10/2026</t>
        </is>
      </c>
      <c r="M4" s="37" t="inlineStr">
        <is>
          <t>—</t>
        </is>
      </c>
    </row>
    <row r="5" ht="82.05" customHeight="1" s="25">
      <c r="A5" s="37" t="inlineStr">
        <is>
          <t>lulinha</t>
        </is>
      </c>
      <c r="B5" s="38" t="inlineStr">
        <is>
          <t>Fábio Luís Lula da Silva ("Lulinha")</t>
        </is>
      </c>
      <c r="C5" s="37" t="inlineStr">
        <is>
          <t>Esquema do INSS</t>
        </is>
      </c>
      <c r="D5" s="37" t="inlineStr">
        <is>
          <t>Empresário, filho do presidente Lula. A PF informou ao STF que apura citações a ele no inquérito do INSS (relator Mendonça); uma hipótese é que fosse sócio oculto do Careca (mensagem citando "o filho do rapaz"). Em jan/2026 Mendonça autorizou a quebra do sigilo bancário dele e de Roberta; em 04/03/2026 Dino suspendeu a quebra de sigilo fiscal pedida pela CPMI.</t>
        </is>
      </c>
      <c r="E5" s="37" t="inlineStr">
        <is>
          <t>Não confirmado nas fontes</t>
        </is>
      </c>
      <c r="F5" s="37" t="inlineStr">
        <is>
          <t>Vivo</t>
        </is>
      </c>
      <c r="G5" s="37" t="inlineStr">
        <is>
          <t>Nega ser investigado. Em 17/10/2026 Roberta Luchsinger disse à CNN que pretende fazer delação e citou Lula e Lulinha; a defesa dele (advogado Guilherme Suguimori Santos) chamou as falas de "insinuações", disse que ele pôs sigilos à disposição da Justiça e que não foi indiciado na operação do INSS. Sem indiciamento, denúncia ou condenação.</t>
        </is>
      </c>
      <c r="H5" s="41" t="inlineStr">
        <is>
          <t>Investigado / alvo (sem denúncia)</t>
        </is>
      </c>
      <c r="I5" s="37" t="inlineStr">
        <is>
          <t>Nada nas fontes.</t>
        </is>
      </c>
      <c r="J5" s="37" t="inlineStr">
        <is>
          <t>Planilha diz "3 inquéritos no STF"; nas fontes que li aparece 1 inquérito (INSS) com citações a ele. Vale revisar esse número.</t>
        </is>
      </c>
      <c r="K5" s="37" t="inlineStr">
        <is>
          <t>Brasil Agro https://brasilagro.com.br/conteudo/pf-apura-se-lulinha-foi-socio-oculto-de-careca-do-inss.html | Poder360 https://www.poder360.com.br/poder-justica/amiga-de-lulinha-nega-ter-repassado-valores-do-careca-do-inss-a-pf/ | Gazeta do Povo 17/10/2026 https://www.gazetadopovo.com.br/republica/defesa-de-lulinha-nega-irregularidades-apos-declaracoes-de-lobista-roberta-luchsinger/</t>
        </is>
      </c>
      <c r="L5" s="37" t="inlineStr">
        <is>
          <t>20/10/2026</t>
        </is>
      </c>
      <c r="M5" s="37" t="inlineStr">
        <is>
          <t>Adicionadas as falas de Roberta (17/10/2026) e a resposta da defesa.</t>
        </is>
      </c>
    </row>
    <row r="6" ht="82.05" customHeight="1" s="25">
      <c r="A6" s="37" t="inlineStr">
        <is>
          <t>roberta</t>
        </is>
      </c>
      <c r="B6" s="38" t="inlineStr">
        <is>
          <t>Roberta Moreira Luchsinger</t>
        </is>
      </c>
      <c r="C6" s="37" t="inlineStr">
        <is>
          <t>Esquema do INSS</t>
        </is>
      </c>
      <c r="D6" s="37" t="inlineStr">
        <is>
          <t>Lobista/consultora (RL Consultoria e Intermediações), amiga de Lulinha. PF diz que ela recebeu cerca de R$ 1,5 mi em parcelas do Careca via a Brasília Consultoria Empresarial, que a PF chama de empresa de fachada. Defesa: tratativas de um projeto de canabidiol, sem relação com o INSS. Depôs à PF em 20/05/2026 negando ter repassado valores a Lulinha.</t>
        </is>
      </c>
      <c r="E6" s="37" t="inlineStr">
        <is>
          <t>São Paulo (SP) – alvo de busca em Higienópolis em dez/2025</t>
        </is>
      </c>
      <c r="F6" s="37" t="inlineStr">
        <is>
          <t>Viva</t>
        </is>
      </c>
      <c r="G6" s="37" t="inlineStr">
        <is>
          <t>Segundo a Gazeta do Povo (17/10/2026), é investigada pela PF por suspeita de tráfico de influência envolvendo integrantes do governo federal. Em entrevista à CNN no mesmo dia disse que pretende fazer delação premiada e "não vai poupar ninguém", citando Lula e Lulinha; nenhum acordo firmado nas fontes. Sem denúncia ou condenação.</t>
        </is>
      </c>
      <c r="H6" s="41" t="inlineStr">
        <is>
          <t>Investigado / alvo (sem denúncia)</t>
        </is>
      </c>
      <c r="I6" s="37" t="inlineStr">
        <is>
          <t>Nada nas fontes.</t>
        </is>
      </c>
      <c r="J6" s="37" t="inlineStr">
        <is>
          <t>Planilha diz "~R$ 1 mi"; a PF fala em ordem de R$ 300 mil e ~R$ 1,5 mi no total.</t>
        </is>
      </c>
      <c r="K6" s="37" t="inlineStr">
        <is>
          <t>Poder360 (link acima) | Brasil Agro (link acima) | Gazeta do Povo (link na linha do Lulinha)</t>
        </is>
      </c>
      <c r="L6" s="37" t="inlineStr">
        <is>
          <t>20/10/2026</t>
        </is>
      </c>
      <c r="M6" s="37" t="inlineStr">
        <is>
          <t>Agora investigada por tráfico de influência e anuncia delação (17/10/2026).</t>
        </is>
      </c>
    </row>
    <row r="7" ht="122.35" customHeight="1" s="25">
      <c r="A7" s="37" t="inlineStr">
        <is>
          <t>willer</t>
        </is>
      </c>
      <c r="B7" s="38" t="inlineStr">
        <is>
          <t>Willer Tomaz</t>
        </is>
      </c>
      <c r="C7" s="37" t="inlineStr">
        <is>
          <t>Willer Tomaz e sua rede</t>
        </is>
      </c>
      <c r="D7" s="37" t="inlineStr">
        <is>
          <t>Advogado em Brasília. Preso em 2017 sob suspeita de tentar interferir na Operação Greenfield (fundos de pensão). Alvo de busca em ago/2026 na Operação Sem Desconto (caso ligado ao senador Weverton Rocha). O inquérito sobre ele e Flávio (suposta lavagem via bets, Rede Loto) chegou ao STF em 08/10/2026 (relator Moraes) e foi revelado em 18–19/10. A PF diz que uma conta dele movimentou ~R$ 130 mi entre mar e mai/2025. Dono de empresas como WT, Alcazar e Cathedral. Segundo a piauí (20/10/2026), criou em jan/2023 a offshore Cathedral, única acionista da Rede Loto (Best Bet), licenciada pela Loterj. Um e-mail achado pela PF mostra que ele se apresentou como sócio da Rio Pag, que processava pagamentos da Loterj; depois admitiu participação indireta. A PF achou sala oculta, sem dinheiro, em hangares de empresas dele no Aeroporto de Brasília. Na Operação Sem Desconto, a PF o descreve como “hub financeiro” do senador Weverton Rocha. Confirmou ao Metrópoles que viajou ao exterior com a família.</t>
        </is>
      </c>
      <c r="E7" s="37" t="inlineStr">
        <is>
          <t>Brasília (DF)</t>
        </is>
      </c>
      <c r="F7" s="37" t="inlineStr">
        <is>
          <t>Vivo</t>
        </is>
      </c>
      <c r="G7" s="37" t="inlineStr">
        <is>
          <t>Investigado; nega irregularidades e fala em "pescaria probatória". Nas fontes não há denúncia nem condenação. Diz que não há sócios ocultos nem contas não declaradas, que a sala do hangar serve a empresas de transporte de valores e que não tem restrição judicial para viajar.</t>
        </is>
      </c>
      <c r="H7" s="41" t="inlineStr">
        <is>
          <t>Investigado / alvo (sem denúncia)</t>
        </is>
      </c>
      <c r="I7" s="37" t="inlineStr">
        <is>
          <t>Nada nas fontes.</t>
        </is>
      </c>
      <c r="J7" s="37" t="inlineStr">
        <is>
          <t>Data da saída do país não confirmada: o UOL News citou registros da PF de 21/08/2026 (chegada aos EUA em 22/08), mas a Fórum/Metrópoles (19/10) fala em viagem na semana anterior. A defesa diz que a Rede Loto nunca chegou a operar.</t>
        </is>
      </c>
      <c r="K7" s="37" t="inlineStr">
        <is>
          <t>A Tarde https://atarde.com.br/eleicoes/quem-e-willer-tomaz-advogado-suspeito-de-ligacao-com-flavio-bolsonaro-1406358 | Tribuna do Sertão 19/10/2026 https://www.tribunadosertao.com.br/poder-e-governo/2026/10/19/1000284-flavio-bolsonaro-e-investigado-pela-pf-por-suspeita-de-lavagem-de-dinheiro-com-advogado-willer-tomaz | CartaCapital 18/10/2026 https://www.cartacapital.com.br/politica/flavio-bolsonaro-e-alvo-de-segundo-inquerito-no-stf-por-suspeita-de-lavagem-de-dinheiro/ | CNN Brasil https://www.cnnbrasil.com.br/politica/advogado-amigo-de-flavio-movimentou-r-130-milhoes-em-tres-meses-diz-pf/ | O voo no jato de Vorcaro em janeiro de 2025 (piaui.uol.com.br) https://piaui.uol.com.br/web/flavio-bolsonaro-viajou-em-jato-de-vorcaro/ | E-mails sobre vínculo bancário com Willer Tomaz (noticias.uol.com.br) https://noticias.uol.com.br/colunas/fabio-serapiao/2026/10/10/flavio-dividia-conta-com-suspeito-de-lavar-dinheiro-do-inss-indicam-emails.htm | A disputa pelo imóvel comprado por Richarlison (iclnoticias.com.br) https://iclnoticias.com.br/advogado-defendia-amigo-de-flavio-bolsonaro/ | A disputa pelo imóvel comprado por Richarlison (iclnoticias.com.br) https://iclnoticias.com.br/pf-e-acionada-flavio-bolsonaro-richarlisson/ | Portal Porque (resume piauí, 20/10/2026) https://www.portalporque.com.br/brasil/revista-piaui-aponta-que-flavio-bolsonaro-foi-socio-indireto-de-bet/ | Correio da Manhã (via O Globo, Malu Gaspar) https://www.correiodamanha.com.br/politica/2026/10/328716-aliado-de-flavio-bolsonaro-admitiu-ser-socio-de-empresa-da-loterj-apos-negar-ligacao-revela-e-mail.html | Goiás 246 (via Estadão) https://www.goias246.com.br/noticia/34906/politica/pf-aponta-sala-estruturada-para-guardar-valores-em-hangar-de-empresas-do-advogado-willer-tomaz.html | Poder360 04/08/2026 https://www.poder360.com.br/poder-justica/pf-investiga-advogado-amigo-de-flavio-em-operacao-sobre-o-inss/ | Revista Fórum (via Metrópoles, 19/10/2026) https://revistaforum.com.br/politica/willer-tomaz-flavio-bolsonaro-viaja-preocupa-pf/</t>
        </is>
      </c>
      <c r="L7" s="37" t="inlineStr">
        <is>
          <t>22/10/2026</t>
        </is>
      </c>
      <c r="M7" s="37" t="inlineStr">
        <is>
          <t>Data de entrada no STF (08/10/2026), valores e confirmação da busca de ago/2026. 21/10/2026: importado do acervo a verdade. (bolsomaster.site). 22/10/2026: rodada UOL News (bets, Loterj, hangar, Weverton).</t>
        </is>
      </c>
      <c r="N7" s="24" t="inlineStr">
        <is>
          <t>willer.jpg</t>
        </is>
      </c>
      <c r="O7" s="24" t="inlineStr">
        <is>
          <t>Agência Senado · CC BY 2.0</t>
        </is>
      </c>
      <c r="P7" s="24" t="inlineStr">
        <is>
          <t>https://commons.wikimedia.org/wiki/File:Willer_Tomaz_de_Souza.jpg</t>
        </is>
      </c>
    </row>
    <row r="8" ht="82.05" customHeight="1" s="25">
      <c r="A8" s="37" t="inlineStr">
        <is>
          <t>lidia</t>
        </is>
      </c>
      <c r="B8" s="38" t="inlineStr">
        <is>
          <t>Lídia Maria Figueiredo Mazelli</t>
        </is>
      </c>
      <c r="C8" s="37" t="inlineStr">
        <is>
          <t>Willer Tomaz e sua rede</t>
        </is>
      </c>
      <c r="D8" s="37" t="inlineStr">
        <is>
          <t>61 anos. Dirigente formal de 14 empresas ligadas a Willer (WT, Jet Line, Friponor, RioPag, Ícaro Aviation etc.); assinou a escritura da mansão de Angra. Teve vínculo formal com o escritório de Willer entre mar/2019 e set/2020. Ao ser abordada disse ser doméstica; depois afirmou nunca ter sido empregada doméstica e que respondeu assim por medo. A defesa de Willer diz que é administradora de empresas.</t>
        </is>
      </c>
      <c r="E8" s="37" t="inlineStr">
        <is>
          <t>Não informado</t>
        </is>
      </c>
      <c r="F8" s="37" t="inlineStr">
        <is>
          <t>Viva</t>
        </is>
      </c>
      <c r="G8" s="37" t="inlineStr">
        <is>
          <t>A reportagem não a acusa nem a apresenta como investigada; ela diz não ser investigada. Suspeitas recaem sobre Willer e as empresas (ex.: Loterj acusa a RioPag de não repassar R$ 20,9 mi ao estado).</t>
        </is>
      </c>
      <c r="H8" s="40" t="inlineStr">
        <is>
          <t>Citado, sem acusação</t>
        </is>
      </c>
      <c r="I8" s="37" t="inlineStr">
        <is>
          <t>Nada nas fontes.</t>
        </is>
      </c>
      <c r="J8" s="37" t="inlineStr">
        <is>
          <t>Planilha diz "diz ser doméstica": ela depois desmentiu isso. Hipótese de "laranja" é da reportagem, não está comprovada.</t>
        </is>
      </c>
      <c r="K8" s="37" t="inlineStr">
        <is>
          <t>ICL Notícias https://iclnoticias.com.br/domestica-preside-empresas-fraude-flavio/</t>
        </is>
      </c>
      <c r="L8" s="37" t="inlineStr">
        <is>
          <t>20/10/2026</t>
        </is>
      </c>
      <c r="M8" s="37" t="inlineStr">
        <is>
          <t>—</t>
        </is>
      </c>
    </row>
    <row r="9" ht="95.5" customHeight="1" s="25">
      <c r="A9" s="37" t="inlineStr">
        <is>
          <t>renan</t>
        </is>
      </c>
      <c r="B9" s="38" t="inlineStr">
        <is>
          <t>Renan Calheiros</t>
        </is>
      </c>
      <c r="C9" s="37" t="inlineStr">
        <is>
          <t>Willer Tomaz e sua rede</t>
        </is>
      </c>
      <c r="D9" s="37" t="inlineStr">
        <is>
          <t>Senador (MDB-AL), relator da CPI da Pandemia. Perdeu a reeleição em 04/10/2026 e deixará o Senado após 32 anos (mandato vai até jan/2027). Inquérito sobre favorecimento à Hypermarcas foi arquivado por Fachin em out/2024; Dino mandou a PF concluir em 90 dias outro inquérito (Postalis, lobista Milton Lyra), sem data na fonte.</t>
        </is>
      </c>
      <c r="E9" s="37" t="inlineStr">
        <is>
          <t>Alagoas (AL)</t>
        </is>
      </c>
      <c r="F9" s="37" t="inlineStr">
        <is>
          <t>Vivo</t>
        </is>
      </c>
      <c r="G9" s="37" t="inlineStr">
        <is>
          <t>Sem condenação nas fontes; inquérito Postalis com status não confirmado. Resultado eleitoral baseado nos títulos de Poder360 e O Tempo (o corpo da matéria não abriu).</t>
        </is>
      </c>
      <c r="H9" s="40" t="inlineStr">
        <is>
          <t>Citado, sem acusação</t>
        </is>
      </c>
      <c r="I9" s="37" t="inlineStr">
        <is>
          <t>Nada nas fontes.</t>
        </is>
      </c>
      <c r="J9" s="37" t="inlineStr">
        <is>
          <t>Não achei notícia de 2026 sobre os inquéritos; só sobre a eleição.</t>
        </is>
      </c>
      <c r="K9" s="37" t="inlineStr">
        <is>
          <t>Portal de Prefeitura (Fachin) https://portaldeprefeitura.com.br/bastidores-da-politica/fachin-arquiva-investigacao-contra-renan-calheiros-e-eduardo-braga-por/582759/ | Poder360 https://www.poder360.com.br/poder-eleicoes-2026/renan-calheiros-perde-eleicao-e-deixara-o-senado-apos-32-anos/ | O Tempo https://www.otempo.com.br/eleicoes/2026/2026/10/4/renan-calheiros-perde-eleicao-e-deixara-senado-apos-32-anos</t>
        </is>
      </c>
      <c r="L9" s="37" t="inlineStr">
        <is>
          <t>20/10/2026</t>
        </is>
      </c>
      <c r="M9" s="37" t="inlineStr">
        <is>
          <t>Perdeu a reeleição em 04/10/2026.</t>
        </is>
      </c>
      <c r="N9" s="24" t="inlineStr">
        <is>
          <t>renan.jpg</t>
        </is>
      </c>
      <c r="O9" s="24" t="inlineStr">
        <is>
          <t>Agência Senado · uso livre</t>
        </is>
      </c>
      <c r="P9" s="24" t="inlineStr">
        <is>
          <t>https://commons.wikimedia.org/wiki/File:Senador_Renan_Calheiros_MDB_-_AL.jpg</t>
        </is>
      </c>
    </row>
    <row r="10" ht="162.65" customHeight="1" s="25">
      <c r="A10" s="37" t="inlineStr">
        <is>
          <t>flavio</t>
        </is>
      </c>
      <c r="B10" s="38" t="inlineStr">
        <is>
          <t>Flávio Bolsonaro</t>
        </is>
      </c>
      <c r="C10" s="37" t="inlineStr">
        <is>
          <t>Flávio e família</t>
        </is>
      </c>
      <c r="D10" s="37" t="inlineStr">
        <is>
          <t>Nascido em 30/04/1981, Resende (RJ). Advogado e empresário; deputado estadual desde 2003, senador pelo RJ desde 2019. Candidato do PL à Presidência: no 1º turno (04/10/2026) teve 47,03% dos votos válidos contra 45,16% de Lula; o 2º turno é em 25/10/2026. Rachadinha: denunciado pelo MPRJ em out/2020 com Queiroz e outros 15; provas anuladas pelo STJ/STF em nov/2021; denúncia rejeitada e caso arquivado em 2022. Hoje há dois inquéritos no STF: (1) Dark Horse, autorizado por Mendonça em 23/07/2026 (~US$ 24 mi negociados; Coaf/piauí apontam ~US$ 12,3 mi repassados por Vorcaro ao fundo Havengate); em 10/09 a PF fez a Operação Make Up (49 mandados; alvos incluem a produtora Karina Gama e o deputado Mário Frias). (2) lavagem com Willer Tomaz, chegou ao STF em 08/10/2026 (relator Moraes). Em 12/10 Moraes liberou as visitas dele ao pai, suspensas desde julho por ele ter publicado uma carta de Jair. Out/2026: a piauí aponta, com documentos da PF, que ele pode ter sido sócio oculto da Best Bet, de Willer, por ter sido “usuário master” da conta da offshore Alcazar (excluído por e-mail de 22/05/2025). A Folha revelou voos dele na Europa em 2025 com canhotos em nome da Cathedral, dona da bet.</t>
        </is>
      </c>
      <c r="E10" s="37" t="inlineStr">
        <is>
          <t>RJ (base eleitoral); mandato em Brasília</t>
        </is>
      </c>
      <c r="F10" s="37" t="inlineStr">
        <is>
          <t>Vivo</t>
        </is>
      </c>
      <c r="G10" s="37" t="inlineStr">
        <is>
          <t>Nega: chama o 2º inquérito de politicamente motivado e a relação com Willer de amizade entre famílias; diz que o filme foi patrocínio. Sem denúncia nova nem condenação. Sobre a bet e os voos: diz que nunca teve acesso a contas de empresas de Willer e que a relação é “exclusivamente de amizade”; chama a associação de “mera ilação”.</t>
        </is>
      </c>
      <c r="H10" s="41" t="inlineStr">
        <is>
          <t>Investigado / alvo (sem denúncia)</t>
        </is>
      </c>
      <c r="I10" s="37" t="inlineStr">
        <is>
          <t>Sem acusação de milícia. Mãe e ex-esposa de Adriano da Nóbrega (miliciano) constavam como funcionárias do gabinete dele; Flávio atribuiu as contratações a Queiroz.</t>
        </is>
      </c>
      <c r="J10" s="37" t="inlineStr">
        <is>
          <t>Acervo a verdade.: Aos Fatos contou ao menos 43 declarações falsas dele sobre a relação com Vorcaro. Os números do celular variam por fonte (Piauí: 11 meses e 110 registros; Estadão: 3 meses e 6 encontros) e não devem ser somados. Os R$ 134 mi negociados e ≥ R$ 61 mi repassados foram para o filme, o que não comprova recebimento pessoal.</t>
        </is>
      </c>
      <c r="K10" s="37" t="inlineStr">
        <is>
          <t>Wikipedia pt https://pt.wikipedia.org/wiki/Fl%C3%A1vio_Bolsonaro | Tribuna do Sertão (link acima) | O Povo 23/07/2026 https://www.opovo.com.br/noticias/politica/2026/07/23/amp/andre-mendonca-autoriza-inquerito-sobre-repasses-para-dark-horse-filme-sobre-jair-bolsonaro.html | Resultado do 1º turno https://portaldeprefeitura.com.br/bastidores-da-politica/eleicoes-2026-com-100-das-secoes-totalizadas-flavio-tem-4703-e/633498/ | Wikipedia (Banco Master scandal) https://en.wikipedia.org/wiki/Banco_Master_scandal | JB 12/10/2026 https://www.jb.com.br/brasil/justica/2026/10/1061206-moraes-autoriza-flavio-bolsonaro-a-visitar-jair-bolsonaro-em-prisao-domiciliar.html | A investigação sobre o financiamento de Dark Horse (bbc.com) https://www.bbc.com/portuguese/articles/c4g5ky0r25jo | A investigação sobre o financiamento de Dark Horse (em.com.br) https://www.em.com.br/politica/2026/09/7498387-flavio-bolsonaro-vira-investigado-do-dark-horse-que-segue-sob-sigilo.html | O acordo de R$ 134 milhões para o filme (intercept.com.br) https://www.intercept.com.br/2026/05/13/audio-flavio-negociou-vorcaro-milhoes/ | A checagem de declarações sobre Vorcaro (aosfatos.org) https://www.aosfatos.org/noticias/flavio-mentiu-ao-menos-43-vezes-sobre-envolvimento-com-vorcaro/ | Os registros de contato no celular do banqueiro (piaui.uol.com.br) https://piaui.uol.com.br/web/mensagens-celular-flavio-vorcaro/ | As menções a encontros presenciais (estadao.com.br) https://www.estadao.com.br/politica/celular-de-vorcaro-tinha-tres-meses-de-conversa-com-flavio-bolsonaro-e-mencao-a-seis-encontros/ | O voo no jato de Vorcaro em janeiro de 2025 (piaui.uol.com.br) https://piaui.uol.com.br/web/flavio-bolsonaro-viajou-em-jato-de-vorcaro/ | O apartamento de Fabiano Zettel e Willer Tomaz (piaui.uol.com.br) https://piaui.uol.com.br/web/flavio-bolsonaro-zettel-tomaz-imovel-vila-nova-conceicao-sao-paulo/ | O aniversário em uma mansão gerida por empresa de Vorcaro (iclnoticias.com.br) https://iclnoticias.com.br/flavio-bolsonaro-aniversario-da-filha-em-mansao/ | E-mails sobre vínculo bancário com Willer Tomaz (noticias.uol.com.br) https://noticias.uol.com.br/colunas/fabio-serapiao/2026/10/10/flavio-dividia-conta-com-suspeito-de-lavar-dinheiro-do-inss-indicam-emails.htm | Endereço e contabilidade compartilhados em Brasília (iclnoticias.com.br) https://iclnoticias.com.br/empresas-de-flavio-bolsonaro-e-careca-do-inss/ | Cargo na Câmara, faculdade e estágio no Rio (bbc.com) https://www.bbc.com/portuguese/brasil-46828487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A investigação da loja Kopenhagen (oglobo.globo.com) https://oglobo.globo.com/politica/alvo-de-investigacao-das-rachadinhas-loja-de-flavio-bolsonaro-no-rio-vendida-1-24867874 | Imóveis comprados pela família e investigações (g1.globo.com) https://g1.globo.com/jornal-nacional/noticia/2022/08/31/reportagem-do-uol-revela-que-51-imoveis-comprados-pela-familia-bolsonaro-foram-pagos-em-dinheiro-vivo.ghtml | Imóveis comprados pela família e investigações (noticias.uol.com.br) https://noticias.uol.com.br/politica/ultimas-noticias/2022/08/30/imoveis-cla-bolsonaro-objeto-de-investigacao-suspeita-dinheiro-vivo.htm | Imóveis comprados pela família e investigações (estadao.com.br) https://www.estadao.com.br/politica/investigacao-sobre-flaviobolsonaro-alcanca-37-imoveis/ | A compra e a quitação da mansão em Brasília (oglobo.globo.com) https://oglobo.globo.com/politica/eleicoes-2026/noticia/2026/08/14/video-mansao-que-fez-patrimonio-de-flavio-disparar-fica-em-terreno-de-2400-m-e-foi-quitada-27-anos-antes-do-previsto.ghtml | A análise do MPF sobre 37 transações imobiliárias (cnnbrasil.com.br) https://www.maisgoias.com.br/politica/procurador-aponta-fortes-indicios-de-lavagem-de-dinheiro-em-bens-de-flavio-bolsonaro/ | A acusação do MP-RJ sobre organização criminosa (g1.globo.com) https://g1.globo.com/rj/rio-de-janeiro/noticia/2019/12/19/mp-do-rj-detalha-suposto-esquema-de-corrupcao-envolvendo-entao-deputado-flavio-bolsonaro.ghtml?utm_source=twitter&amp;utm_medium=social&amp;utm_campaign=g1 | Destinação de emendas e entidades questionadas (revistaforum.com.br) https://revistaforum.com.br/politica/flavio-bolsonaro-emendas-ong-fantasma-e-instituto-de-miliciano/ | Portal Porque (resume piauí, 20/10/2026) https://www.portalporque.com.br/brasil/revista-piaui-aponta-que-flavio-bolsonaro-foi-socio-indireto-de-bet/ | Notícias ao Minuto (resume piauí) https://www.noticiasaominuto.com.br/politica/2422338/flavio-bolsonaro-e-dono-de-bet-entenda-o-que-a-pf-investiga | Mais Goiás (via Folha, 16/10/2026) https://www.maisgoias.com.br/brasil/pf-descobre-voos-de-flavio-bolsonaro-pagos-por-dono-de-bet-que-e-investigado-por-fraudes-no-inss/</t>
        </is>
      </c>
      <c r="L10" s="37" t="inlineStr">
        <is>
          <t>22/10/2026</t>
        </is>
      </c>
      <c r="M10" s="37" t="inlineStr">
        <is>
          <t>Resultado do 1º turno; 2º inquérito no STF; Operação Make Up; visitas ao pai liberadas. 21/10/2026: importado do acervo a verdade. (bolsomaster.site). 22/10/2026: rodada UOL News (bets, Loterj, hangar, Weverton).</t>
        </is>
      </c>
      <c r="N10" s="24" t="inlineStr">
        <is>
          <t>flavio.jpg</t>
        </is>
      </c>
      <c r="O10" s="24" t="inlineStr">
        <is>
          <t>Agência Senado · uso livre</t>
        </is>
      </c>
      <c r="P10" s="24" t="inlineStr">
        <is>
          <t>https://commons.wikimedia.org/wiki/File:Foto_oficial_do_senador_Flávio_Bolsonaro_(v._AgSen)_(3x4).jpg</t>
        </is>
      </c>
    </row>
    <row r="11" ht="28.35" customHeight="1" s="25">
      <c r="A11" s="37" t="inlineStr">
        <is>
          <t>fam</t>
        </is>
      </c>
      <c r="B11" s="38" t="inlineStr">
        <is>
          <t>Mulher e filhas de Flávio</t>
        </is>
      </c>
      <c r="C11" s="37" t="inlineStr">
        <is>
          <t>Flávio e família</t>
        </is>
      </c>
      <c r="D11" s="37" t="inlineStr">
        <is>
          <t>Não pesquisei. Inclui menores de idade e aparecem na planilha só como passageiras do jato em jan/2025.</t>
        </is>
      </c>
      <c r="E11" s="37" t="inlineStr">
        <is>
          <t>—</t>
        </is>
      </c>
      <c r="F11" s="37" t="inlineStr">
        <is>
          <t>—</t>
        </is>
      </c>
      <c r="G11" s="37" t="inlineStr">
        <is>
          <t>—</t>
        </is>
      </c>
      <c r="H11" s="42" t="inlineStr">
        <is>
          <t>Não pesquisado</t>
        </is>
      </c>
      <c r="I11" s="37" t="inlineStr">
        <is>
          <t>—</t>
        </is>
      </c>
      <c r="J11" s="37" t="inlineStr">
        <is>
          <t>Decisão deliberada: sem papel público no caso.</t>
        </is>
      </c>
      <c r="K11" s="37" t="inlineStr">
        <is>
          <t>—</t>
        </is>
      </c>
      <c r="L11" s="37" t="inlineStr">
        <is>
          <t>20/10/2026</t>
        </is>
      </c>
      <c r="M11" s="37" t="inlineStr">
        <is>
          <t>—</t>
        </is>
      </c>
    </row>
    <row r="12" ht="82.05" customHeight="1" s="25">
      <c r="A12" s="37" t="inlineStr">
        <is>
          <t>carlos</t>
        </is>
      </c>
      <c r="B12" s="38" t="inlineStr">
        <is>
          <t>Carlos Bolsonaro</t>
        </is>
      </c>
      <c r="C12" s="37" t="inlineStr">
        <is>
          <t>Flávio e família</t>
        </is>
      </c>
      <c r="D12" s="37" t="inlineStr">
        <is>
          <t>Nascido em 07/12/1982, Resende (RJ). Foi vereador do Rio desde 2000 e renunciou em dez/2025. Eleito senador por Santa Catarina em 2026 pelo PL, com 2.041.840 votos (dados do TSE reproduzidos pelo HubPolítico). Citado no relatório da PF de 2022 sobre o "gabinete do ódio"; teve sigilo bancário quebrado (2021) em apuração de rachadinha; alvo de busca em jan/2024 na investigação da Abin paralela. Sócio da Bravo Grafeno.</t>
        </is>
      </c>
      <c r="E12" s="37" t="inlineStr">
        <is>
          <t>Santa Catarina (SC), senador eleito; antes, vereador no Rio (RJ)</t>
        </is>
      </c>
      <c r="F12" s="37" t="inlineStr">
        <is>
          <t>Vivo</t>
        </is>
      </c>
      <c r="G12" s="37" t="inlineStr">
        <is>
          <t>Sem condenação nas fontes que li. Depoimento de porteiro que o ligava ao caso Marielle foi retratado, sem acusação formal a ele.</t>
        </is>
      </c>
      <c r="H12" s="41" t="inlineStr">
        <is>
          <t>Investigado / alvo (sem denúncia)</t>
        </is>
      </c>
      <c r="I12" s="37" t="inlineStr">
        <is>
          <t>Sem acusação de milícia.</t>
        </is>
      </c>
      <c r="J12" s="37" t="inlineStr">
        <is>
          <t>Eleição baseada em página que reproduz dados do TSE; não achei a matéria de apuração.</t>
        </is>
      </c>
      <c r="K12" s="37" t="inlineStr">
        <is>
          <t>Wikipedia https://pt.wikipedia.org/wiki/Carlos_Bolsonaro | HubPolítico https://hubpolitico.com.br/perfil/carlosbolsonaro2/informacoes | Condecorações a 16 policiais denunciados (noticias.uol.com.br) https://noticias.uol.com.br/colunas/juliana-dal-piva/2022/09/23/cla-bolsonaro-condecorou-16-pms-denunciados-em-organizacoes-criminosas.htm?cmpid=copiaecola</t>
        </is>
      </c>
      <c r="L12" s="37" t="inlineStr">
        <is>
          <t>20/10/2026</t>
        </is>
      </c>
      <c r="M12" s="37" t="inlineStr">
        <is>
          <t>Eleito senador por SC; deixou a Câmara de Vereadores. 21/10/2026: importado do acervo a verdade. (bolsomaster.site).</t>
        </is>
      </c>
      <c r="N12" s="24" t="inlineStr">
        <is>
          <t>carlos.jpg</t>
        </is>
      </c>
      <c r="O12" s="24" t="inlineStr">
        <is>
          <t>Wikimedia Commons · CC BY 2.0</t>
        </is>
      </c>
      <c r="P12" s="24" t="inlineStr">
        <is>
          <t>https://commons.wikimedia.org/wiki/File:Carlos_Bolsonaro_durante_Encontro_Brasil-Rússia_em_2022.jpg</t>
        </is>
      </c>
    </row>
    <row r="13" ht="122.35" customHeight="1" s="25">
      <c r="A13" s="37" t="inlineStr">
        <is>
          <t>jair</t>
        </is>
      </c>
      <c r="B13" s="38" t="inlineStr">
        <is>
          <t>Jair Messias Bolsonaro</t>
        </is>
      </c>
      <c r="C13" s="37" t="inlineStr">
        <is>
          <t>Flávio e família</t>
        </is>
      </c>
      <c r="D13" s="37" t="inlineStr">
        <is>
          <t>Nascido em 21/03/1955 (Glicério/Campinas, SP). Ex-capitão do Exército, deputado federal por quase 30 anos e presidente (2019–2022). Inelegível por 8 anos (TSE, jun/2023). Condenado pelo STF por tentativa de golpe: 27 anos e 3 meses. Também investigado no caso das joias.</t>
        </is>
      </c>
      <c r="E13" s="37" t="inlineStr">
        <is>
          <t>Brasília (DF) – em prisão domiciliar humanitária (endereço não informado)</t>
        </is>
      </c>
      <c r="F13" s="37" t="inlineStr">
        <is>
          <t>Vivo</t>
        </is>
      </c>
      <c r="G13" s="37" t="inlineStr">
        <is>
          <t>Preso desde nov/2025; em mar/2026 passou à domiciliar humanitária após broncopneumonia; Moraes decidiu mantê-la em jul/2026. Em 12/10/2026 ainda cumpre em casa, depois de uma cirurgia e da recuperação de pneumonia bacteriana. Está proibido de usar redes sociais, inclusive por terceiros. Moraes liberou as visitas de Flávio (sem fins eleitorais), suspensas desde julho por uma carta publicada em apoio à candidatura. Uma domiciliar anterior caiu depois de ele danificar a tornozeleira.</t>
        </is>
      </c>
      <c r="H13" s="43" t="inlineStr">
        <is>
          <t>Condenado</t>
        </is>
      </c>
      <c r="I13" s="37" t="inlineStr">
        <is>
          <t>Sem acusação de milícia.</t>
        </is>
      </c>
      <c r="J13" s="37" t="inlineStr">
        <is>
          <t>Planilha diz "hoje preso": desde mar/2026 cumpre em casa (domiciliar humanitária).</t>
        </is>
      </c>
      <c r="K13" s="37" t="inlineStr">
        <is>
          <t>Tribuna do Sertão 03/07/2026 https://tribunadosertao.com.br/poder-e-governo/2026/07/03/933954-moraes-prorroga-prisao-domiciliar-de-bolsonaro | Congresso em Foco https://www.congressoemfoco.com.br/noticia/119918/defesa-de-bolsonaro-pede-ao-stf-prorrogacao-da-prisao-domiciliar | JB 12/10/2026 https://www.jb.com.br/brasil/justica/2026/10/1061206-moraes-autoriza-flavio-bolsonaro-a-visitar-jair-bolsonaro-em-prisao-domiciliar.html | Agência Brasil jul/2026 https://agenciabrasil.ebc.com.br/justica/noticia/2026-07/alexandre-de-moraes-decide-manter-bolsonaro-em-prisao-domiciliar | O áudio de Bolsonaro e Ramagem sobre Flávio (valor.globo.com) https://valor.globo.com/politica/noticia/2024/07/11/audio-mostra-bolsonaro-e-ramagem-discutindo-como-blindar-flavio-no-caso-das-rachadinhas-segundo-pf.ghtml | A fala de Bolsonaro na reunião ministerial (g1.globo.com) https://g1.globo.com/politica/noticia/2020/05/22/em-reuniao-ministerial-bolsonaro-diz-eu-nao-vou-esperar-foder-a-minha-familia-toda-assista.ghtml</t>
        </is>
      </c>
      <c r="L13" s="37" t="inlineStr">
        <is>
          <t>20/10/2026</t>
        </is>
      </c>
      <c r="M13" s="37" t="inlineStr">
        <is>
          <t>Domiciliar confirmada em 12/10/2026; motivo e visitas de Flávio. 21/10/2026: importado do acervo a verdade. (bolsomaster.site).</t>
        </is>
      </c>
      <c r="N13" s="24" t="inlineStr">
        <is>
          <t>jair.jpg</t>
        </is>
      </c>
      <c r="O13" s="24" t="inlineStr">
        <is>
          <t>Wikimedia Commons · CC BY 2.0</t>
        </is>
      </c>
      <c r="P13" s="24" t="inlineStr">
        <is>
          <t>https://commons.wikimedia.org/wiki/File:Jair_Bolsonaro_2019_Portrait_(3x4_cropped_center).jpg</t>
        </is>
      </c>
    </row>
    <row r="14" ht="95.5" customHeight="1" s="25">
      <c r="A14" s="37" t="inlineStr">
        <is>
          <t>wassef</t>
        </is>
      </c>
      <c r="B14" s="38" t="inlineStr">
        <is>
          <t>Frederick Wassef</t>
        </is>
      </c>
      <c r="C14" s="37" t="inlineStr">
        <is>
          <t>Flávio e família</t>
        </is>
      </c>
      <c r="D14" s="37" t="inlineStr">
        <is>
          <t>Nascido em 1965, São Paulo. Advogado criminalista, amigo da família Bolsonaro desde ~2014. Queiroz foi preso em 18/06/2020 numa casa em Atibaia ligada a ele. Alvo de busca em ago/2023 no caso das joias (recompra de um Rolex). A PF o indiciou; em 04/03/2026 a PGR recomendou arquivar o inquérito, e Moraes mandou a PGR analisar o relatório final da PF. Em 30/06/2026 Moraes mandou abrir apuração sigilosa separada a partir de "eventos fortuitos" no celular dele (PGR com 15 dias para opinar). Nega e diz que a busca foi nula.</t>
        </is>
      </c>
      <c r="E14" s="37" t="inlineStr">
        <is>
          <t>São Paulo (SP) – não confirmei domicílio atual</t>
        </is>
      </c>
      <c r="F14" s="37" t="inlineStr">
        <is>
          <t>Vivo</t>
        </is>
      </c>
      <c r="G14" s="37" t="inlineStr">
        <is>
          <t>Indiciado pela PF no inquérito das joias e alvo formal de nova apuração sigilosa. Sem denúncia nem condenação noticiada.</t>
        </is>
      </c>
      <c r="H14" s="41" t="inlineStr">
        <is>
          <t>Investigado / alvo (sem denúncia)</t>
        </is>
      </c>
      <c r="I14" s="37" t="inlineStr">
        <is>
          <t>Nada nas fontes. Um site cita um advogado que conecta Wassef ao defensor de Queiroz e de Adriano (não verifiquei).</t>
        </is>
      </c>
      <c r="J14" s="37" t="inlineStr">
        <is>
          <t>Não confirmei a resposta da PGR após julho.</t>
        </is>
      </c>
      <c r="K14" s="37" t="inlineStr">
        <is>
          <t>CartaCapital 19/03/2026 https://www.cartacapital.com.br/justica/moraes-manda-pgr-analisar-dados-de-wassef-no-caso-das-joias-de-bolsonaro/ | NC News 04/07/2026 https://ncnews.com.br/2026/07/04/moraes-manda-abrir-nova-apuracao-sigilosa-sobre-celular-de-wassef/ | Wikipedia en https://en.wikipedia.org/wiki/Frederick_Wassef</t>
        </is>
      </c>
      <c r="L14" s="37" t="inlineStr">
        <is>
          <t>20/10/2026</t>
        </is>
      </c>
      <c r="M14" s="37" t="inlineStr">
        <is>
          <t>Indiciamento confirmado e nova apuração sigilosa (30/06/2026).</t>
        </is>
      </c>
      <c r="N14" s="24" t="inlineStr">
        <is>
          <t>wassef.jpg</t>
        </is>
      </c>
      <c r="O14" s="24" t="inlineStr">
        <is>
          <t>Agência Senado · CC BY 2.0</t>
        </is>
      </c>
      <c r="P14" s="24" t="inlineStr">
        <is>
          <t>https://commons.wikimedia.org/wiki/File:Frederick_Wassef_(cropped).jpg</t>
        </is>
      </c>
    </row>
    <row r="15" ht="135.8" customHeight="1" s="25">
      <c r="A15" s="37" t="inlineStr">
        <is>
          <t>queiroz</t>
        </is>
      </c>
      <c r="B15" s="38" t="inlineStr">
        <is>
          <t>Fabrício José Carlos de Queiroz</t>
        </is>
      </c>
      <c r="C15" s="37" t="inlineStr">
        <is>
          <t>Flávio e família</t>
        </is>
      </c>
      <c r="D15" s="37" t="inlineStr">
        <is>
          <t>Ex-subtenente da PM do Rio, ex-assessor de Flávio na Alerj, apontado como operador da rachadinha (relatório do Coaf de 2018: R$ 1,2 mi movimentados). Preso em 18/06/2020 em Atibaia; domiciliar em jul/2020 (tratava câncer); em mar/2021 o STJ revogou a ordem de prisão por excesso de prazo e ele foi solto. A investigação foi anulada (STJ/STF, 2021) e o caso arquivado em 2022. Em 2022 teve ~6,7 mil votos para deputado estadual (não eleito); em 2024, 588 votos para vereador de Saquarema (suplente). Em mar/2026 era subsecretário de Segurança Pública e Ordem Pública de Saquarema e dizia só disputar 2026 com apoio da família Bolsonaro; não há registro de candidatura formalizada em 2026. Em set/2026 se reuniu com Flávio em Brasília.</t>
        </is>
      </c>
      <c r="E15" s="37" t="inlineStr">
        <is>
          <t>Saquarema (RJ)</t>
        </is>
      </c>
      <c r="F15" s="37" t="inlineStr">
        <is>
          <t>Vivo (ativo em set/2026)</t>
        </is>
      </c>
      <c r="G15" s="37" t="inlineStr">
        <is>
          <t>Sem condenação. Hoje sem processo ativo nas fontes que li.</t>
        </is>
      </c>
      <c r="H15" s="40" t="inlineStr">
        <is>
          <t>Citado, sem acusação</t>
        </is>
      </c>
      <c r="I15" s="37" t="inlineStr">
        <is>
          <t>MP-RJ estimou que Adriano da Nóbrega (chefe do Escritório do Crime, miliciano, morto em fev/2020) transferiu mais de R$ 400 mil a contas ligadas a Queiroz. Queiroz o chama de amigo e ex-colega da PM. Nas fontes ele não é acusado de integrar milícia.</t>
        </is>
      </c>
      <c r="J15" s="37" t="inlineStr">
        <is>
          <t>Planilha diz "19 meses sem depor": não consegui verificar. Candidatura em 2026: sem registro de que tenha sido formalizada (conforme a usuária; em mar/2026 ele só cogitava).</t>
        </is>
      </c>
      <c r="K15" s="37" t="inlineStr">
        <is>
          <t>Bahia Notícias https://www.bahianoticias.com.br/noticia/249931-miliciano-adriano-da-nobrega-transferiu-r-400-mil-para-fabricio-queiroz | Mais Goiás https://www.maisgoias.com.br/brasil/gilmar-mendes-da-aval-para-soltar-queiroz-apos-stj-revogar-prisao-domiciliar/ | Portal de Prefeitura https://portaldeprefeitura.com.br/bastidores-da-politica/flavio-bolsonaro-pede-votos-para-fabricio-queiroz-pivo-em-suposto/579564/ | Metrópoles 24/03/2026 https://www.metropoles.com/colunas/igor-gadelha/a-condicao-de-queiroz-para-ser-candidato-em-2026 | JB set/2026 https://www.jb.com.br/brasil/politica/2026/09/1060896-flavio-bolsonaro-e-fabricio-queiroz-se-reuniram-em-brasilia-apos-insistencia.html | A acusação de rachadinhas na Alerj (valor.globo.com) https://valor.globo.com/politica/eleicoes-2026/noticia/2026/09/01/flavio-bolsonaro-relembre-o-processo-da-rachadinha.ghtml | A acusação de rachadinhas na Alerj (folhadelondrina.com.br) https://www.folhadelondrina.com.br/ultimas-noticias/entenda-quais-provas-da-rachadinha-contra-flavio-bolsonaro-ainda-valem-3131387e.html | Familiares de Adriano da Nóbrega no gabinete (oglobo.globo.com) https://oglobo.globo.com/politica/flavio-bolsonaro-empregou-mae-mulher-de-chefe-do-escritorio-do-crime-em-seu-gabinete-23391490</t>
        </is>
      </c>
      <c r="L15" s="37" t="inlineStr">
        <is>
          <t>20/10/2026</t>
        </is>
      </c>
      <c r="M15" s="37" t="inlineStr">
        <is>
          <t>Sem candidatura formalizada em 2026 (confirmado pela usuária); cargo público e encontro com Flávio em set/2026. 21/10/2026: importado do acervo a verdade. (bolsomaster.site).</t>
        </is>
      </c>
    </row>
    <row r="16" ht="15" customHeight="1" s="25">
      <c r="A16" s="37" t="inlineStr">
        <is>
          <t>advflavio</t>
        </is>
      </c>
      <c r="B16" s="38" t="inlineStr">
        <is>
          <t>Advogadas de Flávio (2)</t>
        </is>
      </c>
      <c r="C16" s="37" t="inlineStr">
        <is>
          <t>Flávio e família</t>
        </is>
      </c>
      <c r="D16" s="37" t="inlineStr">
        <is>
          <t>Não pesquisei: não são nomeadas na planilha e são pessoas privadas.</t>
        </is>
      </c>
      <c r="E16" s="37" t="inlineStr">
        <is>
          <t>—</t>
        </is>
      </c>
      <c r="F16" s="37" t="inlineStr">
        <is>
          <t>—</t>
        </is>
      </c>
      <c r="G16" s="37" t="inlineStr">
        <is>
          <t>—</t>
        </is>
      </c>
      <c r="H16" s="42" t="inlineStr">
        <is>
          <t>Não pesquisado</t>
        </is>
      </c>
      <c r="I16" s="37" t="inlineStr">
        <is>
          <t>—</t>
        </is>
      </c>
      <c r="J16" s="37" t="inlineStr">
        <is>
          <t>—</t>
        </is>
      </c>
      <c r="K16" s="37" t="inlineStr">
        <is>
          <t>—</t>
        </is>
      </c>
      <c r="L16" s="37" t="inlineStr">
        <is>
          <t>20/10/2026</t>
        </is>
      </c>
      <c r="M16" s="37" t="inlineStr">
        <is>
          <t>—</t>
        </is>
      </c>
    </row>
    <row r="17" ht="135.8" customHeight="1" s="25">
      <c r="A17" s="37" t="inlineStr">
        <is>
          <t>vorcaro</t>
        </is>
      </c>
      <c r="B17" s="38" t="inlineStr">
        <is>
          <t>Daniel Vorcaro</t>
        </is>
      </c>
      <c r="C17" s="37" t="inlineStr">
        <is>
          <t>Vorcaro e o Banco Master</t>
        </is>
      </c>
      <c r="D17" s="37" t="inlineStr">
        <is>
          <t>Nascido em 06/10/1983, Belo Horizonte. Administrador com MBA no Ibmec; comprou o Banco Máxima em 2018 e o renomeou Master em 2021. Banco liquidado em 18/11/2025 (rombo estimado de R$ 41 bi ao FGC). Família ligada à Igreja Batista da Lagoinha.</t>
        </is>
      </c>
      <c r="E17" s="37" t="inlineStr">
        <is>
          <t>Papudinha, Brasília (DF); vinha de Belo Horizonte (MG)</t>
        </is>
      </c>
      <c r="F17" s="37" t="inlineStr">
        <is>
          <t>Vivo</t>
        </is>
      </c>
      <c r="G17" s="37" t="inlineStr">
        <is>
          <t>Preso em 17/11/2025 em Guarulhos; solto em 28/11 pelo TRF; nova prisão decretada pelo STF em 04/03/2026; está na Papudinha desde 25/06/2026, depois que PF e PGR rejeitaram duas propostas de delação dele. Mendonça é o relator (Toffoli saiu em fev/2026). Em set/2026 mensagens do celular dele atingiram ministros e autoridades, e o plenário do STF ia discutir a validade dessas provas em 15/09; não confirmei o resultado. Em 20/10/2026 a PGR defendeu manter as prisões do pai, de um primo e do cunhado. As fontes não mostram condenação nem denúncia formal.</t>
        </is>
      </c>
      <c r="H17" s="39" t="inlineStr">
        <is>
          <t>Preso, sem condenação</t>
        </is>
      </c>
      <c r="I17" s="37" t="inlineStr">
        <is>
          <t>Nada nas fontes.</t>
        </is>
      </c>
      <c r="J17" s="37" t="inlineStr">
        <is>
          <t>—</t>
        </is>
      </c>
      <c r="K17" s="37" t="inlineStr">
        <is>
          <t>Wikipedia en https://en.wikipedia.org/wiki/Daniel_Vorcaro | Times Brasil https://timesbrasil.com.br/brasil/pgr-defende-manutencao-das-prisoes-de-vorcaro-pai-e-investigados-do-caso-master/ | Wikipedia (Banco Master scandal) https://en.wikipedia.org/wiki/Banco_Master_scandal | Mateus Oliver 20/10/2026 https://www.mateusoliverreporter.com.br/2026/10/20/pgr-defende-manutencao-de-prisoes-no-caso-banco-master-e-permanencia-de-fachin-a-frente-de-decisoes-no-stf/ | O acordo de R$ 134 milhões para o filme (intercept.com.br) https://www.intercept.com.br/2026/05/13/audio-flavio-negociou-vorcaro-milhoes/ | Os registros de contato no celular do banqueiro (piaui.uol.com.br) https://piaui.uol.com.br/web/mensagens-celular-flavio-vorcaro/ | A visita após a soltura do banqueiro (metropoles.com) https://www.metropoles.com/colunas/igor-gadelha/flavio-bolsonaro-visitou-vorcaro-em-casa-apos-prisao | A visita na véspera do anúncio da candidatura (metropoles.com) https://www.metropoles.com/colunas/igor-gadelha/flavio-visitou-vorcaro-na-vespera-de-ser-anunciado-presidenciavel | O voo no jato de Vorcaro em janeiro de 2025 (piaui.uol.com.br) https://piaui.uol.com.br/web/flavio-bolsonaro-viajou-em-jato-de-vorcaro/ | A viagem à Flórida e os repasses para o filme (piaui.uol.com.br) https://piaui.uol.com.br/web/feriadao-flavio-vorcaro-florida-dark-horse/ | O aniversário em uma mansão gerida por empresa de Vorcaro (iclnoticias.com.br) https://iclnoticias.com.br/flavio-bolsonaro-aniversario-da-filha-em-mansao/</t>
        </is>
      </c>
      <c r="L17" s="37" t="inlineStr">
        <is>
          <t>20/10/2026</t>
        </is>
      </c>
      <c r="M17" s="37" t="inlineStr">
        <is>
          <t>Preso na Papudinha desde 25/06/2026; delações rejeitadas; situação das provas no STF. 21/10/2026: importado do acervo a verdade. (bolsomaster.site).</t>
        </is>
      </c>
      <c r="N17" s="24" t="inlineStr">
        <is>
          <t>vorcaro.jpg</t>
        </is>
      </c>
      <c r="O17" s="24" t="inlineStr">
        <is>
          <t>Márcio Gustavo Vasconcelos · CC0</t>
        </is>
      </c>
      <c r="P17" s="24" t="inlineStr">
        <is>
          <t>https://commons.wikimedia.org/wiki/File:Daniel_Vorcaro_-_2024_(cropped).jpg</t>
        </is>
      </c>
    </row>
    <row r="18" ht="82.05" customHeight="1" s="25">
      <c r="A18" s="37" t="inlineStr">
        <is>
          <t>zetel</t>
        </is>
      </c>
      <c r="B18" s="38" t="inlineStr">
        <is>
          <t>Fabiano Campos Zettel</t>
        </is>
      </c>
      <c r="C18" s="37" t="inlineStr">
        <is>
          <t>Vorcaro e o Banco Master</t>
        </is>
      </c>
      <c r="D18" s="37" t="inlineStr">
        <is>
          <t>Pastor evangélico, empresário e doador político; lidera a Igreja Batista da Lagoinha (BH); casado com Natália Vorcaro, irmã de Daniel. Para a PF era "operador financeiro" do grupo do Master (contratos usados para justificar transferências, pagamentos ao grupo "A Turma").</t>
        </is>
      </c>
      <c r="E18" s="37" t="inlineStr">
        <is>
          <t>Belo Horizonte (MG) pela igreja; residência não informada</t>
        </is>
      </c>
      <c r="F18" s="37" t="inlineStr">
        <is>
          <t>Vivo (preso; confirmado em 20/10/2026)</t>
        </is>
      </c>
      <c r="G18" s="37" t="inlineStr">
        <is>
          <t>Preso preventivamente em 04/03/2026 (3ª fase da Operação Compliance Zero; ordem de Mendonça). Em 20/10/2026 a PGR se opôs a revogar a prisão dele, do pai e de um primo de Vorcaro, por falta de mudança nas circunstâncias. Manchetes de jan/2026 dizem que já fora detido ao tentar embarcar para Dubai e solto horas depois. Sem condenação.</t>
        </is>
      </c>
      <c r="H18" s="39" t="inlineStr">
        <is>
          <t>Preso, sem condenação</t>
        </is>
      </c>
      <c r="I18" s="37" t="inlineStr">
        <is>
          <t>Nada nas fontes.</t>
        </is>
      </c>
      <c r="J18" s="37" t="inlineStr">
        <is>
          <t>Não achei a venda do apartamento à WT nas fontes que abri.</t>
        </is>
      </c>
      <c r="K18" s="37" t="inlineStr">
        <is>
          <t>Congresso em Foco https://www.congressoemfoco.com.br/noticia/116929/pf-prende-cunhado-de-vorcaro-suspeito-de-operar-esquema-do-master | Mateus Oliver (link na linha do Vorcaro) | Doações de Fabiano Zettel nas eleições de 2022 (cnnbrasil.com.br) https://www.cnnbrasil.com.br/politica/alvo-da-pf-doou-r-5-mi-para-campanhas-de-bolsonaro-e-tarcisio-em-2022/ | O apartamento de Fabiano Zettel e Willer Tomaz (piaui.uol.com.br) https://piaui.uol.com.br/web/flavio-bolsonaro-zettel-tomaz-imovel-vila-nova-conceicao-sao-paulo/</t>
        </is>
      </c>
      <c r="L18" s="37" t="inlineStr">
        <is>
          <t>20/10/2026</t>
        </is>
      </c>
      <c r="M18" s="37" t="inlineStr">
        <is>
          <t>Segue preso em 20/10/2026 (PGR contra soltura). 21/10/2026: importado do acervo a verdade. (bolsomaster.site).</t>
        </is>
      </c>
      <c r="N18" s="24" t="inlineStr">
        <is>
          <t>zetel.jpg</t>
        </is>
      </c>
      <c r="O18" s="24" t="inlineStr">
        <is>
          <t>Wikimedia Commons · CC BY-SA 2.0</t>
        </is>
      </c>
      <c r="P18" s="24" t="inlineStr">
        <is>
          <t>https://commons.wikimedia.org/wiki/File:Fabiano_Zettel.jpg</t>
        </is>
      </c>
    </row>
    <row r="19" ht="28.35" customHeight="1" s="25">
      <c r="A19" s="37" t="inlineStr">
        <is>
          <t>dirjur</t>
        </is>
      </c>
      <c r="B19" s="38" t="inlineStr">
        <is>
          <t>Diretor jurídico do Master</t>
        </is>
      </c>
      <c r="C19" s="37" t="inlineStr">
        <is>
          <t>Vorcaro e o Banco Master</t>
        </is>
      </c>
      <c r="D19" s="37" t="inlineStr">
        <is>
          <t>Não pesquisado: não nomeado na planilha.</t>
        </is>
      </c>
      <c r="E19" s="37" t="inlineStr">
        <is>
          <t>—</t>
        </is>
      </c>
      <c r="F19" s="37" t="inlineStr">
        <is>
          <t>—</t>
        </is>
      </c>
      <c r="G19" s="37" t="inlineStr">
        <is>
          <t>—</t>
        </is>
      </c>
      <c r="H19" s="42" t="inlineStr">
        <is>
          <t>Não pesquisado</t>
        </is>
      </c>
      <c r="I19" s="37" t="inlineStr">
        <is>
          <t>—</t>
        </is>
      </c>
      <c r="J19" s="37" t="inlineStr">
        <is>
          <t>—</t>
        </is>
      </c>
      <c r="K19" s="37" t="inlineStr">
        <is>
          <t>—</t>
        </is>
      </c>
      <c r="L19" s="37" t="inlineStr">
        <is>
          <t>20/10/2026</t>
        </is>
      </c>
      <c r="M19" s="37" t="inlineStr">
        <is>
          <t>—</t>
        </is>
      </c>
    </row>
    <row r="20" ht="28.35" customHeight="1" s="25">
      <c r="A20" s="37" t="inlineStr">
        <is>
          <t>promoter</t>
        </is>
      </c>
      <c r="B20" s="38" t="inlineStr">
        <is>
          <t>Promoter</t>
        </is>
      </c>
      <c r="C20" s="37" t="inlineStr">
        <is>
          <t>Vorcaro e o Banco Master</t>
        </is>
      </c>
      <c r="D20" s="37" t="inlineStr">
        <is>
          <t>Não pesquisado: pessoa privada e não nomeada.</t>
        </is>
      </c>
      <c r="E20" s="37" t="inlineStr">
        <is>
          <t>—</t>
        </is>
      </c>
      <c r="F20" s="37" t="inlineStr">
        <is>
          <t>—</t>
        </is>
      </c>
      <c r="G20" s="37" t="inlineStr">
        <is>
          <t>—</t>
        </is>
      </c>
      <c r="H20" s="42" t="inlineStr">
        <is>
          <t>Não pesquisado</t>
        </is>
      </c>
      <c r="I20" s="37" t="inlineStr">
        <is>
          <t>—</t>
        </is>
      </c>
      <c r="J20" s="37" t="inlineStr">
        <is>
          <t>—</t>
        </is>
      </c>
      <c r="K20" s="37" t="inlineStr">
        <is>
          <t>—</t>
        </is>
      </c>
      <c r="L20" s="37" t="inlineStr">
        <is>
          <t>20/10/2026</t>
        </is>
      </c>
      <c r="M20" s="37" t="inlineStr">
        <is>
          <t>—</t>
        </is>
      </c>
    </row>
    <row r="21" ht="28.35" customHeight="1" s="25">
      <c r="A21" s="37" t="inlineStr">
        <is>
          <t>mordomo</t>
        </is>
      </c>
      <c r="B21" s="38" t="inlineStr">
        <is>
          <t>Mordomo do triplex</t>
        </is>
      </c>
      <c r="C21" s="37" t="inlineStr">
        <is>
          <t>Vorcaro e o Banco Master</t>
        </is>
      </c>
      <c r="D21" s="37" t="inlineStr">
        <is>
          <t>Não pesquisado: pessoa privada e não nomeada.</t>
        </is>
      </c>
      <c r="E21" s="37" t="inlineStr">
        <is>
          <t>—</t>
        </is>
      </c>
      <c r="F21" s="37" t="inlineStr">
        <is>
          <t>—</t>
        </is>
      </c>
      <c r="G21" s="37" t="inlineStr">
        <is>
          <t>—</t>
        </is>
      </c>
      <c r="H21" s="42" t="inlineStr">
        <is>
          <t>Não pesquisado</t>
        </is>
      </c>
      <c r="I21" s="37" t="inlineStr">
        <is>
          <t>—</t>
        </is>
      </c>
      <c r="J21" s="37" t="inlineStr">
        <is>
          <t>—</t>
        </is>
      </c>
      <c r="K21" s="37" t="inlineStr">
        <is>
          <t>—</t>
        </is>
      </c>
      <c r="L21" s="37" t="inlineStr">
        <is>
          <t>20/10/2026</t>
        </is>
      </c>
      <c r="M21" s="37" t="inlineStr">
        <is>
          <t>—</t>
        </is>
      </c>
    </row>
    <row r="22" ht="28.35" customHeight="1" s="25">
      <c r="A22" s="37" t="inlineStr">
        <is>
          <t>mulheres</t>
        </is>
      </c>
      <c r="B22" s="38" t="inlineStr">
        <is>
          <t>Mulheres das festas</t>
        </is>
      </c>
      <c r="C22" s="37" t="inlineStr">
        <is>
          <t>Vorcaro e o Banco Master</t>
        </is>
      </c>
      <c r="D22" s="37" t="inlineStr">
        <is>
          <t>Não pesquisado: pessoas privadas, não nomeadas, incluindo uma de 19 anos. Não faz sentido (nem é seguro) montar perfil.</t>
        </is>
      </c>
      <c r="E22" s="37" t="inlineStr">
        <is>
          <t>—</t>
        </is>
      </c>
      <c r="F22" s="37" t="inlineStr">
        <is>
          <t>—</t>
        </is>
      </c>
      <c r="G22" s="37" t="inlineStr">
        <is>
          <t>—</t>
        </is>
      </c>
      <c r="H22" s="42" t="inlineStr">
        <is>
          <t>Não pesquisado</t>
        </is>
      </c>
      <c r="I22" s="37" t="inlineStr">
        <is>
          <t>—</t>
        </is>
      </c>
      <c r="J22" s="37" t="inlineStr">
        <is>
          <t>—</t>
        </is>
      </c>
      <c r="K22" s="37" t="inlineStr">
        <is>
          <t>—</t>
        </is>
      </c>
      <c r="L22" s="37" t="inlineStr">
        <is>
          <t>20/10/2026</t>
        </is>
      </c>
      <c r="M22" s="37" t="inlineStr">
        <is>
          <t>—</t>
        </is>
      </c>
    </row>
    <row r="23" ht="15" customHeight="1" s="25">
      <c r="A23" s="37" t="inlineStr">
        <is>
          <t>eletricista</t>
        </is>
      </c>
      <c r="B23" s="38" t="inlineStr">
        <is>
          <t>Eletricista</t>
        </is>
      </c>
      <c r="C23" s="37" t="inlineStr">
        <is>
          <t>Flávio e família</t>
        </is>
      </c>
      <c r="D23" s="37" t="inlineStr">
        <is>
          <t>Não pesquisado: pessoa privada e não nomeada.</t>
        </is>
      </c>
      <c r="E23" s="37" t="inlineStr">
        <is>
          <t>—</t>
        </is>
      </c>
      <c r="F23" s="37" t="inlineStr">
        <is>
          <t>—</t>
        </is>
      </c>
      <c r="G23" s="37" t="inlineStr">
        <is>
          <t>—</t>
        </is>
      </c>
      <c r="H23" s="42" t="inlineStr">
        <is>
          <t>Não pesquisado</t>
        </is>
      </c>
      <c r="I23" s="37" t="inlineStr">
        <is>
          <t>—</t>
        </is>
      </c>
      <c r="J23" s="37" t="inlineStr">
        <is>
          <t>—</t>
        </is>
      </c>
      <c r="K23" s="37" t="inlineStr">
        <is>
          <t>—</t>
        </is>
      </c>
      <c r="L23" s="37" t="inlineStr">
        <is>
          <t>20/10/2026</t>
        </is>
      </c>
      <c r="M23" s="37" t="inlineStr">
        <is>
          <t>—</t>
        </is>
      </c>
    </row>
    <row r="24" ht="68.65000000000001" customHeight="1" s="25">
      <c r="A24" s="37" t="inlineStr">
        <is>
          <t>richarlison</t>
        </is>
      </c>
      <c r="B24" s="38" t="inlineStr">
        <is>
          <t>Richarlison</t>
        </is>
      </c>
      <c r="C24" s="37" t="inlineStr">
        <is>
          <t>Casas e ativos</t>
        </is>
      </c>
      <c r="D24" s="37" t="inlineStr">
        <is>
          <t>Jogador de futebol (seleção brasileira). Via a empresa Sport 70 comprou em 2020 a mansão da Ilha Comprida (Angra dos Reis); diz ter investido ~R$ 10 mi. Em maio/2022 houve reintegração de posse em favor de M Locadora/WT. Em maio/2025 o STJ manteve a decisão favorável à WT de Willer Tomaz. Flávio foi arrolado como testemunha (nega envolvimento).</t>
        </is>
      </c>
      <c r="E24" s="37" t="inlineStr">
        <is>
          <t>Atua no futebol; residência não pesquisada</t>
        </is>
      </c>
      <c r="F24" s="37" t="inlineStr">
        <is>
          <t>Vivo</t>
        </is>
      </c>
      <c r="G24" s="37" t="inlineStr">
        <is>
          <t>Parte lesada na disputa civil; não é investigado.</t>
        </is>
      </c>
      <c r="H24" s="40" t="inlineStr">
        <is>
          <t>Citado, sem acusação</t>
        </is>
      </c>
      <c r="I24" s="37" t="inlineStr">
        <is>
          <t>Nada nas fontes.</t>
        </is>
      </c>
      <c r="J24" s="37" t="inlineStr">
        <is>
          <t>Em jun/2026 uma advogada publicou e retirou um vídeo sobre o caso, retratando-se por imprecisões. Acervo a verdade.: o PDF diz que o advogado morto em fev/2024 no Rio era de Richarlison, mas a ICL informa que Rodrigo Crespo representava a WT, do lado de Willer (que nega que ele tenha atuado). Nada nas fontes liga Flávio ou Willer ao homicídio. O PDF diz que a mansão é gerida por empresa de Vorcaro; o mapa a registra como da WT.</t>
        </is>
      </c>
      <c r="K24" s="37" t="inlineStr">
        <is>
          <t>Poder360 https://www.poder360.com.br/justica/richarlison-briga-na-justica-com-amigo-de-flavio-bolsonaro/ | Congresso em Foco https://www.congressoemfoco.com.br/noticia/120171/disputa-por-mansao-de-r-10-mi-envolve-richarlison-e-flavio-bolsonaro | A disputa pelo imóvel comprado por Richarlison (iclnoticias.com.br) https://iclnoticias.com.br/advogado-defendia-amigo-de-flavio-bolsonaro/ | A disputa pelo imóvel comprado por Richarlison (iclnoticias.com.br) https://iclnoticias.com.br/pf-e-acionada-flavio-bolsonaro-richarlisson/ | A transferência do imóvel disputado em Angra (iclnoticias.com.br) https://iclnoticias.com.br/governo-bolsonaro-imovel-richarlison/</t>
        </is>
      </c>
      <c r="L24" s="37" t="inlineStr">
        <is>
          <t>20/10/2026</t>
        </is>
      </c>
      <c r="M24" s="37" t="inlineStr">
        <is>
          <t>21/10/2026: importado do acervo a verdade. (bolsomaster.site).</t>
        </is>
      </c>
      <c r="N24" s="24" t="inlineStr">
        <is>
          <t>richarlison.jpg</t>
        </is>
      </c>
      <c r="O24" s="24" t="inlineStr">
        <is>
          <t>ALES · CC BY 2.0</t>
        </is>
      </c>
      <c r="P24" s="24" t="inlineStr">
        <is>
          <t>https://commons.wikimedia.org/wiki/File:Richarlison_é_homenageado_na_ALES_(10.July.2019)_12_(cropped2).jpg</t>
        </is>
      </c>
    </row>
    <row r="25" ht="41.75" customHeight="1" s="25">
      <c r="A25" s="37" t="inlineStr">
        <is>
          <t>dono</t>
        </is>
      </c>
      <c r="B25" s="38" t="inlineStr">
        <is>
          <t>Antônio Marcos da Silva</t>
        </is>
      </c>
      <c r="C25" s="37" t="inlineStr">
        <is>
          <t>Casas e ativos</t>
        </is>
      </c>
      <c r="D25" s="37" t="inlineStr">
        <is>
          <t>Não consegui confirmar o nome nem o papel em fonte pública. As matérias que abri chamam o ex-possuidor apenas de "o então possuidor" e não dizem que ele ouviu Flávio chamar Willer de sócio. Pessoa privada; não aprofundei.</t>
        </is>
      </c>
      <c r="E25" s="37" t="inlineStr">
        <is>
          <t>—</t>
        </is>
      </c>
      <c r="F25" s="37" t="inlineStr">
        <is>
          <t>—</t>
        </is>
      </c>
      <c r="G25" s="37" t="inlineStr">
        <is>
          <t>—</t>
        </is>
      </c>
      <c r="H25" s="42" t="inlineStr">
        <is>
          <t>Não pesquisado</t>
        </is>
      </c>
      <c r="I25" s="37" t="inlineStr">
        <is>
          <t>—</t>
        </is>
      </c>
      <c r="J25" s="37" t="inlineStr">
        <is>
          <t>Afirmação da planilha não confirmada nas minhas fontes. Vale conferir a origem (vídeo do canal Revelando).</t>
        </is>
      </c>
      <c r="K25" s="37" t="inlineStr">
        <is>
          <t>—</t>
        </is>
      </c>
      <c r="L25" s="37" t="inlineStr">
        <is>
          <t>20/10/2026</t>
        </is>
      </c>
      <c r="M25" s="37" t="inlineStr">
        <is>
          <t>—</t>
        </is>
      </c>
    </row>
    <row r="26" ht="82.05" customHeight="1" s="25">
      <c r="A26" s="37" t="inlineStr">
        <is>
          <t>nunes</t>
        </is>
      </c>
      <c r="B26" s="38" t="inlineStr">
        <is>
          <t>Kássio Nunes Marques</t>
        </is>
      </c>
      <c r="C26" s="37" t="inlineStr">
        <is>
          <t>Poder e Justiça</t>
        </is>
      </c>
      <c r="D26" s="37" t="inlineStr">
        <is>
          <t>Ministro do STF, indicado por Jair Bolsonaro em 2020; eleito presidente do TSE em 14/04/2026 para mandato de 2 anos (vice: André Mendonça). PF/Coaf: a Consult Inteligência Tributária recebeu R$ 6,6 mi do Master (ago/2024–jul/2025), valor incompatível com o faturamento declarado; suspeita de triangulação até o filho. Em sessão do STF ele negou ter votado processos do Master e negou que o filho tenha recebido valores. Deputados pediram investigação.</t>
        </is>
      </c>
      <c r="E26" s="37" t="inlineStr">
        <is>
          <t>Brasília (DF)</t>
        </is>
      </c>
      <c r="F26" s="37" t="inlineStr">
        <is>
          <t>Vivo</t>
        </is>
      </c>
      <c r="G26" s="37" t="inlineStr">
        <is>
          <t>Não há processo contra ele nas fontes que li.</t>
        </is>
      </c>
      <c r="H26" s="40" t="inlineStr">
        <is>
          <t>Citado, sem acusação</t>
        </is>
      </c>
      <c r="I26" s="37" t="inlineStr">
        <is>
          <t>Nada nas fontes.</t>
        </is>
      </c>
      <c r="J26" s="37" t="inlineStr">
        <is>
          <t>Acervo a verdade.: o PDF original diz que ele “recebeu R$ 427 mi”. A CNN fala em contrato de advocacia de até R$ 427 mi, condicionado a êxito, o que não comprova recebimento pessoal. Ele nega.</t>
        </is>
      </c>
      <c r="K26" s="37" t="inlineStr">
        <is>
          <t>Gazeta do Povo https://www.gazetadopovo.com.br/republica/filho-nunes-marques-teria-recebido-500-mil-master-aponta-pf/ | Times Brasil https://timesbrasil.com.br/brasil/deputados-pedem-investigacao-sobre-nunes-marques-e-master/ | Agência Brasil https://agenciabrasil.ebc.com.br/justica/noticia/2026-04/nunes-marques-e-eleito-presidente-do-tse | O voto de Nunes Marques no caso Alcídia (noticias.uol.com.br) https://noticias.uol.com.br/colunas/a-hora/2026/10/04/kassio-se-declarou-impedido-voltou-atras-e-deu-ganho-bilionario-ao-master.htm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 | Relatos do ex-sócio sobre festas, relógio e lobby (brasildefato.com.br) https://www.brasildefato.com.br/2026/09/29/ex-socio-de-flavio-bolsonaro-cita-festas-com-garotas-de-programa-rolex-de-r-305-mil-e-lobby-com-nunes-marques-diz-site/#google_vignette</t>
        </is>
      </c>
      <c r="L26" s="37" t="inlineStr">
        <is>
          <t>20/10/2026</t>
        </is>
      </c>
      <c r="M26" s="37" t="inlineStr">
        <is>
          <t>Presidente do TSE confirmado (eleito em 14/04/2026). 21/10/2026: importado do acervo a verdade. (bolsomaster.site).</t>
        </is>
      </c>
      <c r="N26" s="24" t="inlineStr">
        <is>
          <t>nunes.jpg</t>
        </is>
      </c>
      <c r="O26" s="24" t="inlineStr">
        <is>
          <t>Secom/TSE · domínio público</t>
        </is>
      </c>
      <c r="P26" s="24" t="inlineStr">
        <is>
          <t>https://commons.wikimedia.org/wiki/File:Nunes_Marques,_February_2025_(cropped).jpg</t>
        </is>
      </c>
    </row>
    <row r="27" ht="55.2" customHeight="1" s="25">
      <c r="A27" s="37" t="inlineStr">
        <is>
          <t>kevin</t>
        </is>
      </c>
      <c r="B27" s="38" t="inlineStr">
        <is>
          <t>Kevin Marques</t>
        </is>
      </c>
      <c r="C27" s="37" t="inlineStr">
        <is>
          <t>Poder e Justiça</t>
        </is>
      </c>
      <c r="D27" s="37" t="inlineStr">
        <is>
          <t>Advogado, filho de Nunes Marques. Mensagens do celular de Vorcaro sugerem pagamento mensal de R$ 500 mil (planilha enviada por Luiz Rennó em out/2024; reaviso em jul/2025). Ele nega ter prestado serviço ao Master; a defesa diz que recebeu R$ 281,6 mil da Consult por advocacia tributária.</t>
        </is>
      </c>
      <c r="E27" s="37" t="inlineStr">
        <is>
          <t>Não informado</t>
        </is>
      </c>
      <c r="F27" s="37" t="inlineStr">
        <is>
          <t>Vivo</t>
        </is>
      </c>
      <c r="G27" s="37" t="inlineStr">
        <is>
          <t>As fontes não mostram indiciamento nem denúncia.</t>
        </is>
      </c>
      <c r="H27" s="40" t="inlineStr">
        <is>
          <t>Citado, sem acusação</t>
        </is>
      </c>
      <c r="I27" s="37" t="inlineStr">
        <is>
          <t>Nada nas fontes.</t>
        </is>
      </c>
      <c r="J27" s="37" t="inlineStr">
        <is>
          <t>Planilha diz "~R$ 300 mil": as fontes trazem R$ 500 mil/mês (suspeita da PF) e R$ 281,6 mil (versão da defesa).</t>
        </is>
      </c>
      <c r="K27" s="37" t="inlineStr">
        <is>
          <t>Gazeta do Povo (link acima) | Decisão sobre usinas e mensagens sobre o filho do ministro (noticias.uol.com.br) https://noticias.uol.com.br/colunas/natalia-portinari/2026/09/29/kassio-via-boi-na-linha-em-caso-de-usinas-segundo-mensagens-de-vorcaro.htm?utm_source=chatgpt.com | Contrato de R$ 427 milhões e suspeitas de benefícios (cnnbrasil.com.br) https://www.cnnbrasil.com.br/politica/turma-do-kn-negociou-contrato-de-r-427-mi-com-master-apontam-mensagens/ | Contrato de R$ 427 milhões e suspeitas de benefícios (cnnbrasil.com.br) https://www.cnnbrasil.com.br/politica/dialogos-de-vorcaro-citam-suposta-mesada-de-r-500-mil-para-filho-de-nunes/ | Contrato de R$ 427 milhões e suspeitas de benefícios (almapreta.com.br) https://almapreta.com.br/sessao/politica/apartamento-nunes-marques-prostituta-fabiano-zettel-cunhado-vorcaro/</t>
        </is>
      </c>
      <c r="L27" s="37" t="inlineStr">
        <is>
          <t>20/10/2026</t>
        </is>
      </c>
      <c r="M27" s="37" t="inlineStr">
        <is>
          <t>21/10/2026: importado do acervo a verdade. (bolsomaster.site).</t>
        </is>
      </c>
    </row>
    <row r="28" ht="82.05" customHeight="1" s="25">
      <c r="A28" s="37" t="inlineStr">
        <is>
          <t>ramagem</t>
        </is>
      </c>
      <c r="B28" s="38" t="inlineStr">
        <is>
          <t>Alexandre Ramagem</t>
        </is>
      </c>
      <c r="C28" s="37" t="inlineStr">
        <is>
          <t>Poder e Justiça</t>
        </is>
      </c>
      <c r="D28" s="37" t="inlineStr">
        <is>
          <t>Nascido em 08/05/1972, Rio de Janeiro. Delegado da PF, diretor-geral da Abin (2019–2022), deputado federal pelo PL (mandato terminou em dez/2025 após a condenação). Condenado pela 1ª Turma do STF em 11/09/2025 (4 a 1) a 16 anos, 1 mês e 15 dias por tentativa de golpe, organização criminosa armada e outros crimes. Prisão preventiva decretada em 21/11/2025. Fugiu via Roraima/Guiana e chegou aos EUA em 11/09/2025.</t>
        </is>
      </c>
      <c r="E28" s="37" t="inlineStr">
        <is>
          <t>Estados Unidos (Flórida); em 05/07/2026 estava em Nova Jersey para um jogo do Brasil. Paradeiro atual não informado</t>
        </is>
      </c>
      <c r="F28" s="37" t="inlineStr">
        <is>
          <t>Vivo</t>
        </is>
      </c>
      <c r="G28" s="37" t="inlineStr">
        <is>
          <t>Foragido da Justiça brasileira. Em 13/04/2026 foi preso pelo ICE em Orlando e solto dois dias depois, sem fiança; o pedido de asilo aguarda análise. Em 05/07/2026 disse à CNN que a extradição "não vai acontecer" e ligou seu retorno ao Brasil às eleições com Flávio candidato. A CNN afirma que um processo de extradição pedido pelo Brasil tramita em paralelo.</t>
        </is>
      </c>
      <c r="H28" s="43" t="inlineStr">
        <is>
          <t>Condenado</t>
        </is>
      </c>
      <c r="I28" s="37" t="inlineStr">
        <is>
          <t>Nada nas fontes.</t>
        </is>
      </c>
      <c r="J28" s="37" t="inlineStr">
        <is>
          <t>Divergência entre fontes resolvida: a CNN (jul/2026) confirma processo de extradição; a Pública (29/09) apenas não menciona.</t>
        </is>
      </c>
      <c r="K28" s="37" t="inlineStr">
        <is>
          <t>Agência Pública 29/09/2026 https://apublica.org/2026/09/familia-de-condenado-por-garimpo-na-terra-yanomami-bancou-vida-de-ramagem-nos-eua/ | Wikipedia en https://en.wikipedia.org/wiki/Alexandre_Ramagem | CNN Brasil 05/07/2026 https://www.cnnbrasil.com.br/politica/nos-eua-ramagem-diz-que-extradicao-nao-acontecera-e-cita-volta-ao-brasil/ | O áudio de Bolsonaro e Ramagem sobre Flávio (valor.globo.com) https://valor.globo.com/politica/noticia/2024/07/11/audio-mostra-bolsonaro-e-ramagem-discutindo-como-blindar-flavio-no-caso-das-rachadinhas-segundo-pf.ghtml</t>
        </is>
      </c>
      <c r="L28" s="37" t="inlineStr">
        <is>
          <t>20/10/2026</t>
        </is>
      </c>
      <c r="M28" s="37" t="inlineStr">
        <is>
          <t>Entrevista de 05/07/2026; asilo pendente; processo de extradição em paralelo. 21/10/2026: importado do acervo a verdade. (bolsomaster.site).</t>
        </is>
      </c>
      <c r="N28" s="24" t="inlineStr">
        <is>
          <t>ramagem.jpg</t>
        </is>
      </c>
      <c r="O28" s="24" t="inlineStr">
        <is>
          <t>Câmara dos Deputados · CC BY 3.0</t>
        </is>
      </c>
      <c r="P28" s="24" t="inlineStr">
        <is>
          <t>https://commons.wikimedia.org/wiki/File:Delegado_Ramagem_(PL_-_RJ)_(cropped).jpg</t>
        </is>
      </c>
    </row>
    <row r="29" ht="82.05" customHeight="1" s="25">
      <c r="A29" s="37" t="inlineStr">
        <is>
          <t>heleno</t>
        </is>
      </c>
      <c r="B29" s="38" t="inlineStr">
        <is>
          <t>Augusto Heleno</t>
        </is>
      </c>
      <c r="C29" s="37" t="inlineStr">
        <is>
          <t>Poder e Justiça</t>
        </is>
      </c>
      <c r="D29" s="37" t="inlineStr">
        <is>
          <t>General do Exército, ex-ministro-chefe do GSI de Bolsonaro, 78 anos. Condenado a 21 anos em regime fechado (organização criminosa armada e tentativa de golpe). Em 22/12/2025 Moraes concedeu prisão domiciliar humanitária: perícia da PF apontou demência mista (Alzheimer e vascular), em estágio inicial mas de rápida progressão.</t>
        </is>
      </c>
      <c r="E29" s="37" t="inlineStr">
        <is>
          <t>Brasília (DF) para atendimento médico; cidade da domiciliar não confirmada</t>
        </is>
      </c>
      <c r="F29" s="37" t="inlineStr">
        <is>
          <t>Vivo (confirmado em 16/10/2026)</t>
        </is>
      </c>
      <c r="G29" s="37" t="inlineStr">
        <is>
          <t>Condenado a 21 anos; em domiciliar humanitária desde 22/12/2025. Em 14–16/10/2026 Moraes autorizou visitas médicas diárias, uma saída em 22/10 para o Hospital das Forças Armadas e internação urgente sem nova decisão. A perícia da PF aponta demência mista (Alzheimer e vascular), "progressiva e irreversível", além de osteoartrose avançada e risco de queda.</t>
        </is>
      </c>
      <c r="H29" s="43" t="inlineStr">
        <is>
          <t>Condenado</t>
        </is>
      </c>
      <c r="I29" s="37" t="inlineStr">
        <is>
          <t>Nada nas fontes.</t>
        </is>
      </c>
      <c r="J29" s="37" t="inlineStr">
        <is>
          <t>—</t>
        </is>
      </c>
      <c r="K29" s="37" t="inlineStr">
        <is>
          <t>Conjur 22/12/2025 https://www.conjur.com.br/2025-dez-22/alexandre-de-moraes-concede-prisao-domiciliar-humanitaria-a-augusto-heleno//?print=1 | Tribuna do Sertão 16/10/2026 https://www.tribunadosertao.com.br/poder-e-governo/2026/10/16/998671-moraes-autoriza-que-heleno-deixe-prisao-domiciliar-para-atendimento-medico-em-brasilia</t>
        </is>
      </c>
      <c r="L29" s="37" t="inlineStr">
        <is>
          <t>20/10/2026</t>
        </is>
      </c>
      <c r="M29" s="37" t="inlineStr">
        <is>
          <t>Saúde e autorizações de Moraes em 14–16/10/2026.</t>
        </is>
      </c>
      <c r="N29" s="24" t="inlineStr">
        <is>
          <t>heleno.jpg</t>
        </is>
      </c>
      <c r="O29" s="24" t="inlineStr">
        <is>
          <t>Câmara dos Deputados · CC BY 3.0</t>
        </is>
      </c>
      <c r="P29" s="24" t="inlineStr">
        <is>
          <t>https://commons.wikimedia.org/wiki/File:Augusto_Heleno_(cropped).jpg</t>
        </is>
      </c>
    </row>
    <row r="30" ht="82.05" customHeight="1" s="25">
      <c r="A30" s="37" t="inlineStr">
        <is>
          <t>moro</t>
        </is>
      </c>
      <c r="B30" s="38" t="inlineStr">
        <is>
          <t>Sérgio Fernando Moro</t>
        </is>
      </c>
      <c r="C30" s="37" t="inlineStr">
        <is>
          <t>Poder e Justiça</t>
        </is>
      </c>
      <c r="D30" s="37" t="inlineStr">
        <is>
          <t>Nascido em 01/08/1972, Maringá (PR). Juiz federal por mais de 20 anos (Lava Jato, 13ª Vara de Curitiba); condenou Lula em 2017. Em 2021 o STF reconheceu sua suspeição naquele caso. Ministro da Justiça de Bolsonaro (jan/2019–abr/2020) e senador pelo PR desde 2023. Deixou o Senado para disputar o governo do Paraná pelo PL e foi eleito governador no 1º turno em 04/10/2026.</t>
        </is>
      </c>
      <c r="E30" s="37" t="inlineStr">
        <is>
          <t>Curitiba/Paraná (PR), governador eleito</t>
        </is>
      </c>
      <c r="F30" s="37" t="inlineStr">
        <is>
          <t>Vivo</t>
        </is>
      </c>
      <c r="G30" s="37" t="inlineStr">
        <is>
          <t>Sem condenação criminal nas fontes que li.</t>
        </is>
      </c>
      <c r="H30" s="40" t="inlineStr">
        <is>
          <t>Citado, sem acusação</t>
        </is>
      </c>
      <c r="I30" s="37" t="inlineStr">
        <is>
          <t>Nada nas fontes.</t>
        </is>
      </c>
      <c r="J30" s="37" t="inlineStr">
        <is>
          <t>—</t>
        </is>
      </c>
      <c r="K30" s="37" t="inlineStr">
        <is>
          <t>NSC Total https://www.nsctotal.com.br/politica/eleicoes-2026-quem-e-sergio-moro-candidato-do-pl-ao-governo-do-parana | Congresso em Foco https://www.congressoemfoco.com.br/noticia/122688/sergio-moro-e-eleito-governador-do-parana | Tribuna do Sertão 04/10/2026 https://tribunadosertao.com.br/politica/2026/10/04/990712-sergio-moro-e-eleito-governador-do-parana-no-1o-turno | A saída de Moro e a acusação de interferência na PF (g1.globo.com) https://g1.globo.com/politica/noticia/2020/04/24/moro-anuncia-demissao-do-ministerio-da-justica-e-deixa-o-governo-bolsonaro.ghtml</t>
        </is>
      </c>
      <c r="L30" s="37" t="inlineStr">
        <is>
          <t>20/10/2026</t>
        </is>
      </c>
      <c r="M30" s="37" t="inlineStr">
        <is>
          <t>Eleito governador do Paraná no 1º turno (04/10/2026). 21/10/2026: importado do acervo a verdade. (bolsomaster.site).</t>
        </is>
      </c>
      <c r="N30" s="24" t="inlineStr">
        <is>
          <t>moro.jpg</t>
        </is>
      </c>
      <c r="O30" s="24" t="inlineStr">
        <is>
          <t>Domínio público</t>
        </is>
      </c>
      <c r="P30" s="24" t="inlineStr">
        <is>
          <t>https://commons.wikimedia.org/wiki/File:Senador_da_República_Sérgio_Moro.jpg</t>
        </is>
      </c>
    </row>
    <row r="31" ht="68.65000000000001" customHeight="1" s="25">
      <c r="A31" s="37" t="inlineStr">
        <is>
          <t>ciro</t>
        </is>
      </c>
      <c r="B31" s="38" t="inlineStr">
        <is>
          <t>Ciro Nogueira</t>
        </is>
      </c>
      <c r="C31" s="37" t="inlineStr">
        <is>
          <t>Poder e Justiça</t>
        </is>
      </c>
      <c r="D31" s="37" t="inlineStr">
        <is>
          <t>Senador (PP-PI) e presidente nacional do Progressistas. Alvo da 5ª fase da Operação Compliance Zero (maio/2026, ordem de Mendonça): suposta ponte entre Vorcaro e o Congresso, com participação societária avaliada em ~R$ 13 mi comprada por R$ 1 mi e mesada de R$ 300 mil (relatos falam em R$ 500 mil). Proibido de contato com investigados; o irmão deve usar tornozeleira.</t>
        </is>
      </c>
      <c r="E31" s="37" t="inlineStr">
        <is>
          <t>Piauí (PI); mandato em Brasília</t>
        </is>
      </c>
      <c r="F31" s="37" t="inlineStr">
        <is>
          <t>Vivo</t>
        </is>
      </c>
      <c r="G31" s="37" t="inlineStr">
        <is>
          <t>Alvo de operação, sem denúncia. A defesa nega qualquer participação em atividades ilícitas.</t>
        </is>
      </c>
      <c r="H31" s="41" t="inlineStr">
        <is>
          <t>Investigado / alvo (sem denúncia)</t>
        </is>
      </c>
      <c r="I31" s="37" t="inlineStr">
        <is>
          <t>Nada nas fontes.</t>
        </is>
      </c>
      <c r="J31" s="37" t="inlineStr">
        <is>
          <t>Identificação confirmada: o "Círio Nogueira" da transcrição é o senador Ciro Nogueira, investigado no caso Master (busca em 07/05/2026). A aba Notes original ainda diz "inferida".</t>
        </is>
      </c>
      <c r="K31" s="37" t="inlineStr">
        <is>
          <t>Correio da Manhã 07/05/2026 https://www.correiodamanha.com.br/politica/2026/05/283952-ciro-nogueira-receberia-mesada-do-master-diz-investigacao.html | Wikipedia (Banco Master scandal) https://en.wikipedia.org/wiki/Banco_Master_scandal | Supostos pagamentos mensais a Ciro Nogueira (agenciabrasil.ebc.com.br) https://agenciabrasil.ebc.com.br/justica/noticia/2026-05/mesada-e-viagens-internacionais-veja-o-que-pf-diz-sobre-ciro-nogueira | Viagens de Ciro e a suspeita de contrapartida política (g1.globo.com) https://g1.globo.com/jornal-nacional/noticia/2026/05/08/pf-suspeita-que-vorcaro-pagou-ao-menos-3-viagens-internacionais-do-senador-ciro-nogueira-do-pp.ghtml | Ciro na Operação Compliance Zero (agenciabrasil.ebc.com.br) https://agenciabrasil.ebc.com.br/justica/noticia/2026-05/policia-federal-deflagra-5a-fase-da-operacao-compliance-zero | Imagens de Ciro e Vorcaro nos Alpes (cnnbrasil.com.br) https://www.cnnbrasil.com.br/blogs/debora-bergamasco/politica/imagens-obtidas-pela-pf-mostram-ciro-nogueira-e-vorcaro-nos-alpes-franceses/ | O custeio da viagem a Courchevel (piaui.uol.com.br) https://piaui.uol.com.br/web/ciro-nogueira-daniel-vorcaro-alpes-franceses-imagens/</t>
        </is>
      </c>
      <c r="L31" s="37" t="inlineStr">
        <is>
          <t>20/10/2026</t>
        </is>
      </c>
      <c r="M31" s="37" t="inlineStr">
        <is>
          <t>Identificação tratada como confirmada (antes: inferida); busca em 07/05/2026. 21/10/2026: importado do acervo a verdade. (bolsomaster.site).</t>
        </is>
      </c>
      <c r="N31" s="24" t="inlineStr">
        <is>
          <t>ciro.jpg</t>
        </is>
      </c>
      <c r="O31" s="24" t="inlineStr">
        <is>
          <t>Wikimedia Commons · CC BY-SA 4.0</t>
        </is>
      </c>
      <c r="P31" s="24" t="inlineStr">
        <is>
          <t>https://commons.wikimedia.org/wiki/File:Senador739.jpg</t>
        </is>
      </c>
    </row>
    <row r="32">
      <c r="A32" s="37" t="inlineStr">
        <is>
          <t>mendonca</t>
        </is>
      </c>
      <c r="B32" s="38" t="inlineStr">
        <is>
          <t>André Mendonça</t>
        </is>
      </c>
      <c r="C32" s="37" t="inlineStr">
        <is>
          <t>Poder e Justiça</t>
        </is>
      </c>
      <c r="D32" s="37" t="inlineStr">
        <is>
          <t>Ministro do STF indicado por Jair Bolsonaro; ex-AGU e ex-ministro da Justiça. Relator do caso Master desde fev/2026, um mês após o instituto que fundou (ITER) receber R$ 5,2 mi de empresa de sócio de Vorcaro. Mensagens mostram o advogado de Vorcaro articulando encontros com ele em fev e mar/2025. Em set/2026 afastou o diretor-geral da PF e revogou a prisão do filho do Careca do INSS.</t>
        </is>
      </c>
      <c r="E32" s="37" t="inlineStr">
        <is>
          <t>Brasília (DF)</t>
        </is>
      </c>
      <c r="F32" s="37" t="inlineStr">
        <is>
          <t>Vivo</t>
        </is>
      </c>
      <c r="G32" s="37" t="inlineStr">
        <is>
          <t>Não há processo contra ele nas fontes do acervo.</t>
        </is>
      </c>
      <c r="H32" s="39" t="inlineStr">
        <is>
          <t>Citado, sem acusação</t>
        </is>
      </c>
      <c r="I32" s="37" t="inlineStr">
        <is>
          <t>Nada nas fontes.</t>
        </is>
      </c>
      <c r="J32" s="37" t="inlineStr">
        <is>
          <t>Dados do acervo a verdade.; fontes não reverificadas uma a uma. Os levantamentos de contratos do ITER (52 contratos e R$ 8,2 mi; 55 contratos e R$ 10,8 mi) são recortes diferentes e não se somam.</t>
        </is>
      </c>
      <c r="K32" s="37" t="inlineStr">
        <is>
          <t>A visita à alfaiataria com o advogado de Vorcaro (iclnoticias.com.br) https://iclnoticias.com.br/vaza-mendonca-mensagens-e-audios-ineditos/ | Encomendas, recibos e pagamentos na alfaiataria (oglobo.globo.com) https://oglobo.globo.com/politica/noticia/2026/09/03/alfaiataria-visitada-por-mendonca-e-advogado-de-vorcaro-nao-esclarece-encomenda-nem-mostra-recibos-ternos-sob-medida-custam-a-partir-de-r-219-mil.ghtml | Encomendas, recibos e pagamentos na alfaiataria (paulomotoryn.substack.com) https://paulomotoryn.substack.com/p/exclusivo-vorcaro-gastou-r-500-mil | Encomendas, recibos e pagamentos na alfaiataria (metro1.com.br) https://www.metro1.com.br/noticias/politica/187938,notas-de-mendonca-em-alfaiataria-frequentada-por-vorcaro-registravam-sem-pagamento | Mensagens para agendar encontro com Mendonça (iclnoticias.com.br) https://iclnoticias.com.br/vaza-mendonca-mensagens-e-audios-ineditos/ | O convite a Bruno Bianco para a reunião (iclnoticias.com.br) https://iclnoticias.com.br/vaza-mendonca-mensagens-e-audios-ineditos/ | A reunião de fevereiro de 2025 (iclnoticias.com.br) https://iclnoticias.com.br/vaza-mendonca-mensagens-e-audios-ineditos/ | Encontro com Vorcaro na sede do ITER (iclnoticias.com.br) https://iclnoticias.com.br/vaza-mendonca-mensagens-e-audios-ineditos/ | Pedido de vista no julgamento sobre cemitérios (valor.globo.com) https://valor.globo.com/politica/noticia/2026/09/15/stf-em-ao-sobre-cemitrios-em-sp-dino-pede-nova-investigao-de-mendona.ghtml | Convites para coquetéis do instituto (iclnoticias.com.br) https://iclnoticias.com.br/vorcaro-foi-chamado-a-coquetel-de-mendonca/ | A viagem de helicóptero de Mendonça (noticias.uol.com.br) https://noticias.uol.com.br/colunas/daniela-lima/2026/09/22/mendonca-voou-em-aeronave-de-ex-parceiro-de-negocios-de-vorcaro.htm | Aporte de R$ 5,2 milhões ao ITER (noticias.uol.com.br) https://noticias.uol.com.br/ultimas-noticias/redacao/2026/09/17/ex-parceiro-de-vorcaro-pos-r-5-milhoes-em-instituto-de-mendonca.htm | Depoimento de Vorcaro sem a Polícia Federal (iclnoticias.com.br) https://iclnoticias.com.br/gabinete-mendonca-ouviu-vorcaro-horario-pf/ | O afastamento de um diretor da PF (cnnbrasil.com.br) https://www.cnnbrasil.com.br/blogs/teo-cury/politica/mendonca-ordenou-afastamento-de-diretor-geral-da-pf-sem-ouvir-pgr/ | A atuação do diretor afastado nos casos Master e INSS (iclnoticias.com.br) https://iclnoticias.com.br/diretor-da-pf-afastado-mendonca-prendeu-vorcaro/ | Revogação da prisão do filho do Careca do INSS (iclnoticias.com.br) https://iclnoticias.com.br/andre-mendonca-revoga-prisao-do-filho-do-careca/ | A contestação da AGU ao afastamento na PF (iclnoticias.com.br) https://iclnoticias.com.br/agu-mendonca-usurpou-competencia-fachin/ | A cronologia entre a operação de Dino e o afastamento (iclnoticias.com.br) https://iclnoticias.com.br/mendonca-cesinha-madureira-vorcaro-dino/ | Financiamento da campanha de Cezinha de Madureira (iclnoticias.com.br) https://iclnoticias.com.br/tarcisio-campanha-deputado-mendonca-vorcaro/ | A proximidade entre Cezinha e Mendonça (iclnoticias.com.br) https://iclnoticias.com.br/cezinha-de-madureira-tinha-porta-retrato-com-mendonca-na-sala-de-casa/ | 52 contratos do ITER com órgãos públicos (apublica.org) https://apublica.org/nota/instituto-de-andre-mendonca-e-alvo-de-representacoes-para-investigar-irregularidades/ | Outro levantamento: 55 contratos do instituto (iclnoticias.com.br) https://iclnoticias.com.br/instituto-de-andre-mendonca-faturou/ | A promoção do irmão de Mendonça (iclnoticias.com.br) https://iclnoticias.com.br/irmao-de-mendonca-foi-promovido-por-nunes/ | Votos relativos a Castro e contratos no Rio (iclnoticias.com.br) https://iclnoticias.com.br/mendonca-votou-a-favor-de-castro-4-vezes/ | Prazos diferentes para decisões sobre políticos (cnnbrasil.com.br) https://www.cnnbrasil.com.br/politica/mendonca-demora-9-dias-para-despachar-sobre-wagner-e-75-sobre-castro/ | O contraste nos prazos apontado pela PF (iclnoticias.com.br) https://iclnoticias.com.br/pf-aponta-diferenca-8-x-no-tempo-mendonca/ | A declaração de Gilmar sobre acesso a dados (iclnoticias.com.br) https://iclnoticias.com.br/gilmar-stf-dados-maste-ministros-mendonca/ | O pedido para rastrear o dinheiro do Master (iclnoticias.com.br) https://iclnoticias.com.br/pf-espera-ha-seis-meses-decisao-mendonca/ | A recomendação de sigilo sobre o celular de Vorcaro (iclnoticias.com.br) https://iclnoticias.com.br/contra-transparencia-mendonca-recomenda-manter/ | Tratamento de ministros em relatório da PF (iclnoticias.com.br) https://iclnoticias.com.br/relatorio-pf-mendonca-poupou-toffoli-kassio/ | O pedido de nulidade apresentado por Gonet (iclnoticias.com.br) https://iclnoticias.com.br/gonet-diz-que-mendonca-investigou-moraes/</t>
        </is>
      </c>
      <c r="L32" s="37" t="inlineStr">
        <is>
          <t>21/10/2026</t>
        </is>
      </c>
      <c r="M32" s="37" t="inlineStr">
        <is>
          <t>21/10/2026: importado do acervo a verdade. (bolsomaster.site) (perfil novo). 22/10/2026: foto adicionada.</t>
        </is>
      </c>
      <c r="N32" s="24" t="inlineStr">
        <is>
          <t>mendonca.jpg</t>
        </is>
      </c>
      <c r="O32" s="24" t="inlineStr">
        <is>
          <t>Luis Macedo/Câmara dos Deputados · CC BY 3.0</t>
        </is>
      </c>
      <c r="P32" s="24" t="inlineStr">
        <is>
          <t>https://commons.wikimedia.org/wiki/File:Andr%C3%A9_Luiz_de_Almeida_Mendon%C3%A7a_(cropped).jpg</t>
        </is>
      </c>
    </row>
    <row r="33">
      <c r="A33" s="37" t="inlineStr">
        <is>
          <t>faria</t>
        </is>
      </c>
      <c r="B33" s="38" t="inlineStr">
        <is>
          <t>Fábio Faria</t>
        </is>
      </c>
      <c r="C33" s="37" t="inlineStr">
        <is>
          <t>Vorcaro e o Banco Master</t>
        </is>
      </c>
      <c r="D33" s="37" t="inlineStr">
        <is>
          <t>Ex-ministro das Comunicações de Jair Bolsonaro. Mensagens recuperadas pela PF o apontam como intermediário de Vorcaro com autoridades em Brasília e com ministros de tribunais superiores, inclusive na organização de festas. Empresa ligada a Vorcaro pagou R$ 67,5 mi por um projeto dele.</t>
        </is>
      </c>
      <c r="E33" s="37" t="inlineStr">
        <is>
          <t>Brasília (DF)</t>
        </is>
      </c>
      <c r="F33" s="37" t="inlineStr">
        <is>
          <t>Vivo</t>
        </is>
      </c>
      <c r="G33" s="37" t="inlineStr">
        <is>
          <t>O acervo não informa se ele é formalmente investigado.</t>
        </is>
      </c>
      <c r="H33" s="39" t="inlineStr">
        <is>
          <t>Citado, sem acusação</t>
        </is>
      </c>
      <c r="I33" s="37" t="inlineStr">
        <is>
          <t>Nada nas fontes.</t>
        </is>
      </c>
      <c r="J33" s="37" t="inlineStr">
        <is>
          <t>Dados do acervo a verdade.; fontes não reverificadas uma a uma.</t>
        </is>
      </c>
      <c r="K33" s="37" t="inlineStr">
        <is>
          <t>Fábio Faria como interlocutor de Vorcaro (piaui.uol.com.br) https://piaui.uol.com.br/web/fabio-faria-daniel-vorcaro-lobby/ | R$ 67,5 milhões por projeto de Fábio Faria (tab.uol.com.br) https://tab.uol.com.br/noticias/redacao/2026/01/29/vorcaro-pagou-r-675-mi-em-projeto-eolico-de-fabio-faria-ex-ministro.htm | Convites a autoridades para festas e encontros (piaui.uol.com.br) https://piaui.uol.com.br/web/festa-suicas-vorcaro-fabio-faria/ | O grupo com Hugo Motta, Ciro e Fábio Faria (gazetadopovo.com.br) https://www.gazetadopovo.com.br/republica/vorcaro-grupo-motta-ciro-nogueira-fabio-faria-organizar-encontros/ | A intermediação de contatos com Moraes (g1.globo.com) https://g1.globo.com/politica/noticia/2026/09/01/ex-ministro-fabio-faria-atuou-para-intermediar-contatos-entre-vorcaro-e-moraes-aponta-pf.ghtml</t>
        </is>
      </c>
      <c r="L33" s="37" t="inlineStr">
        <is>
          <t>21/10/2026</t>
        </is>
      </c>
      <c r="M33" s="37" t="inlineStr">
        <is>
          <t>21/10/2026: importado do acervo a verdade. (bolsomaster.site) (perfil novo). 22/10/2026: foto adicionada.</t>
        </is>
      </c>
      <c r="N33" s="24" t="inlineStr">
        <is>
          <t>faria.jpg</t>
        </is>
      </c>
      <c r="O33" s="24" t="inlineStr">
        <is>
          <t>Luis Macedo/Câmara dos Deputados · CC BY 3.0</t>
        </is>
      </c>
      <c r="P33" s="24" t="inlineStr">
        <is>
          <t>https://commons.wikimedia.org/wiki/File:F%C3%A1bio_Faria_(cropped).jpg</t>
        </is>
      </c>
    </row>
    <row r="34">
      <c r="A34" s="37" t="inlineStr">
        <is>
          <t>frias</t>
        </is>
      </c>
      <c r="B34" s="38" t="inlineStr">
        <is>
          <t>Mario Frias</t>
        </is>
      </c>
      <c r="C34" s="37" t="inlineStr">
        <is>
          <t>Flávio e família</t>
        </is>
      </c>
      <c r="D34" s="37" t="inlineStr">
        <is>
          <t>Ex-secretário especial de Cultura de Jair Bolsonaro e produtor-executivo do filme Dark Horse. Áudio divulgado pelo Intercept mostra ele agradecendo Vorcaro pelo financiamento do filme.</t>
        </is>
      </c>
      <c r="E34" s="37" t="inlineStr">
        <is>
          <t>—</t>
        </is>
      </c>
      <c r="F34" s="37" t="inlineStr">
        <is>
          <t>Vivo</t>
        </is>
      </c>
      <c r="G34" s="37" t="inlineStr">
        <is>
          <t>Segundo o PDF, investigado no caso do filme.</t>
        </is>
      </c>
      <c r="H34" s="39" t="inlineStr">
        <is>
          <t>Investigado / alvo (sem denúncia)</t>
        </is>
      </c>
      <c r="I34" s="37" t="inlineStr">
        <is>
          <t>Nada nas fontes.</t>
        </is>
      </c>
      <c r="J34" s="37" t="inlineStr">
        <is>
          <t>Situação de investigado vem do PDF do acervo; não reverificada.</t>
        </is>
      </c>
      <c r="K34" s="37" t="inlineStr">
        <is>
          <t>Mario Frias e a produção de Dark Horse (intercept.com.br) https://www.intercept.com.br/2026/05/19/audio-mario-frias-daniel-vorcaro/</t>
        </is>
      </c>
      <c r="L34" s="37" t="inlineStr">
        <is>
          <t>21/10/2026</t>
        </is>
      </c>
      <c r="M34" s="37" t="inlineStr">
        <is>
          <t>21/10/2026: importado do acervo a verdade. (bolsomaster.site) (perfil novo). 22/10/2026: foto adicionada.</t>
        </is>
      </c>
      <c r="N34" s="24" t="inlineStr">
        <is>
          <t>frias.jpg</t>
        </is>
      </c>
      <c r="O34" s="24" t="inlineStr">
        <is>
          <t>Isac Nóbrega/PR · CC BY 2.0</t>
        </is>
      </c>
      <c r="P34" s="24" t="inlineStr">
        <is>
          <t>https://commons.wikimedia.org/wiki/File:M%C3%A1rio_Frias_em_2020.jpg</t>
        </is>
      </c>
    </row>
    <row r="35">
      <c r="A35" s="37" t="inlineStr">
        <is>
          <t>gaspar</t>
        </is>
      </c>
      <c r="B35" s="38" t="inlineStr">
        <is>
          <t>Alfredo Gaspar</t>
        </is>
      </c>
      <c r="C35" s="37" t="inlineStr">
        <is>
          <t>Flávio e família</t>
        </is>
      </c>
      <c r="D35" s="37" t="inlineStr">
        <is>
          <t>Vice na chapa de Flávio Bolsonaro em 2026.</t>
        </is>
      </c>
      <c r="E35" s="37" t="inlineStr">
        <is>
          <t>Alagoas (AL)</t>
        </is>
      </c>
      <c r="F35" s="37" t="inlineStr">
        <is>
          <t>Vivo</t>
        </is>
      </c>
      <c r="G35" s="37" t="inlineStr">
        <is>
          <t>Pedido de investigação por estupro de vulnerável arquivado pelo ministro Gilmar Mendes em out/2026, por falta de indícios suficientes. Ele nega.</t>
        </is>
      </c>
      <c r="H35" s="39" t="inlineStr">
        <is>
          <t>Citado, sem acusação</t>
        </is>
      </c>
      <c r="I35" s="37" t="inlineStr">
        <is>
          <t>Nada nas fontes.</t>
        </is>
      </c>
      <c r="J35" s="37" t="inlineStr">
        <is>
          <t>A PGR também pediu o arquivamento; ele diz que a acusação é falsa e move ações contra quem a levou adiante. O PDF original diz que ele “é investigado”; isso está desatualizado desde o arquivamento (Folha e UOL, 06/10/2026).</t>
        </is>
      </c>
      <c r="K35" s="37" t="inlineStr">
        <is>
          <t>Alfredo Gaspar: pedido de investigação arquivado (metropoles.com) https://www.metropoles.com/colunas/igor-gadelha/denuncia-de-suposto-estupro-contra-vice-de-flavio-deve-avancar-no-stf | Alfredo Gaspar: pedido de investigação arquivado (folha.uol.com.br) https://www1.folha.uol.com.br/poder/2026/10/gilmar-arquiva-pedido-de-investigacao-contra-vice-de-flavio-bolsonaro-por-suspeita-de-estupro.shtml | Alfredo Gaspar: pedido de investigação arquivado (noticias.uol.com.br) https://noticias.uol.com.br/eleicoes/2026/10/06/gilmar-mendes-arquiva-stf-suspeita-estupro-alfredo-gaspar-vice-flavio.ghtm</t>
        </is>
      </c>
      <c r="L35" s="37" t="inlineStr">
        <is>
          <t>21/10/2026</t>
        </is>
      </c>
      <c r="M35" s="37" t="inlineStr">
        <is>
          <t>21/10/2026: importado do acervo a verdade. (bolsomaster.site) (perfil novo). 22/10/2026: foto adicionada.</t>
        </is>
      </c>
      <c r="N35" s="24" t="inlineStr">
        <is>
          <t>gaspar.jpg</t>
        </is>
      </c>
      <c r="O35" s="24" t="inlineStr">
        <is>
          <t>Kayo Magalhães/Câmara dos Deputados · CC BY 3.0</t>
        </is>
      </c>
      <c r="P35" s="24" t="inlineStr">
        <is>
          <t>https://commons.wikimedia.org/wiki/File:Alfredo_Gaspar_Deputado_Federal_(cropped).jpg</t>
        </is>
      </c>
    </row>
    <row r="36">
      <c r="A36" s="37" t="inlineStr">
        <is>
          <t>weverton</t>
        </is>
      </c>
      <c r="B36" s="38" t="inlineStr">
        <is>
          <t>Weverton Rocha</t>
        </is>
      </c>
      <c r="C36" s="37" t="inlineStr">
        <is>
          <t>Poder e Justiça</t>
        </is>
      </c>
      <c r="D36" s="37" t="inlineStr">
        <is>
          <t>Senador pelo Maranhão (PDT) e vice-líder do governo Lula no Senado. Investigado na Operação Sem Desconto (caso INSS): a PF diz que ele formulava demandas e cobrava pagamentos numa estrutura ligada a Willer Tomaz, que mora numa casa de R$ 6 mi registrada na WT e que a mulher dele, Samya Rocha, recebeu mais de R$ 11 mi de empresas de Willer. Buscas em 04/08/2026, autorizadas por André Mendonça.</t>
        </is>
      </c>
      <c r="E36" s="37" t="inlineStr">
        <is>
          <t>Maranhão (MA); mandato em Brasília</t>
        </is>
      </c>
      <c r="F36" s="37" t="inlineStr">
        <is>
          <t>Vivo</t>
        </is>
      </c>
      <c r="G36" s="37" t="inlineStr">
        <is>
          <t>Investigado, sem denúncia. Diz que as movimentações vêm de atividades profissionais declaradas à Receita e que é alvo por suas posições políticas. Willer diz que os repasses a Samya são honorários de advogada associada.</t>
        </is>
      </c>
      <c r="H36" s="39" t="inlineStr">
        <is>
          <t>Investigado / alvo (sem denúncia)</t>
        </is>
      </c>
      <c r="I36" s="37" t="inlineStr">
        <is>
          <t>Nada nas fontes.</t>
        </is>
      </c>
      <c r="J36" s="37" t="inlineStr">
        <is>
          <t>“Braço direito” é expressão do UOL News; a PF descreve a estrutura de Willer como “hub financeiro, patrimonial e logístico” do senador.</t>
        </is>
      </c>
      <c r="K36" s="37" t="inlineStr">
        <is>
          <t>Poder360 04/08/2026 https://www.poder360.com.br/poder-justica/pf-investiga-advogado-amigo-de-flavio-em-operacao-sobre-o-inss/ | O Povo 04/08/2026 https://www.opovo.com.br/noticias/politica/2026/08/04/pf-investiga-senador-weverton-rocha-por-suspeita-de-desvios-no-inss.html</t>
        </is>
      </c>
      <c r="L36" s="37" t="inlineStr">
        <is>
          <t>22/10/2026</t>
        </is>
      </c>
      <c r="M36" s="37" t="inlineStr">
        <is>
          <t>22/10/2026: rodada UOL News (bets, Loterj, hangar, Weverton). Perfil novo. 22/10/2026: foto adicionada.</t>
        </is>
      </c>
      <c r="N36" s="24" t="inlineStr">
        <is>
          <t>weverton.jpg</t>
        </is>
      </c>
      <c r="O36" s="24" t="inlineStr">
        <is>
          <t>Rodrigo Viana/Senado Federal · CC BY 2.0</t>
        </is>
      </c>
      <c r="P36" s="24" t="inlineStr">
        <is>
          <t>https://commons.wikimedia.org/wiki/File:Senadores_da_56%C2%AA_Legislatura_-_Weverton_Rocha_(32121443327).jpg</t>
        </is>
      </c>
    </row>
    <row r="37">
      <c r="A37" s="24" t="inlineStr">
        <is>
          <t>pf</t>
        </is>
      </c>
      <c r="B37" s="24" t="inlineStr">
        <is>
          <t>Polícia Federal</t>
        </is>
      </c>
      <c r="C37" s="24" t="inlineStr">
        <is>
          <t>Poder e Justiça</t>
        </is>
      </c>
      <c r="D37" s="24" t="inlineStr">
        <is>
          <t>Polícia judiciária da União. Conduz as duas frentes centrais do mapa: a Operação Compliance Zero (Banco Master; prendeu Daniel Vorcaro em 17/11/2025 e teve várias fases em 2026) e a Operação Sem Desconto (descontos ilegais em aposentadorias do INSS; deflagrada com a CGU em abr/2025, com nova fase em 04/08/2026 contra Willer Tomaz e familiares de Weverton Rocha). Em out/2026 enviou ao STF um segundo inquérito sobre Flávio Bolsonaro, por suspeita de lavagem ligada a Willer.</t>
        </is>
      </c>
      <c r="E37" s="24" t="inlineStr">
        <is>
          <t>Sede em Brasília (DF); atuação nacional</t>
        </is>
      </c>
      <c r="F37" s="24" t="inlineStr">
        <is>
          <t>—</t>
        </is>
      </c>
      <c r="G37" s="24" t="inlineStr">
        <is>
          <t>Em 08/09/2026 o ministro André Mendonça afastou o diretor-geral Andrei Rodrigues e o diretor de Inteligência, sem ouvir a PGR; a AGU contestou a decisão.</t>
        </is>
      </c>
      <c r="H37" s="24" t="inlineStr">
        <is>
          <t>Órgão público</t>
        </is>
      </c>
      <c r="I37" s="24" t="inlineStr">
        <is>
          <t>—</t>
        </is>
      </c>
      <c r="J37" s="24" t="inlineStr">
        <is>
          <t>—</t>
        </is>
      </c>
      <c r="K37" s="24" t="inlineStr">
        <is>
          <t>Entenda a operação que prendeu Vorcaro (cnnbrasil.com.br) https://www.cnnbrasil.com.br/economia/mercado/entenda-operacao-que-prendeu-daniel-vorcaro-dono-do-banco-master/ | Nova fase da Sem Desconto mira Weverton e Willer (congressoemfoco.com.br) https://www.congressoemfoco.com.br/noticia/120986/fraudes-no-inss-pf-mira-weverton-rocha-e-advogado-willer-tomaz | Afastamento do diretor-geral da PF (cnnbrasil.com.br) https://www.cnnbrasil.com.br/blogs/teo-cury/politica/mendonca-ordenou-afastamento-de-diretor-geral-da-pf-sem-ouvir-pgr/ | Segundo inquérito contra Flávio no STF (oliberal.com) https://www.oliberal.com/politica/flavio-e-investigado-em-2-inquerito-no-stf-para-apurar-suspeitas-de-lavagem-com-advogado-1.1183991</t>
        </is>
      </c>
      <c r="L37" s="24" t="inlineStr">
        <is>
          <t>22/10/2026</t>
        </is>
      </c>
      <c r="M37" s="24" t="inlineStr">
        <is>
          <t>22/10/2026: rodada contexto e imagens (perfil novo).</t>
        </is>
      </c>
      <c r="N37" s="24" t="inlineStr">
        <is>
          <t>pf.jpg</t>
        </is>
      </c>
      <c r="O37" s="24" t="inlineStr">
        <is>
          <t>Agência Senado · CC BY 2.0</t>
        </is>
      </c>
      <c r="P37" s="24" t="inlineStr">
        <is>
          <t>https://commons.wikimedia.org/wiki/File:Sede_da_Pol%C3%ADcia_Federal_(52830107256).jpg</t>
        </is>
      </c>
    </row>
    <row r="38">
      <c r="A38" s="24" t="inlineStr">
        <is>
          <t>angra</t>
        </is>
      </c>
      <c r="B38" s="24" t="inlineStr">
        <is>
          <t>Mansão em Angra dos Reis</t>
        </is>
      </c>
      <c r="C38" s="24" t="inlineStr">
        <is>
          <t>Casas e ativos</t>
        </is>
      </c>
      <c r="D38" s="24" t="inlineStr">
        <is>
          <t>Mansão na Ilha Comprida, em Angra dos Reis, avaliada em cerca de R$ 10 mi. Foi comprada em 2020 pela empresa de Richarlison e de seu empresário; em 2022 a posse foi transferida na Justiça à WT Administração de Imóveis, de Willer Tomaz, que diz ter pago pendências da antiga dona (M Locadora) por sub-rogação. O processo terminou em 2025, favorável a Willer. A Prime You, de que Vorcaro era sócio, administrou o imóvel, e Flávio fez lá o aniversário da filha.</t>
        </is>
      </c>
      <c r="E38" s="24" t="inlineStr">
        <is>
          <t>Ilha Comprida, Angra dos Reis (RJ)</t>
        </is>
      </c>
      <c r="F38" s="24" t="inlineStr">
        <is>
          <t>—</t>
        </is>
      </c>
      <c r="G38" s="24" t="inlineStr">
        <is>
          <t>Disputa civil encerrada em favor da WT. Em out/2026 Richarlison pediu à PF que investigue o caso; não há inquérito específico sobre o imóvel nas fontes.</t>
        </is>
      </c>
      <c r="H38" s="24" t="inlineStr">
        <is>
          <t>Bem citado</t>
        </is>
      </c>
      <c r="I38" s="24" t="inlineStr">
        <is>
          <t>—</t>
        </is>
      </c>
      <c r="J38" s="24" t="inlineStr">
        <is>
          <t>Flávio diz não ter relação com o imóvel e chamou a associação de "factualmente infundada e eleitoralmente motivada". Willer chama os antigos ocupantes de "invasores".</t>
        </is>
      </c>
      <c r="K38" s="24" t="inlineStr">
        <is>
          <t>Richarlison disputa imóvel com amigo de Flávio (poder360.com.br) https://www.poder360.com.br/justica/richarlison-briga-na-justica-com-amigo-de-flavio-bolsonaro/ | Richarlison pede apuração à PF (sbtnews.sbt.com.br) https://sbtnews.sbt.com.br/noticia/brasil/richarlison-apuracao-pf-disputa-ilha-flavio-bolsonaro | Empresas e imóveis em nome de Lídia Mazelli (iclnoticias.com.br) https://iclnoticias.com.br/domestica-preside-empresas-fraude-flavio/</t>
        </is>
      </c>
      <c r="L38" s="24" t="inlineStr">
        <is>
          <t>22/10/2026</t>
        </is>
      </c>
      <c r="M38" s="24" t="inlineStr">
        <is>
          <t>22/10/2026: rodada contexto e imagens (perfil novo).</t>
        </is>
      </c>
    </row>
    <row r="39">
      <c r="A39" s="24" t="inlineStr">
        <is>
          <t>master</t>
        </is>
      </c>
      <c r="B39" s="24" t="inlineStr">
        <is>
          <t>Banco Master</t>
        </is>
      </c>
      <c r="C39" s="24" t="inlineStr">
        <is>
          <t>Vorcaro e o Banco Master</t>
        </is>
      </c>
      <c r="D39" s="24" t="inlineStr">
        <is>
          <t>Banco de Daniel Vorcaro. Cresceu vendendo CDBs com rendimento acima do mercado, apoiados na garantia do FGC. O Banco Central decretou a liquidação extrajudicial em 18/11/2025, no dia da Operação Compliance Zero (Vorcaro foi preso na noite anterior, em Guarulhos), que apura gestão fraudulenta e venda de carteiras de crédito sem lastro. O BRB, banco público do DF, pôs cerca de R$ 12 bi no Master comprando carteiras que a investigação aponta como fraudulentas.</t>
        </is>
      </c>
      <c r="E39" s="24" t="inlineStr">
        <is>
          <t>São Paulo (SP)</t>
        </is>
      </c>
      <c r="F39" s="24" t="inlineStr">
        <is>
          <t>—</t>
        </is>
      </c>
      <c r="G39" s="24" t="inlineStr">
        <is>
          <t>Em liquidação extrajudicial pelo BC desde nov/2025. Ex-dirigentes investigados no STF (relator André Mendonça); Vorcaro preso.</t>
        </is>
      </c>
      <c r="H39" s="24" t="inlineStr">
        <is>
          <t>Investigado / alvo (sem denúncia)</t>
        </is>
      </c>
      <c r="I39" s="24" t="inlineStr">
        <is>
          <t>—</t>
        </is>
      </c>
      <c r="J39" s="24" t="inlineStr">
        <is>
          <t>—</t>
        </is>
      </c>
      <c r="K39" s="24" t="inlineStr">
        <is>
          <t>Banco Master tem liquidação decretada (bloomberglinea.com.br) https://www.bloomberglinea.com.br/negocios/banco-master-tem-liquidacao-decretada-e-daniel-vorcaro-e-preso-pela-policia-federal/ | Entenda a operação que prendeu Vorcaro (cnnbrasil.com.br) https://www.cnnbrasil.com.br/economia/mercado/entenda-operacao-que-prendeu-daniel-vorcaro-dono-do-banco-master/ | PF prende ex-presidente do BRB (timesbrasil.com.br) https://timesbrasil.com.br/brasil/operacoes-da-pf/pf-prende-paulo-henrique-costa-ex-presidente-do-brb-em-nova-fase-da-compliance-zero/</t>
        </is>
      </c>
      <c r="L39" s="24" t="inlineStr">
        <is>
          <t>22/10/2026</t>
        </is>
      </c>
      <c r="M39" s="24" t="inlineStr">
        <is>
          <t>22/10/2026: rodada contexto e imagens (perfil novo).</t>
        </is>
      </c>
      <c r="N39" s="24" t="inlineStr">
        <is>
          <t>master.png</t>
        </is>
      </c>
      <c r="O39" s="24" t="inlineStr">
        <is>
          <t>Banco Master · domínio público (logo simples, sem direito autoral)</t>
        </is>
      </c>
      <c r="P39" s="24" t="inlineStr">
        <is>
          <t>https://commons.wikimedia.org/wiki/File:Logotipo_do_Banco_Master.svg</t>
        </is>
      </c>
    </row>
    <row r="40">
      <c r="A40" s="24" t="inlineStr">
        <is>
          <t>coaf</t>
        </is>
      </c>
      <c r="B40" s="24" t="inlineStr">
        <is>
          <t>Caso rachadinha / COAF</t>
        </is>
      </c>
      <c r="C40" s="24" t="inlineStr">
        <is>
          <t>Poder e Justiça</t>
        </is>
      </c>
      <c r="D40" s="24" t="inlineStr">
        <is>
          <t>Investigação do MP-RJ sobre devolução de salários ("rachadinha") no gabinete de Flávio na Alerj. Começou com relatório do Coaf de 2018 que apontou R$ 1,2 mi em movimentações atípicas de Fabrício Queiroz. Em nov/2020 Flávio foi denunciado por peculato, lavagem e organização criminosa (desvio estimado em cerca de R$ 6 mi). O STJ anulou quebras de sigilo em fev/2021, e em 30/11/2021 a Segunda Turma do STF anulou quatro relatórios do Coaf (3 a 1, com voto de Nunes Marques).</t>
        </is>
      </c>
      <c r="E40" s="24" t="inlineStr">
        <is>
          <t>Rio de Janeiro (RJ)</t>
        </is>
      </c>
      <c r="F40" s="24" t="inlineStr">
        <is>
          <t>—</t>
        </is>
      </c>
      <c r="G40" s="24" t="inlineStr">
        <is>
          <t>Com as anulações, a denúncia original ficou sem efeito e o caso voltou praticamente à estaca zero. Flávio sempre negou irregularidades.</t>
        </is>
      </c>
      <c r="H40" s="24" t="inlineStr">
        <is>
          <t>Caso</t>
        </is>
      </c>
      <c r="I40" s="24" t="inlineStr">
        <is>
          <t>—</t>
        </is>
      </c>
      <c r="J40" s="24" t="inlineStr">
        <is>
          <t>O primeiro relatório do Coaf, sobre Queiroz, foi mantido; os anulados são os posteriores.</t>
        </is>
      </c>
      <c r="K40" s="24" t="inlineStr">
        <is>
          <t>STF anula 4 relatórios do Coaf (poder360.com.br) https://www.poder360.com.br/justica/stf-anula-4-relatorios-do-coaf-que-miravam-flavio-no-caso-das-rachadinhas/ | Segunda Turma anula provas contra Flávio (correiobraziliense.com.br) https://www.correiobraziliense.com.br/politica/2021/11/4967209-segunda-turma-anula-provas-contra-flavio-bolsonaro-no-inquerito-das-rachadinhas.html</t>
        </is>
      </c>
      <c r="L40" s="24" t="inlineStr">
        <is>
          <t>22/10/2026</t>
        </is>
      </c>
      <c r="M40" s="24" t="inlineStr">
        <is>
          <t>22/10/2026: rodada contexto e imagens (perfil novo).</t>
        </is>
      </c>
    </row>
    <row r="41">
      <c r="A41" s="24" t="inlineStr">
        <is>
          <t>jato</t>
        </is>
      </c>
      <c r="B41" s="24" t="inlineStr">
        <is>
          <t>Jato (3 cotistas)</t>
        </is>
      </c>
      <c r="C41" s="24" t="inlineStr">
        <is>
          <t>Casas e ativos</t>
        </is>
      </c>
      <c r="D41" s="24" t="inlineStr">
        <is>
          <t>Embraer Legacy 650, prefixo PP-NLR, dividido em três cotas: Alcazar Holdings (de Willer Tomaz), Prime You (de que Vorcaro era sócio) e Laerte Cosentino. Flávio voou nele com Willer em jan/2025, entre Brasília e a Flórida, segundo a piauí. Segundo O Globo, Alexandre de Moraes e a esposa também desembarcaram desse jato em ago/2025.</t>
        </is>
      </c>
      <c r="E41" s="24" t="inlineStr">
        <is>
          <t>Base no Brasil (DF/SP)</t>
        </is>
      </c>
      <c r="F41" s="24" t="inlineStr">
        <is>
          <t>—</t>
        </is>
      </c>
      <c r="G41" s="24" t="inlineStr">
        <is>
          <t>O jato aparece em inquéritos da PF sobre Willer e Flávio; não há processo sobre a aeronave em si.</t>
        </is>
      </c>
      <c r="H41" s="24" t="inlineStr">
        <is>
          <t>Bem citado</t>
        </is>
      </c>
      <c r="I41" s="24" t="inlineStr">
        <is>
          <t>—</t>
        </is>
      </c>
      <c r="J41" s="24" t="inlineStr">
        <is>
          <t>As fontes divergem sobre o registro: uma cita a Fraction 024 Administração de Bem Próprio, outra a Prime Aviation. Flávio diz que voou de carona, por amizade; Willer diz que não sabia que a Prime You era de Vorcaro.</t>
        </is>
      </c>
      <c r="K41" s="24" t="inlineStr">
        <is>
          <t>Flávio era usuário master de conta de offshore sócia do jato (maisgoias.com.br) https://www.maisgoias.com.br/brasil/flavio-bolsonaro-era-usuario-master-de-conta-de-offshore-socia-do-jato-usado-por-vorcaro/ | Moraes flagrado desembarcando do PP-NLR (diariodepernambuco.com.br) https://www.diariodepernambuco.com.br/politica/2026/09/11724483-alexandre-de-moraes-foi-flagrado-desembarcando-de-jatinho-de-vorcaro.html</t>
        </is>
      </c>
      <c r="L41" s="24" t="inlineStr">
        <is>
          <t>22/10/2026</t>
        </is>
      </c>
      <c r="M41" s="24" t="inlineStr">
        <is>
          <t>22/10/2026: rodada contexto e imagens (perfil novo).</t>
        </is>
      </c>
    </row>
    <row r="42">
      <c r="A42" s="24" t="inlineStr">
        <is>
          <t>primeu</t>
        </is>
      </c>
      <c r="B42" s="24" t="inlineStr">
        <is>
          <t>Prime U</t>
        </is>
      </c>
      <c r="C42" s="24" t="inlineStr">
        <is>
          <t>Vorcaro e o Banco Master</t>
        </is>
      </c>
      <c r="D42" s="24" t="inlineStr">
        <is>
          <t>Prime You: empresa de compartilhamento e gestão de bens de alto padrão (cotas de aviões, barcos, casas e carros). Vorcaro foi sócio até set/2025, quando a participação passou a um fundo. Administra mansões, um hotel em Campos do Jordão e jatos; era cotista do jato usado por Flávio e administrou a mansão de Angra. Segundo o Valor, pagou em 2025 um voo de R$ 1,17 mi usado por Pablo Marçal.</t>
        </is>
      </c>
      <c r="E42" s="24" t="inlineStr">
        <is>
          <t>São Paulo (SP)</t>
        </is>
      </c>
      <c r="F42" s="24" t="inlineStr">
        <is>
          <t>—</t>
        </is>
      </c>
      <c r="G42" s="24" t="inlineStr">
        <is>
          <t>Sem acusação formal contra a empresa nas fontes.</t>
        </is>
      </c>
      <c r="H42" s="24" t="inlineStr">
        <is>
          <t>Citado, sem acusação</t>
        </is>
      </c>
      <c r="I42" s="24" t="inlineStr">
        <is>
          <t>—</t>
        </is>
      </c>
      <c r="J42" s="24" t="inlineStr">
        <is>
          <t>A empresa diz que administrar um bem "não implica necessariamente propriedade direta" de Vorcaro.</t>
        </is>
      </c>
      <c r="K42" s="24" t="inlineStr">
        <is>
          <t>Mansões, hotel e jatos administrados pela Prime You (jornalgrandebahia.com.br) https://jornalgrandebahia.com.br/2026/03/ex-banqueiro-daniel-vorcaro-tem-mansoes-hotel-de-luxo-e-jatos-administrados-pela-prime-you-empresa-da-qual-foi-socio/ | Empresa de Vorcaro pagou voo de Marçal (gp1.com.br) https://www.gp1.com.br/brasil/noticia/2026/10/2/empresa-ligada-a-daniel-vorcaro-pagou-voo-de-r-117-milhao-usado-por-pablo-marcal-633016.html</t>
        </is>
      </c>
      <c r="L42" s="24" t="inlineStr">
        <is>
          <t>22/10/2026</t>
        </is>
      </c>
      <c r="M42" s="24" t="inlineStr">
        <is>
          <t>22/10/2026: rodada contexto e imagens (perfil novo).</t>
        </is>
      </c>
    </row>
    <row r="43">
      <c r="A43" s="24" t="inlineStr">
        <is>
          <t>alcazar</t>
        </is>
      </c>
      <c r="B43" s="24" t="inlineStr">
        <is>
          <t>Alcazar Holdings</t>
        </is>
      </c>
      <c r="C43" s="24" t="inlineStr">
        <is>
          <t>Willer Tomaz e sua rede</t>
        </is>
      </c>
      <c r="D43" s="24" t="inlineStr">
        <is>
          <t>Offshore registrada na Ilha da Madeira (Portugal) em 2023, que tem Willer Tomaz como único sócio. É cotista do jato PP-NLR e tinha conta no Santander em que, segundo a PF, Flávio aparecia como "usuário master"; a conta teria movimentado cerca de R$ 130 mi entre mar e mai/2025. Divide dono, administrador e endereço no Funchal com a Cathedral Holdings, dona da Best Bet.</t>
        </is>
      </c>
      <c r="E43" s="24" t="inlineStr">
        <is>
          <t>Funchal, Ilha da Madeira (Portugal)</t>
        </is>
      </c>
      <c r="F43" s="24" t="inlineStr">
        <is>
          <t>—</t>
        </is>
      </c>
      <c r="G43" s="24" t="inlineStr">
        <is>
          <t>Citada no inquérito da PF enviado ao STF em out/2026 (relator Alexandre de Moraes) sobre suspeita de lavagem envolvendo Flávio e Willer.</t>
        </is>
      </c>
      <c r="H43" s="24" t="inlineStr">
        <is>
          <t>Investigado / alvo (sem denúncia)</t>
        </is>
      </c>
      <c r="I43" s="24" t="inlineStr">
        <is>
          <t>—</t>
        </is>
      </c>
      <c r="J43" s="24" t="inlineStr">
        <is>
          <t>Willer atribui o vínculo de Flávio à conta a um erro cadastral do Santander, já corrigido. Flávio nega ter tido conta com Willer.</t>
        </is>
      </c>
      <c r="K43" s="24" t="inlineStr">
        <is>
          <t>Flávio era usuário master de conta de offshore (maisgoias.com.br) https://www.maisgoias.com.br/brasil/flavio-bolsonaro-era-usuario-master-de-conta-de-offshore-socia-do-jato-usado-por-vorcaro/ | Offshore ligada a Flávio e o mercado de bets (jornalopcao.com.br) https://www.jornalopcao.com.br/ultimas-noticias/offshore-ligada-a-flavio-bolsonaro-reune-conexoes-com-o-mercado-de-bets-879306/ | Segundo inquérito contra Flávio no STF (oliberal.com) https://www.oliberal.com/politica/flavio-e-investigado-em-2-inquerito-no-stf-para-apurar-suspeitas-de-lavagem-com-advogado-1.1183991</t>
        </is>
      </c>
      <c r="L43" s="24" t="inlineStr">
        <is>
          <t>22/10/2026</t>
        </is>
      </c>
      <c r="M43" s="24" t="inlineStr">
        <is>
          <t>22/10/2026: rodada contexto e imagens (perfil novo).</t>
        </is>
      </c>
    </row>
    <row r="44">
      <c r="A44" s="24" t="inlineStr">
        <is>
          <t>wt</t>
        </is>
      </c>
      <c r="B44" s="24" t="inlineStr">
        <is>
          <t>WT (e outras 13 empresas)</t>
        </is>
      </c>
      <c r="C44" s="24" t="inlineStr">
        <is>
          <t>Willer Tomaz e sua rede</t>
        </is>
      </c>
      <c r="D44" s="24" t="inlineStr">
        <is>
          <t>WT Administração de Imóveis e Bens, empresa de Willer Tomaz. Ficou com a mansão de Angra e comprou de Fabiano Zettel um apartamento em SP. É uma de cerca de 14 empresas ligadas a Willer (Jet Line, Ícaro Aviation, Friponor, RioPag/Capital Pretium, Alcazar etc.) que tiveram Lídia Mazelli como diretora; a WT até jul/2024. A PF diz que Weverton Rocha mora numa casa de R$ 6 mi registrada na WT.</t>
        </is>
      </c>
      <c r="E44" s="24" t="inlineStr">
        <is>
          <t>Brasília (DF)</t>
        </is>
      </c>
      <c r="F44" s="24" t="inlineStr">
        <is>
          <t>—</t>
        </is>
      </c>
      <c r="G44" s="24" t="inlineStr">
        <is>
          <t>Citada na Operação Sem Desconto (ago/2026). Willer diz que os negócios da imobiliária são regulares.</t>
        </is>
      </c>
      <c r="H44" s="24" t="inlineStr">
        <is>
          <t>Investigado / alvo (sem denúncia)</t>
        </is>
      </c>
      <c r="I44" s="24" t="inlineStr">
        <is>
          <t>—</t>
        </is>
      </c>
      <c r="J44" s="24" t="inlineStr">
        <is>
          <t>A reportagem do ICL fala em 14 empresas, mas nomeia 13.</t>
        </is>
      </c>
      <c r="K44" s="24" t="inlineStr">
        <is>
          <t>Doméstica preside no papel empresas de Willer (iclnoticias.com.br) https://iclnoticias.com.br/domestica-preside-empresas-fraude-flavio/ | Apartamento usado por Flávio foi vendido à WT (diariodocomercio.com.br) https://diariodocomercio.com.br/politica/flavio-bolsonaro-apartamento-pf/ | Nova fase da Sem Desconto (congressoemfoco.com.br) https://www.congressoemfoco.com.br/noticia/120986/fraudes-no-inss-pf-mira-weverton-rocha-e-advogado-willer-tomaz</t>
        </is>
      </c>
      <c r="L44" s="24" t="inlineStr">
        <is>
          <t>22/10/2026</t>
        </is>
      </c>
      <c r="M44" s="24" t="inlineStr">
        <is>
          <t>22/10/2026: rodada contexto e imagens (perfil novo).</t>
        </is>
      </c>
    </row>
    <row r="45">
      <c r="A45" s="24" t="inlineStr">
        <is>
          <t>iter</t>
        </is>
      </c>
      <c r="B45" s="24" t="inlineStr">
        <is>
          <t>Instituto ITER</t>
        </is>
      </c>
      <c r="C45" s="24" t="inlineStr">
        <is>
          <t>Poder e Justiça</t>
        </is>
      </c>
      <c r="D45" s="24" t="inlineStr">
        <is>
          <t>Instituto de ensino jurídico em São Paulo de que André Mendonça era sócio. Recebeu ao menos 52 contratos sem licitação de prefeituras, estados e tribunais (R$ 8,2 mi em dois anos, segundo a Revista Fórum), entre eles o governo de SP (R$ 1,6 mi), a Prefeitura de SP (R$ 380 mil) e o governo do RJ (R$ 518 mil). Em jan/2026 recebeu R$ 5,2 mi de empresa de um ex-parceiro de negócios de Vorcaro. Mendonça recebeu Vorcaro na sede do instituto em 14/03/2025.</t>
        </is>
      </c>
      <c r="E45" s="24" t="inlineStr">
        <is>
          <t>São Paulo (SP)</t>
        </is>
      </c>
      <c r="F45" s="24" t="inlineStr">
        <is>
          <t>—</t>
        </is>
      </c>
      <c r="G45" s="24" t="inlineStr">
        <is>
          <t>Alvo de representações de parlamentares do PSOL ao TCM-SP, ao TCE-SP e ao MP-SP (set/2026). Mendonça anunciou que deixaria a sociedade.</t>
        </is>
      </c>
      <c r="H45" s="24" t="inlineStr">
        <is>
          <t>Citado, sem acusação</t>
        </is>
      </c>
      <c r="I45" s="24" t="inlineStr">
        <is>
          <t>—</t>
        </is>
      </c>
      <c r="J45" s="24" t="inlineStr">
        <is>
          <t>Os levantamentos de contratos (52 e R$ 8,2 mi; 55 e R$ 10,8 mi) são recortes diferentes e não se somam.</t>
        </is>
      </c>
      <c r="K45" s="24" t="inlineStr">
        <is>
          <t>Instituto de Mendonça é alvo de representações (apublica.org) https://apublica.org/nota/instituto-de-andre-mendonca-e-alvo-de-representacoes-para-investigar-irregularidades/ | Ex-parceiro de Vorcaro pôs R$ 5 mi no instituto (noticias.uol.com.br) https://noticias.uol.com.br/ultimas-noticias/redacao/2026/09/17/ex-parceiro-de-vorcaro-pos-r-5-milhoes-em-instituto-de-mendonca.htm | Mendonça diz que deixará sociedade (dgabc.com.br) https://www.dgabc.com.br/Noticia/4344940/mendonca-diz-que-deixara-sociedade-no-instituto-iter</t>
        </is>
      </c>
      <c r="L45" s="24" t="inlineStr">
        <is>
          <t>22/10/2026</t>
        </is>
      </c>
      <c r="M45" s="24" t="inlineStr">
        <is>
          <t>22/10/2026: rodada contexto e imagens (perfil novo).</t>
        </is>
      </c>
    </row>
    <row r="46">
      <c r="A46" s="24" t="inlineStr">
        <is>
          <t>triplex</t>
        </is>
      </c>
      <c r="B46" s="24" t="inlineStr">
        <is>
          <t>Triplex de Vorcaro</t>
        </is>
      </c>
      <c r="C46" s="24" t="inlineStr">
        <is>
          <t>Casas e ativos</t>
        </is>
      </c>
      <c r="D46" s="24" t="inlineStr">
        <is>
          <t>Apartamento de Daniel Vorcaro no Itaim Bibi, em São Paulo. Segundo a piauí, com base em relatos de promoters e mensagens, recebia às quartas e quintas festas fechadas com garotas de programa. A reportagem cita entre os frequentadores o ministro Nunes Marques e o filho Kevin, e o ex-ministro Fábio Faria.</t>
        </is>
      </c>
      <c r="E46" s="24" t="inlineStr">
        <is>
          <t>Itaim Bibi, São Paulo (SP)</t>
        </is>
      </c>
      <c r="F46" s="24" t="inlineStr">
        <is>
          <t>—</t>
        </is>
      </c>
      <c r="G46" s="24" t="inlineStr">
        <is>
          <t>Não há processo sobre o imóvel nas fontes. As festas aparecem em mensagens obtidas pela PF e em reportagens.</t>
        </is>
      </c>
      <c r="H46" s="24" t="inlineStr">
        <is>
          <t>Bem citado</t>
        </is>
      </c>
      <c r="I46" s="24" t="inlineStr">
        <is>
          <t>—</t>
        </is>
      </c>
      <c r="J46" s="24" t="inlineStr">
        <is>
          <t>O gabinete de Nunes Marques nega contato com Vorcaro. Os relatos não foram verificados de forma independente pela imprensa que os reproduziu.</t>
        </is>
      </c>
      <c r="K46" s="24" t="inlineStr">
        <is>
          <t>A semana de festas fechadas de Vorcaro (diariodepernambuco.com.br) https://www.diariodepernambuco.com.br/politica/2026/10/11725610-terca-no-bar-quarta-e-quinta-no-triplex-a-semana-de-festas-fechadas-de-vorcaro.html | Vorcaro coordenou noitada para Nunes Marques (diariodepernambuco.com.br) https://www.diariodepernambuco.com.br/politica/2026/10/11726793-vorcaro-coordenou-noitada-em-triplex-para-ministro-kassio-nunes-marques.html</t>
        </is>
      </c>
      <c r="L46" s="24" t="inlineStr">
        <is>
          <t>22/10/2026</t>
        </is>
      </c>
      <c r="M46" s="24" t="inlineStr">
        <is>
          <t>22/10/2026: rodada contexto e imagens (perfil novo).</t>
        </is>
      </c>
    </row>
    <row r="47">
      <c r="A47" s="24" t="inlineStr">
        <is>
          <t>tarcisio</t>
        </is>
      </c>
      <c r="B47" s="24" t="inlineStr">
        <is>
          <t>Tarcísio de Freitas</t>
        </is>
      </c>
      <c r="C47" s="24" t="inlineStr">
        <is>
          <t>Poder e Justiça</t>
        </is>
      </c>
      <c r="D47" s="24" t="inlineStr">
        <is>
          <t>Governador de São Paulo (Republicanos) desde 2023 e ex-ministro da Infraestrutura de Jair Bolsonaro. Na campanha de 2022 recebeu R$ 2 mi de Fabiano Zettel, cunhado de Vorcaro, a maior doação de pessoa física. O governo dele contratou o Instituto ITER, de Mendonça, sem licitação (R$ 1,6 mi), e ele financiou 24% da campanha do deputado Cezinha de Madureira.</t>
        </is>
      </c>
      <c r="E47" s="24" t="inlineStr">
        <is>
          <t>São Paulo (SP)</t>
        </is>
      </c>
      <c r="F47" s="24" t="inlineStr">
        <is>
          <t>Vivo</t>
        </is>
      </c>
      <c r="G47" s="24" t="inlineStr">
        <is>
          <t>Não há investigação contra ele nas fontes.</t>
        </is>
      </c>
      <c r="H47" s="24" t="inlineStr">
        <is>
          <t>Citado, sem acusação</t>
        </is>
      </c>
      <c r="I47" s="24" t="inlineStr">
        <is>
          <t>Nada nas fontes.</t>
        </is>
      </c>
      <c r="J47" s="24" t="inlineStr">
        <is>
          <t>O governo de SP diz que a campanha seguiu a lei, teve mais de 600 doadores e contas aprovadas, e que Tarcísio não tem vínculo com Zettel.</t>
        </is>
      </c>
      <c r="K47" s="24" t="inlineStr">
        <is>
          <t>Alvo da PF doou R$ 5 mi a Bolsonaro e Tarcísio (cnnbrasil.com.br) https://www.cnnbrasil.com.br/politica/alvo-da-pf-doou-r-5-mi-para-campanhas-de-bolsonaro-e-tarcisio-em-2022/ | Contratos do ITER com governos (apublica.org) https://apublica.org/nota/instituto-de-andre-mendonca-e-alvo-de-representacoes-para-investigar-irregularidades/ | Financiamento da campanha de Cezinha (iclnoticias.com.br) https://iclnoticias.com.br/tarcisio-campanha-deputado-mendonca-vorcaro/</t>
        </is>
      </c>
      <c r="L47" s="24" t="inlineStr">
        <is>
          <t>22/10/2026</t>
        </is>
      </c>
      <c r="M47" s="24" t="inlineStr">
        <is>
          <t>22/10/2026: rodada contexto e imagens (perfil novo).</t>
        </is>
      </c>
      <c r="N47" s="24" t="inlineStr">
        <is>
          <t>tarcisio.jpg</t>
        </is>
      </c>
      <c r="O47" s="24" t="inlineStr">
        <is>
          <t>Ciete Silvério/Governo do Estado de SP · CC BY 2.0</t>
        </is>
      </c>
      <c r="P47" s="24" t="inlineStr">
        <is>
          <t>https://commons.wikimedia.org/wiki/File:Governador_do_Estado_de_S%C3%A3o_Paulo,_Tarc%C3%ADsio_de_Freitas_-_Foto_Oficial.jpg</t>
        </is>
      </c>
    </row>
    <row r="48">
      <c r="A48" s="24" t="inlineStr">
        <is>
          <t>castro</t>
        </is>
      </c>
      <c r="B48" s="24" t="inlineStr">
        <is>
          <t>Cláudio Castro</t>
        </is>
      </c>
      <c r="C48" s="24" t="inlineStr">
        <is>
          <t>Poder e Justiça</t>
        </is>
      </c>
      <c r="D48" s="24" t="inlineStr">
        <is>
          <t>Ex-governador do Rio de Janeiro (PL), no cargo de 2021 a mar/2026. O governo dele contratou o ITER, de Mendonça (R$ 518 mil), e nomeou Hazenclever Cançado para a Loterj, que licenciou a Best Bet e contratou a RioPag. Renunciou em 23/03/2026 e foi tornado inelegível pelo TSE no dia seguinte. Em mai/2026 desistiu de concorrer ao Senado, depois de ser citado em fase da Operação Compliance Zero sobre aportes do Rio Previdência no Master.</t>
        </is>
      </c>
      <c r="E48" s="24" t="inlineStr">
        <is>
          <t>Rio de Janeiro (RJ)</t>
        </is>
      </c>
      <c r="F48" s="24" t="inlineStr">
        <is>
          <t>Vivo</t>
        </is>
      </c>
      <c r="G48" s="24" t="inlineStr">
        <is>
          <t>Inelegível até 2030 por abuso de poder político e econômico na eleição de 2022 (TSE, 5 a 2, 24/03/2026); disse que recorreria. Mendonça escreveu que há indícios, "em tese", de vínculo próximo dele com Vorcaro.</t>
        </is>
      </c>
      <c r="H48" s="24" t="inlineStr">
        <is>
          <t>Investigado / alvo (sem denúncia)</t>
        </is>
      </c>
      <c r="I48" s="24" t="inlineStr">
        <is>
          <t>Nada nas fontes.</t>
        </is>
      </c>
      <c r="J48" s="24" t="inlineStr">
        <is>
          <t>—</t>
        </is>
      </c>
      <c r="K48" s="24" t="inlineStr">
        <is>
          <t>TSE torna Castro inelegível (jovempan.com.br) https://jovempan.com.br/politica/tse-forma-maioria-para-tornar-castro-inelegivel-por-8-anos/ | Castro desiste do Senado após operações (oantagonista.com.br) https://oantagonista.com.br/brasil/claudio-castro-comunica-ao-pl-desistencia-de-candidatura-ao-senado-apos-operacoes/ | Mendonça votou a favor de Castro 4 vezes (iclnoticias.com.br) https://iclnoticias.com.br/mendonca-votou-a-favor-de-castro-4-vezes/</t>
        </is>
      </c>
      <c r="L48" s="24" t="inlineStr">
        <is>
          <t>22/10/2026</t>
        </is>
      </c>
      <c r="M48" s="24" t="inlineStr">
        <is>
          <t>22/10/2026: rodada contexto e imagens (perfil novo).</t>
        </is>
      </c>
      <c r="N48" s="24" t="inlineStr">
        <is>
          <t>castro.jpg</t>
        </is>
      </c>
      <c r="O48" s="24" t="inlineStr">
        <is>
          <t>Alan Santos/PR · CC BY 2.0</t>
        </is>
      </c>
      <c r="P48" s="24" t="inlineStr">
        <is>
          <t>https://commons.wikimedia.org/wiki/File:Cl%C3%A1udio_Castro,_governador_do_Rio_de_Janeiro.jpg</t>
        </is>
      </c>
    </row>
    <row r="49">
      <c r="A49" s="24" t="inlineStr">
        <is>
          <t>moraes</t>
        </is>
      </c>
      <c r="B49" s="24" t="inlineStr">
        <is>
          <t>Alexandre de Moraes</t>
        </is>
      </c>
      <c r="C49" s="24" t="inlineStr">
        <is>
          <t>Poder e Justiça</t>
        </is>
      </c>
      <c r="D49" s="24" t="inlineStr">
        <is>
          <t>Ministro do STF desde 2017 e ex-presidente do TSE. É relator do segundo inquérito da PF contra Flávio Bolsonaro, sobre suspeita de lavagem com Willer Tomaz (out/2026). Segundo O Globo, ele e a esposa, a advogada Viviane Barci, desembarcaram em ago/2025 do jato PP-NLR, o mesmo usado por Flávio. O escritório dela tinha contratos com o Banco Master. A PF diz que Fábio Faria intermediou contatos entre Vorcaro e Moraes.</t>
        </is>
      </c>
      <c r="E49" s="24" t="inlineStr">
        <is>
          <t>Brasília (DF)</t>
        </is>
      </c>
      <c r="F49" s="24" t="inlineStr">
        <is>
          <t>Vivo</t>
        </is>
      </c>
      <c r="G49" s="24" t="inlineStr">
        <is>
          <t>Não é investigado nas fontes. O PGR Paulo Gonet sustenta que Mendonça o investigou antes de aval do plenário.</t>
        </is>
      </c>
      <c r="H49" s="24" t="inlineStr">
        <is>
          <t>Citado, sem acusação</t>
        </is>
      </c>
      <c r="I49" s="24" t="inlineStr">
        <is>
          <t>Nada nas fontes.</t>
        </is>
      </c>
      <c r="J49" s="24" t="inlineStr">
        <is>
          <t>Moraes tinha dito que nunca viajou em aviões de Vorcaro e nega que tenha existido o acordo de pagamento em cotas de jato citado pela PF.</t>
        </is>
      </c>
      <c r="K49" s="24" t="inlineStr">
        <is>
          <t>Moraes flagrado desembarcando de jatinho de Vorcaro (diariodepernambuco.com.br) https://www.diariodepernambuco.com.br/politica/2026/09/11724483-alexandre-de-moraes-foi-flagrado-desembarcando-de-jatinho-de-vorcaro.html | Segundo inquérito contra Flávio no STF (oliberal.com) https://www.oliberal.com/politica/flavio-e-investigado-em-2-inquerito-no-stf-para-apurar-suspeitas-de-lavagem-com-advogado-1.1183991 | Gonet diz que Mendonça investigou Moraes (iclnoticias.com.br) https://iclnoticias.com.br/gonet-diz-que-mendonca-investigou-moraes/</t>
        </is>
      </c>
      <c r="L49" s="24" t="inlineStr">
        <is>
          <t>22/10/2026</t>
        </is>
      </c>
      <c r="M49" s="24" t="inlineStr">
        <is>
          <t>22/10/2026: rodada contexto e imagens (perfil novo).</t>
        </is>
      </c>
      <c r="N49" s="24" t="inlineStr">
        <is>
          <t>moraes.jpg</t>
        </is>
      </c>
      <c r="O49" s="24" t="inlineStr">
        <is>
          <t>Isac Nóbrega · CC BY 2.0</t>
        </is>
      </c>
      <c r="P49" s="24" t="inlineStr">
        <is>
          <t>https://commons.wikimedia.org/wiki/File:Ministro_Alexandre_de_Moraes_como_presidente_do_TSE.jpg</t>
        </is>
      </c>
    </row>
    <row r="50">
      <c r="A50" s="24" t="inlineStr">
        <is>
          <t>rnunes</t>
        </is>
      </c>
      <c r="B50" s="24" t="inlineStr">
        <is>
          <t>Ricardo Nunes</t>
        </is>
      </c>
      <c r="C50" s="24" t="inlineStr">
        <is>
          <t>Poder e Justiça</t>
        </is>
      </c>
      <c r="D50" s="24" t="inlineStr">
        <is>
          <t>Prefeito de São Paulo (MDB) desde 2021, reeleito em 2024. A prefeitura contratou o ITER, de Mendonça (R$ 380 mil). Segundo o ICL, o irmão do ministro, Alexandre de Almeida Mendonça, chegou a secretário-executivo da SP Regula em jun/2026, por portaria de Nunes, depois de Mendonça votar na direção defendida pela prefeitura no caso das concessões funerárias no STF.</t>
        </is>
      </c>
      <c r="E50" s="24" t="inlineStr">
        <is>
          <t>São Paulo (SP)</t>
        </is>
      </c>
      <c r="F50" s="24" t="inlineStr">
        <is>
          <t>Vivo</t>
        </is>
      </c>
      <c r="G50" s="24" t="inlineStr">
        <is>
          <t>Não há investigação contra ele nas fontes.</t>
        </is>
      </c>
      <c r="H50" s="24" t="inlineStr">
        <is>
          <t>Citado, sem acusação</t>
        </is>
      </c>
      <c r="I50" s="24" t="inlineStr">
        <is>
          <t>Nada nas fontes.</t>
        </is>
      </c>
      <c r="J50" s="24" t="inlineStr">
        <is>
          <t>A prefeitura diz que não houve promoção (mesmo nível, mesma remuneração), que a mudança veio mais de um ano após o voto e chama a insinuação de "irresponsável e sem fundamento".</t>
        </is>
      </c>
      <c r="K50" s="24" t="inlineStr">
        <is>
          <t>Irmão de Mendonça foi promovido por Nunes (iclnoticias.com.br) https://iclnoticias.com.br/irmao-de-mendonca-foi-promovido-por-nunes/ | Contratos do ITER (apublica.org) https://apublica.org/nota/instituto-de-andre-mendonca-e-alvo-de-representacoes-para-investigar-irregularidades/</t>
        </is>
      </c>
      <c r="L50" s="24" t="inlineStr">
        <is>
          <t>22/10/2026</t>
        </is>
      </c>
      <c r="M50" s="24" t="inlineStr">
        <is>
          <t>22/10/2026: rodada contexto e imagens (perfil novo).</t>
        </is>
      </c>
      <c r="N50" s="24" t="inlineStr">
        <is>
          <t>rnunes.jpg</t>
        </is>
      </c>
      <c r="O50" s="24" t="inlineStr">
        <is>
          <t>Celso Silva/Governo do Estado de SP · CC BY 2.0</t>
        </is>
      </c>
      <c r="P50" s="24" t="inlineStr">
        <is>
          <t>https://commons.wikimedia.org/wiki/File:Ricardo_Nunes,_December_2024.jpg</t>
        </is>
      </c>
    </row>
    <row r="51">
      <c r="A51" s="24" t="inlineStr">
        <is>
          <t>cezinha</t>
        </is>
      </c>
      <c r="B51" s="24" t="inlineStr">
        <is>
          <t>Cezinha de Madureira</t>
        </is>
      </c>
      <c r="C51" s="24" t="inlineStr">
        <is>
          <t>Poder e Justiça</t>
        </is>
      </c>
      <c r="D51" s="24" t="inlineStr">
        <is>
          <t>Deputado federal por São Paulo, no terceiro mandato, e liderança da Assembleia de Deus Ministério de Madureira. Mensagens obtidas pela PF mostram que ele e o advogado Ciro Rocha Soares articularam os encontros de Vorcaro com Mendonça em fev e mar/2025; em 13/03/2025 marcou a reunião do dia seguinte, na sede do ITER. Tarcísio financiou 24% da campanha dele.</t>
        </is>
      </c>
      <c r="E51" s="24" t="inlineStr">
        <is>
          <t>São Paulo (SP); mandato em Brasília</t>
        </is>
      </c>
      <c r="F51" s="24" t="inlineStr">
        <is>
          <t>Vivo</t>
        </is>
      </c>
      <c r="G51" s="24" t="inlineStr">
        <is>
          <t>Alvo de operação autorizada pelo ministro Flávio Dino (2026). Sem denúncia nas fontes.</t>
        </is>
      </c>
      <c r="H51" s="24" t="inlineStr">
        <is>
          <t>Investigado / alvo (sem denúncia)</t>
        </is>
      </c>
      <c r="I51" s="24" t="inlineStr">
        <is>
          <t>Nada nas fontes.</t>
        </is>
      </c>
      <c r="J51" s="24" t="inlineStr">
        <is>
          <t>As reportagens não trazem resposta dele.</t>
        </is>
      </c>
      <c r="K51"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 | Operação de Dino e afastamento na PF (iclnoticias.com.br) https://iclnoticias.com.br/mendonca-cesinha-madureira-vorcaro-dino/</t>
        </is>
      </c>
      <c r="L51" s="24" t="inlineStr">
        <is>
          <t>22/10/2026</t>
        </is>
      </c>
      <c r="M51" s="24" t="inlineStr">
        <is>
          <t>22/10/2026: rodada contexto e imagens (perfil novo).</t>
        </is>
      </c>
      <c r="N51" s="24" t="inlineStr">
        <is>
          <t>cezinha.jpg</t>
        </is>
      </c>
      <c r="O51" s="24" t="inlineStr">
        <is>
          <t>Câmara dos Deputados · CC BY-SA 4.0</t>
        </is>
      </c>
      <c r="P51" s="24" t="inlineStr">
        <is>
          <t>https://commons.wikimedia.org/wiki/File:Cezinha_de_Madureira.jpg</t>
        </is>
      </c>
    </row>
    <row r="52">
      <c r="A52" s="24" t="inlineStr">
        <is>
          <t>cancado</t>
        </is>
      </c>
      <c r="B52" s="24" t="inlineStr">
        <is>
          <t>Hazenclever Cançado</t>
        </is>
      </c>
      <c r="C52" s="24" t="inlineStr">
        <is>
          <t>Poder e Justiça</t>
        </is>
      </c>
      <c r="D52" s="24" t="inlineStr">
        <is>
          <t>Hazenclever Lopes Cançado, advogado e servidor federal, ex-assessor do senador Magno Malta. Foi nomeado presidente da Loterj por Cláudio Castro em jul/2022 e, nessa função, assinou em 25/05/2023 a licença da Rede Loto (Best Bet), a primeira bet autorizada pelo estado.</t>
        </is>
      </c>
      <c r="E52" s="24" t="inlineStr">
        <is>
          <t>Rio de Janeiro (RJ)</t>
        </is>
      </c>
      <c r="F52" s="24" t="inlineStr">
        <is>
          <t>Vivo</t>
        </is>
      </c>
      <c r="G52" s="24" t="inlineStr">
        <is>
          <t>Não há investigação contra ele nas fontes.</t>
        </is>
      </c>
      <c r="H52" s="24" t="inlineStr">
        <is>
          <t>Citado, sem acusação</t>
        </is>
      </c>
      <c r="I52" s="24" t="inlineStr">
        <is>
          <t>Nada nas fontes.</t>
        </is>
      </c>
      <c r="J52" s="24" t="inlineStr">
        <is>
          <t>A indicação dele por Flávio é atribuída à Folha ("teria"). Ele não comentou até a publicação das reportagens.</t>
        </is>
      </c>
      <c r="K52" s="24" t="inlineStr">
        <is>
          <t>Loterj tem novo presidente (bnldata.com.br) https://bnldata.com.br/?p=105308 | Bet de investigado pagou voos de Flávio (diariodepernambuco.com.br) https://www.diariodepernambuco.com.br/politica/2026/10/11726788-bet-de-investigado-por-fraude-no-inss-pagou-voos-de-flavio-bolsonaro-na-europa-aponta-pf.html</t>
        </is>
      </c>
      <c r="L52" s="24" t="inlineStr">
        <is>
          <t>22/10/2026</t>
        </is>
      </c>
      <c r="M52" s="24" t="inlineStr">
        <is>
          <t>22/10/2026: rodada contexto e imagens (perfil novo).</t>
        </is>
      </c>
    </row>
    <row r="53">
      <c r="A53" s="24" t="inlineStr">
        <is>
          <t>motta</t>
        </is>
      </c>
      <c r="B53" s="24" t="inlineStr">
        <is>
          <t>Hugo Motta</t>
        </is>
      </c>
      <c r="C53" s="24" t="inlineStr">
        <is>
          <t>Vorcaro e o Banco Master</t>
        </is>
      </c>
      <c r="D53" s="24" t="inlineStr">
        <is>
          <t>Deputado federal pela Paraíba (Republicanos) e presidente da Câmara desde fev/2025. Integrava com Vorcaro, Ciro Nogueira e Fábio Faria um grupo de mensagens criado em abr/2024 para combinar jantares, viagens e encontros; as últimas mensagens são da noite da prisão de Vorcaro (17/11/2025). Segundo a reportagem, Ciro o apresentou a Vorcaro para uma possível sociedade num terreno em João Pessoa.</t>
        </is>
      </c>
      <c r="E53" s="24" t="inlineStr">
        <is>
          <t>Paraíba (PB); mandato em Brasília</t>
        </is>
      </c>
      <c r="F53" s="24" t="inlineStr">
        <is>
          <t>Vivo</t>
        </is>
      </c>
      <c r="G53" s="24" t="inlineStr">
        <is>
          <t>Não é investigado nas fontes.</t>
        </is>
      </c>
      <c r="H53" s="24" t="inlineStr">
        <is>
          <t>Citado, sem acusação</t>
        </is>
      </c>
      <c r="I53" s="24" t="inlineStr">
        <is>
          <t>Nada nas fontes.</t>
        </is>
      </c>
      <c r="J53" s="24" t="inlineStr">
        <is>
          <t>A assessoria de Motta disse que não se pronunciaria.</t>
        </is>
      </c>
      <c r="K53" s="24" t="inlineStr">
        <is>
          <t>Grupo com Motta, Ciro e Faria organizava encontros (gazetadopovo.com.br) https://www.gazetadopovo.com.br/republica/vorcaro-grupo-motta-ciro-nogueira-fabio-faria-organizar-encontros/ | Vorcaro cita encontros com Hugo Motta (poder360.com.br) https://www.poder360.com.br/poder-economia/vorcaro-cita-encontros-com-hugo-motta-e-elogia-emenda-de-ciro-nogueira/</t>
        </is>
      </c>
      <c r="L53" s="24" t="inlineStr">
        <is>
          <t>22/10/2026</t>
        </is>
      </c>
      <c r="M53" s="24" t="inlineStr">
        <is>
          <t>22/10/2026: rodada contexto e imagens (perfil novo).</t>
        </is>
      </c>
      <c r="N53" s="24" t="inlineStr">
        <is>
          <t>motta.jpg</t>
        </is>
      </c>
      <c r="O53" s="24" t="inlineStr">
        <is>
          <t>Gilclécio Lucena · CC BY 4.0</t>
        </is>
      </c>
      <c r="P53" s="24" t="inlineStr">
        <is>
          <t>https://commons.wikimedia.org/wiki/File:Deputado_Federal_Hugo_Motta_(cropped).jpg</t>
        </is>
      </c>
    </row>
    <row r="54">
      <c r="A54" s="24" t="inlineStr">
        <is>
          <t>marcal</t>
        </is>
      </c>
      <c r="B54" s="24" t="inlineStr">
        <is>
          <t>Pablo Marçal</t>
        </is>
      </c>
      <c r="C54" s="24" t="inlineStr">
        <is>
          <t>Vorcaro e o Banco Master</t>
        </is>
      </c>
      <c r="D54" s="24" t="inlineStr">
        <is>
          <t>Empresário e influenciador, ex-coach; foi candidato a prefeito de São Paulo em 2024. Segundo o Valor, com base em mensagens do celular de Vorcaro, a Prime You pagou um voo de R$ 1,17 mi de São Paulo a Nova York usado por ele entre mai e jun/2025.</t>
        </is>
      </c>
      <c r="E54" s="24" t="inlineStr">
        <is>
          <t>São Paulo (SP)</t>
        </is>
      </c>
      <c r="F54" s="24" t="inlineStr">
        <is>
          <t>Vivo</t>
        </is>
      </c>
      <c r="G54" s="24" t="inlineStr">
        <is>
          <t>Não é investigado no caso Master nas fontes.</t>
        </is>
      </c>
      <c r="H54" s="24" t="inlineStr">
        <is>
          <t>Citado, sem acusação</t>
        </is>
      </c>
      <c r="I54" s="24" t="inlineStr">
        <is>
          <t>Nada nas fontes.</t>
        </is>
      </c>
      <c r="J54" s="24" t="inlineStr">
        <is>
          <t>Marçal confirmou o voo e disse que se ofereceu para pagar; segundo ele, Vorcaro sugeriu que testasse o avião antes de comprar um parecido.</t>
        </is>
      </c>
      <c r="K54" s="24" t="inlineStr">
        <is>
          <t>Empresa de Vorcaro pagou voo de Marçal (gp1.com.br) https://www.gp1.com.br/brasil/noticia/2026/10/2/empresa-ligada-a-daniel-vorcaro-pagou-voo-de-r-117-milhao-usado-por-pablo-marcal-633016.html | Vorcaro bancou voo e mandou ocultar valor (revistaforum.com.br) https://revistaforum.com.br/politica/vorcaro-voo-pablo-marcal/</t>
        </is>
      </c>
      <c r="L54" s="24" t="inlineStr">
        <is>
          <t>22/10/2026</t>
        </is>
      </c>
      <c r="M54" s="24" t="inlineStr">
        <is>
          <t>22/10/2026: rodada contexto e imagens (perfil novo).</t>
        </is>
      </c>
      <c r="N54" s="24" t="inlineStr">
        <is>
          <t>marcal.jpg</t>
        </is>
      </c>
      <c r="O54" s="24" t="inlineStr">
        <is>
          <t>TV Brasil Central · CC BY 3.0</t>
        </is>
      </c>
      <c r="P54" s="24" t="inlineStr">
        <is>
          <t>https://commons.wikimedia.org/wiki/File:Pablo_Mar%C3%A7al_(cropped).png</t>
        </is>
      </c>
    </row>
    <row r="55">
      <c r="A55" s="24" t="inlineStr">
        <is>
          <t>bianco</t>
        </is>
      </c>
      <c r="B55" s="24" t="inlineStr">
        <is>
          <t>Bruno Bianco Leal</t>
        </is>
      </c>
      <c r="C55" s="24" t="inlineStr">
        <is>
          <t>Poder e Justiça</t>
        </is>
      </c>
      <c r="D55" s="24" t="inlineStr">
        <is>
          <t>Advogado-geral da União de ago/2021 a jan/2023, sucessor de Mendonça no governo Jair Bolsonaro. Depois atuou na iniciativa privada ligado ao Banco Master e passou a integrar a defesa de Vorcaro. Mensagens mostram o advogado Ciro Rocha Soares pedindo que ele fosse convidado para a reunião com Mendonça de 19/02/2025.</t>
        </is>
      </c>
      <c r="E55" s="24" t="inlineStr">
        <is>
          <t>Brasília (DF)</t>
        </is>
      </c>
      <c r="F55" s="24" t="inlineStr">
        <is>
          <t>Vivo</t>
        </is>
      </c>
      <c r="G55" s="24" t="inlineStr">
        <is>
          <t>Não é investigado nas fontes.</t>
        </is>
      </c>
      <c r="H55" s="24" t="inlineStr">
        <is>
          <t>Citado, sem acusação</t>
        </is>
      </c>
      <c r="I55" s="24" t="inlineStr">
        <is>
          <t>Nada nas fontes.</t>
        </is>
      </c>
      <c r="J55" s="24" t="inlineStr">
        <is>
          <t>As mensagens mostram o convite, mas não se ele compareceu.</t>
        </is>
      </c>
      <c r="K55"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is>
      </c>
      <c r="L55" s="24" t="inlineStr">
        <is>
          <t>22/10/2026</t>
        </is>
      </c>
      <c r="M55" s="24" t="inlineStr">
        <is>
          <t>22/10/2026: rodada contexto e imagens (perfil novo).</t>
        </is>
      </c>
      <c r="N55" s="24" t="inlineStr">
        <is>
          <t>bianco.jpg</t>
        </is>
      </c>
      <c r="O55" s="24" t="inlineStr">
        <is>
          <t>Marcos Corrêa/PR · CC BY 2.0</t>
        </is>
      </c>
      <c r="P55" s="24" t="inlineStr">
        <is>
          <t>https://commons.wikimedia.org/wiki/File:Bruno_Bianco.jpg</t>
        </is>
      </c>
    </row>
    <row r="56">
      <c r="A56" s="24" t="inlineStr">
        <is>
          <t>jbcarvalho</t>
        </is>
      </c>
      <c r="B56" s="24" t="inlineStr">
        <is>
          <t>Bispo JB Carvalho</t>
        </is>
      </c>
      <c r="C56" s="24" t="inlineStr">
        <is>
          <t>Flávio e família</t>
        </is>
      </c>
      <c r="D56" s="24" t="inlineStr">
        <is>
          <t>João Batista Araújo Carvalho Lima, bispo fundador da Comunidade das Nações, igreja com mais de 50 unidades no Brasil, nos EUA e em Portugal. Flávio e a mulher, Fernanda, foram batizados na igreja, em Brasília, em jan/2024. Em livro de 2001 ele defendeu tirar de Nossa Senhora Aparecida o título de padroeira; os trechos voltaram a circular em set/2026.</t>
        </is>
      </c>
      <c r="E56" s="24" t="inlineStr">
        <is>
          <t>Brasília (DF)</t>
        </is>
      </c>
      <c r="F56" s="24" t="inlineStr">
        <is>
          <t>Vivo</t>
        </is>
      </c>
      <c r="G56" s="24" t="inlineStr">
        <is>
          <t>Não há processo contra ele nas fontes. Uma associação pediu à Justiça Federal a retirada do livro.</t>
        </is>
      </c>
      <c r="H56" s="24" t="inlineStr">
        <is>
          <t>Citado, sem acusação</t>
        </is>
      </c>
      <c r="I56" s="24" t="inlineStr">
        <is>
          <t>Nada nas fontes.</t>
        </is>
      </c>
      <c r="J56" s="24" t="inlineStr">
        <is>
          <t>As reportagens não trazem resposta dele.</t>
        </is>
      </c>
      <c r="K56" s="24" t="inlineStr">
        <is>
          <t>A ligação de Flávio com o bispo (tvtnews.com.br) https://tvtnews.com.br/?p=804749 | Bispo que batizou Flávio criticou Nossa Senhora (poder360.com.br) https://www.poder360.com.br/poder-gente/bispo-que-batizou-flavio-criticou-nossa-senhora-em-livro/</t>
        </is>
      </c>
      <c r="L56" s="24" t="inlineStr">
        <is>
          <t>22/10/2026</t>
        </is>
      </c>
      <c r="M56" s="24" t="inlineStr">
        <is>
          <t>22/10/2026: rodada contexto e imagens (perfil novo).</t>
        </is>
      </c>
      <c r="N56" s="24" t="inlineStr">
        <is>
          <t>jbcarvalho.jpg</t>
        </is>
      </c>
      <c r="O56" s="24" t="inlineStr">
        <is>
          <t>Povoselinguas · CC BY 3.0</t>
        </is>
      </c>
      <c r="P56" s="24" t="inlineStr">
        <is>
          <t>https://commons.wikimedia.org/wiki/File:JB_Carvalho_(3x4_cropped).webp</t>
        </is>
      </c>
    </row>
    <row r="57">
      <c r="A57" s="24" t="inlineStr">
        <is>
          <t>stf</t>
        </is>
      </c>
      <c r="B57" s="24" t="inlineStr">
        <is>
          <t>STF</t>
        </is>
      </c>
      <c r="C57" s="24" t="inlineStr">
        <is>
          <t>Poder e Justiça</t>
        </is>
      </c>
      <c r="D57" s="24" t="inlineStr">
        <is>
          <t>Supremo Tribunal Federal. Concentra os casos do mapa que envolvem autoridades com foro: o caso Master (relator André Mendonça desde fev/2026), o inquérito sobre o dinheiro de Vorcaro para o filme Dark Horse (Mendonça) e o inquérito sobre suspeita de lavagem de Flávio com Willer Tomaz (Alexandre de Moraes, out/2026). Em 2021 a Segunda Turma anulou relatórios do Coaf do caso da rachadinha.</t>
        </is>
      </c>
      <c r="E57" s="24" t="inlineStr">
        <is>
          <t>Brasília (DF)</t>
        </is>
      </c>
      <c r="F57" s="24" t="inlineStr">
        <is>
          <t>—</t>
        </is>
      </c>
      <c r="G57" s="24" t="inlineStr">
        <is>
          <t>—</t>
        </is>
      </c>
      <c r="H57" s="24" t="inlineStr">
        <is>
          <t>Órgão público</t>
        </is>
      </c>
      <c r="I57" s="24" t="inlineStr">
        <is>
          <t>—</t>
        </is>
      </c>
      <c r="J57" s="24" t="inlineStr">
        <is>
          <t>—</t>
        </is>
      </c>
      <c r="K57" s="24" t="inlineStr">
        <is>
          <t>STF anula 4 relatórios do Coaf (poder360.com.br) https://www.poder360.com.br/justica/stf-anula-4-relatorios-do-coaf-que-miravam-flavio-no-caso-das-rachadinhas/ | Segundo inquérito contra Flávio no STF (oliberal.com) https://www.oliberal.com/politica/flavio-e-investigado-em-2-inquerito-no-stf-para-apurar-suspeitas-de-lavagem-com-advogado-1.1183991</t>
        </is>
      </c>
      <c r="L57" s="24" t="inlineStr">
        <is>
          <t>22/10/2026</t>
        </is>
      </c>
      <c r="M57" s="24" t="inlineStr">
        <is>
          <t>22/10/2026: rodada contexto e imagens (perfil novo).</t>
        </is>
      </c>
      <c r="N57" s="24" t="inlineStr">
        <is>
          <t>stf.jpg</t>
        </is>
      </c>
      <c r="O57" s="24" t="inlineStr">
        <is>
          <t>Daderot · CC0 (domínio público)</t>
        </is>
      </c>
      <c r="P57" s="24" t="inlineStr">
        <is>
          <t>https://commons.wikimedia.org/wiki/File:Supremo_Tribunal_Federal_building_in_Brasilia_-_DSC00288.JPG</t>
        </is>
      </c>
    </row>
    <row r="58">
      <c r="A58" s="24" t="inlineStr">
        <is>
          <t>abin</t>
        </is>
      </c>
      <c r="B58" s="24" t="inlineStr">
        <is>
          <t>Abin</t>
        </is>
      </c>
      <c r="C58" s="24" t="inlineStr">
        <is>
          <t>Poder e Justiça</t>
        </is>
      </c>
      <c r="D58" s="24" t="inlineStr">
        <is>
          <t>Agência Brasileira de Inteligência. Na investigação da "Abin paralela", a PF achou o áudio de uma reunião de 25/08/2020 entre Jair Bolsonaro, Augusto Heleno e o então diretor Alexandre Ramagem, possivelmente com uma advogada de Flávio, em que Ramagem sugere processos contra auditores da Receita para blindar Flávio no caso da rachadinha.</t>
        </is>
      </c>
      <c r="E58" s="24" t="inlineStr">
        <is>
          <t>Brasília (DF)</t>
        </is>
      </c>
      <c r="F58" s="24" t="inlineStr">
        <is>
          <t>—</t>
        </is>
      </c>
      <c r="G58" s="24" t="inlineStr">
        <is>
          <t>O episódio faz parte do inquérito sobre uso ilegal do sistema First Mile por servidores da Abin.</t>
        </is>
      </c>
      <c r="H58" s="24" t="inlineStr">
        <is>
          <t>Órgão público</t>
        </is>
      </c>
      <c r="I58" s="24" t="inlineStr">
        <is>
          <t>—</t>
        </is>
      </c>
      <c r="J58" s="24" t="inlineStr">
        <is>
          <t>Flávio diz não ter "nenhuma relação" com a Abin.</t>
        </is>
      </c>
      <c r="K58" s="24" t="inlineStr">
        <is>
          <t>Áudio de Ramagem sugere investigar auditores (poder360.com.br) https://www.poder360.com.br/poder-justica/audio-de-ramagem-sugere-investigar-auditores-para-blindar-flavio/ | PF investiga se Abin ajudou defesa de Flávio (congressoemfoco.com.br) https://congressoemfoco.com.br/noticia/7623/pf-investiga-se-abin-ajudou-defesa-de-flavio-bolsonaro-senador-nega</t>
        </is>
      </c>
      <c r="L58" s="24" t="inlineStr">
        <is>
          <t>22/10/2026</t>
        </is>
      </c>
      <c r="M58" s="24" t="inlineStr">
        <is>
          <t>22/10/2026: rodada contexto e imagens (perfil novo).</t>
        </is>
      </c>
      <c r="N58" s="24" t="inlineStr">
        <is>
          <t>abin.jpg</t>
        </is>
      </c>
      <c r="O58" s="24" t="inlineStr">
        <is>
          <t>Antonio Cruz/Agência Brasil · CC BY 3.0 BR</t>
        </is>
      </c>
      <c r="P58" s="24" t="inlineStr">
        <is>
          <t>https://commons.wikimedia.org/wiki/File:Pr%C3%A9dio_da_Abin.jpg</t>
        </is>
      </c>
    </row>
    <row r="59">
      <c r="A59" s="24" t="inlineStr">
        <is>
          <t>cpi</t>
        </is>
      </c>
      <c r="B59" s="24" t="inlineStr">
        <is>
          <t>CPI da pandemia (Covaxin)</t>
        </is>
      </c>
      <c r="C59" s="24" t="inlineStr">
        <is>
          <t>Willer Tomaz e sua rede</t>
        </is>
      </c>
      <c r="D59" s="24" t="inlineStr">
        <is>
          <t>CPI da Pandemia do Senado (abr a out/2021), relatada por Renan Calheiros. Investigou, entre outros pontos, a compra da vacina Covaxin pelo Ministério da Saúde. Flávio, então senador do Patriota, atuou na comissão como defensor do governo do pai.</t>
        </is>
      </c>
      <c r="E59" s="24" t="inlineStr">
        <is>
          <t>Senado Federal, Brasília (DF)</t>
        </is>
      </c>
      <c r="F59" s="24" t="inlineStr">
        <is>
          <t>—</t>
        </is>
      </c>
      <c r="G59" s="24" t="inlineStr">
        <is>
          <t>O relatório final pediu indiciamentos; a CPI foi encerrada em out/2021.</t>
        </is>
      </c>
      <c r="H59" s="24" t="inlineStr">
        <is>
          <t>Órgão público</t>
        </is>
      </c>
      <c r="I59" s="24" t="inlineStr">
        <is>
          <t>—</t>
        </is>
      </c>
      <c r="J59" s="24" t="inlineStr">
        <is>
          <t>A citação de Willer Tomaz no caso Covaxin e o cancelamento da quebra do sigilo dele vêm do vídeo de origem e não foram reverificados nesta rodada.</t>
        </is>
      </c>
      <c r="K59" s="24" t="inlineStr">
        <is>
          <t>Flávio Bolsonaro na CPI da Pandemia (congressoemfoco.com.br) https://congressoemfoco.com.br/artigo/14228/flavio-bolsonaro-na-cpi-da-pandemia | CPI aprova convocações e quebras de sigilo (senado.leg.br) https://www12.senado.leg.br/radio/1/noticia/2021/06/23/cpi-da-pandemia-aprovou-novas-convocacoes-quebras-de-sigilos-e-pedidos-de-informacoes</t>
        </is>
      </c>
      <c r="L59" s="24" t="inlineStr">
        <is>
          <t>22/10/2026</t>
        </is>
      </c>
      <c r="M59" s="24" t="inlineStr">
        <is>
          <t>22/10/2026: rodada contexto e imagens (perfil novo).</t>
        </is>
      </c>
      <c r="N59" s="24" t="inlineStr">
        <is>
          <t>cpi.jpg</t>
        </is>
      </c>
      <c r="O59" s="24" t="inlineStr">
        <is>
          <t>Agência Senado · CC BY 2.0</t>
        </is>
      </c>
      <c r="P59" s="24" t="inlineStr">
        <is>
          <t>https://commons.wikimedia.org/wiki/File:CPIPANDEMIA_-_Comiss%C3%A3o_Parlamentar_de_Inqu%C3%A9rito_da_Pandemia_(1).jpg</t>
        </is>
      </c>
    </row>
    <row r="60">
      <c r="A60" s="24" t="inlineStr">
        <is>
          <t>loterj</t>
        </is>
      </c>
      <c r="B60" s="24" t="inlineStr">
        <is>
          <t>Loterj</t>
        </is>
      </c>
      <c r="C60" s="24" t="inlineStr">
        <is>
          <t>Poder e Justiça</t>
        </is>
      </c>
      <c r="D60" s="24" t="inlineStr">
        <is>
          <t>Loteria do Estado do Rio de Janeiro, autarquia estadual. Em mai/2023, sob a presidência de Hazenclever Cançado, licenciou a Rede Loto (Best Bet), a primeira bet autorizada no país, sem exigir a identificação dos beneficiários finais. Em 2023 contratou a RioPag para intermediar os pagamentos das bets; a empresa faturou R$ 187,8 mi em taxas entre jun/2023 e ago/2026.</t>
        </is>
      </c>
      <c r="E60" s="24" t="inlineStr">
        <is>
          <t>Rio de Janeiro (RJ)</t>
        </is>
      </c>
      <c r="F60" s="24" t="inlineStr">
        <is>
          <t>—</t>
        </is>
      </c>
      <c r="G60" s="24" t="inlineStr">
        <is>
          <t>Rescindiu o contrato da RioPag em 22/09/2026 e cobra R$ 9,4 mi; uma liminar suspendeu a rescisão.</t>
        </is>
      </c>
      <c r="H60" s="24" t="inlineStr">
        <is>
          <t>Órgão público</t>
        </is>
      </c>
      <c r="I60" s="24" t="inlineStr">
        <is>
          <t>—</t>
        </is>
      </c>
      <c r="J60" s="24" t="inlineStr">
        <is>
          <t>—</t>
        </is>
      </c>
      <c r="K60" s="24" t="inlineStr">
        <is>
          <t>Loterj licencia a Rede Loto (lotterydaily.com) https://lotterydaily.com/2023/06/06/retail/rios-loterj-achieves-2023-betting-ambitions-with-rede-loto-contract/ | Bet de investigado pagou voos de Flávio (diariodepernambuco.com.br) https://www.diariodepernambuco.com.br/politica/2026/10/11726788-bet-de-investigado-por-fraude-no-inss-pagou-voos-de-flavio-bolsonaro-na-europa-aponta-pf.html | Loterj rescinde contrato com a RioPag (bnldata.com.br) https://bnldata.com.br/loterj-rescinde-contrato-com-riopag-e-cobra-r-94-mi-da-empresa/</t>
        </is>
      </c>
      <c r="L60" s="24" t="inlineStr">
        <is>
          <t>22/10/2026</t>
        </is>
      </c>
      <c r="M60" s="24" t="inlineStr">
        <is>
          <t>22/10/2026: rodada contexto e imagens (perfil novo).</t>
        </is>
      </c>
    </row>
    <row r="61">
      <c r="A61" s="24" t="inlineStr">
        <is>
          <t>pgr</t>
        </is>
      </c>
      <c r="B61" s="24" t="inlineStr">
        <is>
          <t>Procuradoria-Geral (PGR)</t>
        </is>
      </c>
      <c r="C61" s="24" t="inlineStr">
        <is>
          <t>Poder e Justiça</t>
        </is>
      </c>
      <c r="D61" s="24" t="inlineStr">
        <is>
          <t>Procuradoria-Geral da República, chefiada por Paulo Gonet. Cabe a ela denunciar autoridades com foro no STF, como os investigados do caso Master. Em 2026 negociava com a PF a delação de Vorcaro e sustentou que Mendonça investigou Alexandre de Moraes sem aval do plenário. Não foi ouvida antes do afastamento do diretor-geral da PF.</t>
        </is>
      </c>
      <c r="E61" s="24" t="inlineStr">
        <is>
          <t>Brasília (DF)</t>
        </is>
      </c>
      <c r="F61" s="24" t="inlineStr">
        <is>
          <t>—</t>
        </is>
      </c>
      <c r="G61" s="24" t="inlineStr">
        <is>
          <t>—</t>
        </is>
      </c>
      <c r="H61" s="24" t="inlineStr">
        <is>
          <t>Órgão público</t>
        </is>
      </c>
      <c r="I61" s="24" t="inlineStr">
        <is>
          <t>—</t>
        </is>
      </c>
      <c r="J61" s="24" t="inlineStr">
        <is>
          <t>—</t>
        </is>
      </c>
      <c r="K61" s="24" t="inlineStr">
        <is>
          <t>Afastamento do diretor-geral da PF sem ouvir a PGR (cnnbrasil.com.br) https://www.cnnbrasil.com.br/blogs/teo-cury/politica/mendonca-ordenou-afastamento-de-diretor-geral-da-pf-sem-ouvir-pgr/ | Gonet diz que Mendonça investigou Moraes (iclnoticias.com.br) https://iclnoticias.com.br/gonet-diz-que-mendonca-investigou-moraes/ | Delação de Vorcaro em negociação (timesbrasil.com.br) https://timesbrasil.com.br/brasil/operacoes-da-pf/pf-prende-paulo-henrique-costa-ex-presidente-do-brb-em-nova-fase-da-compliance-zero/</t>
        </is>
      </c>
      <c r="L61" s="24" t="inlineStr">
        <is>
          <t>22/10/2026</t>
        </is>
      </c>
      <c r="M61" s="24" t="inlineStr">
        <is>
          <t>22/10/2026: rodada contexto e imagens (perfil novo).</t>
        </is>
      </c>
      <c r="N61" s="24" t="inlineStr">
        <is>
          <t>pgr.jpg</t>
        </is>
      </c>
      <c r="O61" s="24" t="inlineStr">
        <is>
          <t>Webysther · CC BY-SA 4.0</t>
        </is>
      </c>
      <c r="P61" s="24" t="inlineStr">
        <is>
          <t>https://commons.wikimedia.org/wiki/File:Webysther_20180212174501_-_PGR_-_Procuradoria_Geral_da_Rep%C3%BAblica.jpg</t>
        </is>
      </c>
    </row>
    <row r="62">
      <c r="A62" s="24" t="inlineStr">
        <is>
          <t>receita</t>
        </is>
      </c>
      <c r="B62" s="24" t="inlineStr">
        <is>
          <t>Receita Federal</t>
        </is>
      </c>
      <c r="C62" s="24" t="inlineStr">
        <is>
          <t>Poder e Justiça</t>
        </is>
      </c>
      <c r="D62" s="24" t="inlineStr">
        <is>
          <t>Receita Federal. O secretário José Barroso Tostes Neto teve três reuniões com Flávio em ago e set/2020, a pedido do senador e com a advogada dele no caso Queiroz; a última teria sido na casa de Flávio. Os temas declarados foram a situação fiscal de pessoas e empresas ligadas a ele e supostas condutas irregulares de servidores do órgão.</t>
        </is>
      </c>
      <c r="E62" s="24" t="inlineStr">
        <is>
          <t>Brasília (DF)</t>
        </is>
      </c>
      <c r="F62" s="24" t="inlineStr">
        <is>
          <t>—</t>
        </is>
      </c>
      <c r="G62" s="24" t="inlineStr">
        <is>
          <t>—</t>
        </is>
      </c>
      <c r="H62" s="24" t="inlineStr">
        <is>
          <t>Órgão público</t>
        </is>
      </c>
      <c r="I62" s="24" t="inlineStr">
        <is>
          <t>—</t>
        </is>
      </c>
      <c r="J62" s="24" t="inlineStr">
        <is>
          <t>O local da última reunião é relatado com "teria".</t>
        </is>
      </c>
      <c r="K62" s="24" t="inlineStr">
        <is>
          <t>Receita confirma visita de secretário a Flávio (poder360.com.br) https://www.poder360.com.br/governo/receita-federal-confirma-visita-de-secretario-do-fisco-a-flavio-bolsonaro/ | Chefe da Receita foi à casa de Flávio (infomoney.com.br) https://www.infomoney.com.br/?p=2535322</t>
        </is>
      </c>
      <c r="L62" s="24" t="inlineStr">
        <is>
          <t>22/10/2026</t>
        </is>
      </c>
      <c r="M62" s="24" t="inlineStr">
        <is>
          <t>22/10/2026: rodada contexto e imagens (perfil novo).</t>
        </is>
      </c>
      <c r="N62" s="24" t="inlineStr">
        <is>
          <t>receita.jpg</t>
        </is>
      </c>
      <c r="O62" s="24" t="inlineStr">
        <is>
          <t>Academia de Letras de Campo Maior · CC BY-SA 4.0</t>
        </is>
      </c>
      <c r="P62" s="24" t="inlineStr">
        <is>
          <t>https://commons.wikimedia.org/wiki/File:Ag%C3%AAncia_da_Receita_Federal_de_Campo_Maior,_Piau%C3%AD,_Brasil.JPG</t>
        </is>
      </c>
    </row>
    <row r="63">
      <c r="A63" s="24" t="inlineStr">
        <is>
          <t>tse</t>
        </is>
      </c>
      <c r="B63" s="24" t="inlineStr">
        <is>
          <t>TSE</t>
        </is>
      </c>
      <c r="C63" s="24" t="inlineStr">
        <is>
          <t>Poder e Justiça</t>
        </is>
      </c>
      <c r="D63" s="24" t="inlineStr">
        <is>
          <t>Tribunal Superior Eleitoral. Kassio Nunes Marques assumiu a presidência em mai/2026 e conduz as eleições de 2026. Em mar/2026 o tribunal tornou Cláudio Castro inelegível; Nunes Marques votou pela absolvição.</t>
        </is>
      </c>
      <c r="E63" s="24" t="inlineStr">
        <is>
          <t>Brasília (DF)</t>
        </is>
      </c>
      <c r="F63" s="24" t="inlineStr">
        <is>
          <t>—</t>
        </is>
      </c>
      <c r="G63" s="24" t="inlineStr">
        <is>
          <t>—</t>
        </is>
      </c>
      <c r="H63" s="24" t="inlineStr">
        <is>
          <t>Órgão público</t>
        </is>
      </c>
      <c r="I63" s="24" t="inlineStr">
        <is>
          <t>—</t>
        </is>
      </c>
      <c r="J63" s="24" t="inlineStr">
        <is>
          <t>—</t>
        </is>
      </c>
      <c r="K63" s="24" t="inlineStr">
        <is>
          <t>Nunes Marques assume a presidência do TSE (poder360.com.br) https://www.poder360.com.br/brasil/nunes-marques-assume-presidencia-do-tse/ | TSE torna Castro inelegível (jovempan.com.br) https://jovempan.com.br/politica/tse-forma-maioria-para-tornar-castro-inelegivel-por-8-anos/</t>
        </is>
      </c>
      <c r="L63" s="24" t="inlineStr">
        <is>
          <t>22/10/2026</t>
        </is>
      </c>
      <c r="M63" s="24" t="inlineStr">
        <is>
          <t>22/10/2026: rodada contexto e imagens (perfil novo).</t>
        </is>
      </c>
      <c r="N63" s="24" t="inlineStr">
        <is>
          <t>tse.jpg</t>
        </is>
      </c>
      <c r="O63" s="24" t="inlineStr">
        <is>
          <t>Alexandresena · CC BY-SA 4.0</t>
        </is>
      </c>
      <c r="P63" s="24" t="inlineStr">
        <is>
          <t>https://commons.wikimedia.org/wiki/File:Sede_do_Tribunal_Superior_Eleitoral,_em_Bras%C3%ADlia.jpg</t>
        </is>
      </c>
    </row>
    <row r="64">
      <c r="A64" s="24" t="inlineStr">
        <is>
          <t>brb</t>
        </is>
      </c>
      <c r="B64" s="24" t="inlineStr">
        <is>
          <t>BRB (Banco de Brasília)</t>
        </is>
      </c>
      <c r="C64" s="24" t="inlineStr">
        <is>
          <t>Vorcaro e o Banco Master</t>
        </is>
      </c>
      <c r="D64" s="24" t="inlineStr">
        <is>
          <t>Banco de Brasília, banco público controlado pelo governo do DF. Pôs cerca de R$ 12 bi no Master comprando carteiras de crédito consignado que a investigação aponta como fraudulentas, e tentou comprar o próprio Master em 2025. O ex-presidente Paulo Henrique Costa foi afastado em nov/2025 e preso em 16/04/2026 na Compliance Zero. Em 2021 financiou R$ 3,1 mi da mansão de Flávio em Brasília.</t>
        </is>
      </c>
      <c r="E64" s="24" t="inlineStr">
        <is>
          <t>Brasília (DF)</t>
        </is>
      </c>
      <c r="F64" s="24" t="inlineStr">
        <is>
          <t>—</t>
        </is>
      </c>
      <c r="G64" s="24" t="inlineStr">
        <is>
          <t>Ex-dirigentes investigados no inquérito do caso Master. A PF também apura as condições do empréstimo a Flávio.</t>
        </is>
      </c>
      <c r="H64" s="24" t="inlineStr">
        <is>
          <t>Investigado / alvo (sem denúncia)</t>
        </is>
      </c>
      <c r="I64" s="24" t="inlineStr">
        <is>
          <t>—</t>
        </is>
      </c>
      <c r="J64" s="24" t="inlineStr">
        <is>
          <t>—</t>
        </is>
      </c>
      <c r="K64" s="24" t="inlineStr">
        <is>
          <t>PF prende ex-presidente do BRB (timesbrasil.com.br) https://timesbrasil.com.br/brasil/operacoes-da-pf/pf-prende-paulo-henrique-costa-ex-presidente-do-brb-em-nova-fase-da-compliance-zero/ | PF apura financiamento do BRB a Flávio (diariodepernambuco.com.br) https://www.diariodepernambuco.com.br/politica/2026/10/11725606-pf-apura-condicoes-de-financiamento-do-brb-a-flavio-bolsonaro-para-mansao-de-rs-6-milhoes.html</t>
        </is>
      </c>
      <c r="L64" s="24" t="inlineStr">
        <is>
          <t>22/10/2026</t>
        </is>
      </c>
      <c r="M64" s="24" t="inlineStr">
        <is>
          <t>22/10/2026: rodada contexto e imagens (perfil novo).</t>
        </is>
      </c>
      <c r="N64" s="24" t="inlineStr">
        <is>
          <t>brb.png</t>
        </is>
      </c>
      <c r="O64" s="24" t="inlineStr">
        <is>
          <t>Banco de Brasília · domínio público (logo simples, sem direito autoral)</t>
        </is>
      </c>
      <c r="P64" s="24" t="inlineStr">
        <is>
          <t>https://commons.wikimedia.org/wiki/File:Logotipo_do_Banco_de_Bras%C3%ADlia.svg</t>
        </is>
      </c>
    </row>
    <row r="65">
      <c r="A65" s="24" t="inlineStr">
        <is>
          <t>govlula</t>
        </is>
      </c>
      <c r="B65" s="24" t="inlineStr">
        <is>
          <t>Governo Lula (Haddad, Gleisi, Mercadante)</t>
        </is>
      </c>
      <c r="C65" s="24" t="inlineStr">
        <is>
          <t>Poder e Justiça</t>
        </is>
      </c>
      <c r="D65" s="24" t="inlineStr">
        <is>
          <t>Ministros do governo Lula citados em mensagens do celular de Vorcaro. Em 29/10/2025, enquanto a compra do Master pelo BRB estava em análise no Banco Central, Vorcaro escreveu que Fernando Haddad era "um dos meus maiores opositores". A planilha também registra pedido de ajuda para "bloquear" Gleisi Hoffmann e Aloizio Mercadante.</t>
        </is>
      </c>
      <c r="E65" s="24" t="inlineStr">
        <is>
          <t>Brasília (DF)</t>
        </is>
      </c>
      <c r="F65" s="24" t="inlineStr">
        <is>
          <t>—</t>
        </is>
      </c>
      <c r="G65" s="24" t="inlineStr">
        <is>
          <t>Nenhum dos ministros é investigado nas fontes.</t>
        </is>
      </c>
      <c r="H65" s="24" t="inlineStr">
        <is>
          <t>Órgão público</t>
        </is>
      </c>
      <c r="I65" s="24" t="inlineStr">
        <is>
          <t>—</t>
        </is>
      </c>
      <c r="J65" s="24" t="inlineStr">
        <is>
          <t>Haddad diz que nunca recebeu Vorcaro e que recusou "diversas vezes" encontrá-lo. O trecho sobre Gleisi e Mercadante não foi reverificado nesta rodada.</t>
        </is>
      </c>
      <c r="K65" s="24" t="inlineStr">
        <is>
          <t>Vorcaro sobre Haddad: um de meus maiores opositores (em.com.br) https://www.em.com.br/politica/2026/10/7513704-vorcaro-sobre-haddad-um-de-meus-maiores-opositores.html | Haddad nega ter recebido Vorcaro (dgabc.com.br) https://www.dgabc.com.br/Noticia/4346805/haddad-nega-ter-recebido-vorcaro-ou-estado-no-mesmo-ambiente-que-ele</t>
        </is>
      </c>
      <c r="L65" s="24" t="inlineStr">
        <is>
          <t>22/10/2026</t>
        </is>
      </c>
      <c r="M65" s="24" t="inlineStr">
        <is>
          <t>22/10/2026: rodada contexto e imagens (perfil novo).</t>
        </is>
      </c>
    </row>
    <row r="66">
      <c r="A66" s="24" t="inlineStr">
        <is>
          <t>adriano</t>
        </is>
      </c>
      <c r="B66" s="24" t="inlineStr">
        <is>
          <t>Adriano da Nóbrega</t>
        </is>
      </c>
      <c r="C66" s="24" t="inlineStr">
        <is>
          <t>Flávio e família</t>
        </is>
      </c>
      <c r="D66" s="24" t="inlineStr">
        <is>
          <t>Adriano Magalhães da Nóbrega, ex-capitão do Bope apontado pelo MP-RJ como chefe do Escritório do Crime e da milícia de Rio das Pedras. Flávio o homenageou com moção de louvor em 2003 e com a Medalha Tiradentes em jun/2005, quando ele estava preso por homicídio (depois absolvido, em 2007). A mãe e a mulher dele trabalharam no gabinete de Flávio na Alerj.</t>
        </is>
      </c>
      <c r="E66" s="24" t="inlineStr">
        <is>
          <t>Rio de Janeiro (RJ)</t>
        </is>
      </c>
      <c r="F66" s="24" t="inlineStr">
        <is>
          <t>Morto (fev/2020)</t>
        </is>
      </c>
      <c r="G66" s="24" t="inlineStr">
        <is>
          <t>Foragido desde a Operação Os Intocáveis (jan/2019); morto pela polícia na Bahia em fev/2020.</t>
        </is>
      </c>
      <c r="H66" s="24" t="inlineStr">
        <is>
          <t>Investigado / alvo (sem denúncia)</t>
        </is>
      </c>
      <c r="I66" s="24" t="inlineStr">
        <is>
          <t>Apontado pelo MP-RJ como chefe da milícia de Rio das Pedras e do Escritório do Crime.</t>
        </is>
      </c>
      <c r="J66" s="24" t="inlineStr">
        <is>
          <t>Mesmo sendo uma figura notória, fica sem foto porque não era pessoa pública por escolha.</t>
        </is>
      </c>
      <c r="K66" s="24" t="inlineStr">
        <is>
          <t>Ex-PM estava preso quando Flávio o homenageou (agazeta.com.br) https://www.agazeta.com.br/brasil/ex-pm-estava-preso-por-homicidio-quando-flavio-bolsonaro-o-homenageou-0119 | Miliciano ligado a Flávio é morto (congressoemfoco.com.br) https://www.congressoemfoco.com.br/governo/miliciano-ligado-a-flavio-bolsonaro-e-morto-durante-operacao/ | Entre medalhas e milícias (vermelho.org.br) https://vermelho.org.br/?p=740865</t>
        </is>
      </c>
      <c r="L66" s="24" t="inlineStr">
        <is>
          <t>22/10/2026</t>
        </is>
      </c>
      <c r="M66" s="24" t="inlineStr">
        <is>
          <t>22/10/2026: rodada contexto e imagens (perfil novo).</t>
        </is>
      </c>
    </row>
    <row r="67">
      <c r="A67" s="24" t="inlineStr">
        <is>
          <t>ronald</t>
        </is>
      </c>
      <c r="B67" s="24" t="inlineStr">
        <is>
          <t>Ronald Paulo Alves Pereira</t>
        </is>
      </c>
      <c r="C67" s="24" t="inlineStr">
        <is>
          <t>Flávio e família</t>
        </is>
      </c>
      <c r="D67" s="24" t="inlineStr">
        <is>
          <t>Major da PM do Rio. Flávio apresentou em 2004 uma moção de louvor a ele na Alerj. Foi preso em jan/2019 na Operação Os Intocáveis, contra a milícia de Rio das Pedras, e em fev/2026 condenado pela Primeira Turma do STF a 56 anos de prisão no caso Marielle Franco e Anderson Gomes.</t>
        </is>
      </c>
      <c r="E67" s="24" t="inlineStr">
        <is>
          <t>Cumpre pena na Penitenciária Federal de Brasília (DF)</t>
        </is>
      </c>
      <c r="F67" s="24" t="inlineStr">
        <is>
          <t>Vivo (preso)</t>
        </is>
      </c>
      <c r="G67" s="24" t="inlineStr">
        <is>
          <t>Condenado pelo STF (56 anos); trânsito em julgado declarado em 13/07/2026.</t>
        </is>
      </c>
      <c r="H67" s="24" t="inlineStr">
        <is>
          <t>Condenado</t>
        </is>
      </c>
      <c r="I67" s="24" t="inlineStr">
        <is>
          <t>Preso na operação contra a milícia de Rio das Pedras e Muzema.</t>
        </is>
      </c>
      <c r="J67" s="24" t="inlineStr">
        <is>
          <t>—</t>
        </is>
      </c>
      <c r="K67" s="24" t="inlineStr">
        <is>
          <t>Moraes determina cumprimento das penas no caso Marielle (agenciabrasil.ebc.com.br) https://agenciabrasil.ebc.com.br/justica/noticia/2026-07/caso-marielle-moraes-determina-cumprimento-imediato-de-penas | Flávio homenageou em 2004 suspeito do caso Marielle (jb.com.br) https://www.jb.com.br/rio/2019/01/974171-flavio-bolsonaro-homenageou-em-2004-suspeito-de-participar-da-morte-de-marielle.html</t>
        </is>
      </c>
      <c r="L67" s="24" t="inlineStr">
        <is>
          <t>22/10/2026</t>
        </is>
      </c>
      <c r="M67" s="24" t="inlineStr">
        <is>
          <t>22/10/2026: rodada contexto e imagens (perfil novo).</t>
        </is>
      </c>
    </row>
    <row r="68">
      <c r="A68" s="24" t="inlineStr">
        <is>
          <t>orelha</t>
        </is>
      </c>
      <c r="B68" s="24" t="inlineStr">
        <is>
          <t>Luís Carlos Felipe Martins (“Orelha”)</t>
        </is>
      </c>
      <c r="C68" s="24" t="inlineStr">
        <is>
          <t>Flávio e família</t>
        </is>
      </c>
      <c r="D68" s="24" t="inlineStr">
        <is>
          <t>Não consegui confirmar em fonte pública a identidade nem o histórico de "Orelha" como descritos na planilha (ex-PM ligado à milícia de Rio das Pedras, homenageado por Flávio e morto em 2021). O nó fica sem perfil detalhado até haver fonte.</t>
        </is>
      </c>
      <c r="E68" s="24" t="inlineStr">
        <is>
          <t>—</t>
        </is>
      </c>
      <c r="F68" s="24" t="inlineStr">
        <is>
          <t>—</t>
        </is>
      </c>
      <c r="G68" s="24" t="inlineStr">
        <is>
          <t>—</t>
        </is>
      </c>
      <c r="H68" s="24" t="inlineStr">
        <is>
          <t>Não pesquisado</t>
        </is>
      </c>
      <c r="I68" s="24" t="inlineStr">
        <is>
          <t>Nada nas fontes.</t>
        </is>
      </c>
      <c r="J68" s="24" t="inlineStr">
        <is>
          <t>Identidade não confirmada: mais vale faltar do que atribuir algo à pessoa errada.</t>
        </is>
      </c>
      <c r="K68" s="24" t="inlineStr">
        <is>
          <t>—</t>
        </is>
      </c>
      <c r="L68" s="24" t="inlineStr">
        <is>
          <t>22/10/2026</t>
        </is>
      </c>
      <c r="M68" s="24" t="inlineStr">
        <is>
          <t>22/10/2026: rodada contexto e imagens (perfil novo).</t>
        </is>
      </c>
    </row>
    <row r="69">
      <c r="A69" s="24" t="inlineStr">
        <is>
          <t>peixe</t>
        </is>
      </c>
      <c r="B69" s="24" t="inlineStr">
        <is>
          <t>Robson Calixto (“Peixe”)</t>
        </is>
      </c>
      <c r="C69" s="24" t="inlineStr">
        <is>
          <t>Flávio e família</t>
        </is>
      </c>
      <c r="D69" s="24" t="inlineStr">
        <is>
          <t>Robson Calixto da Fonseca, PM da reserva e ex-assessor de Domingos Brazão na Alerj e no TCE-RJ. Em fev/2026 o STF o condenou a 9 anos por integrar organização criminosa armada ligada ao assassinato de Marielle Franco; não foi condenado pelos homicídios. Segundo a PF, em out/2023 pediu a uma assessora de Flávio uma emenda de R$ 199 mil para o Instituto Ifop, paga em nov/2023.</t>
        </is>
      </c>
      <c r="E69" s="24" t="inlineStr">
        <is>
          <t>Rio de Janeiro (RJ)</t>
        </is>
      </c>
      <c r="F69" s="24" t="inlineStr">
        <is>
          <t>Vivo (preso)</t>
        </is>
      </c>
      <c r="G69" s="24" t="inlineStr">
        <is>
          <t>Condenado pelo STF a 9 anos (organização criminosa armada); trânsito em julgado em jul/2026. A PF apura a emenda.</t>
        </is>
      </c>
      <c r="H69" s="24" t="inlineStr">
        <is>
          <t>Condenado</t>
        </is>
      </c>
      <c r="I69" s="24" t="inlineStr">
        <is>
          <t>A PGR o descreveu como operador e intermediário dos irmãos Brazão.</t>
        </is>
      </c>
      <c r="J69" s="24" t="inlineStr">
        <is>
          <t>Flávio diz que a emenda seguiu critérios técnicos e que a execução cabe ao beneficiário.</t>
        </is>
      </c>
      <c r="K69" s="24" t="inlineStr">
        <is>
          <t>Quem é Peixe (tvtnews.com.br) https://tvtnews.com.br/?p=804271 | PF apura emenda de Flávio para ONG dos Brazão (infomoney.com.br) https://www.infomoney.com.br/politica/pf-apura-emenda-de-flavio-para-ong-suspeita-de-integrar-esquema-dos-irmaos-brazao/ | Penas do caso Marielle (agenciabrasil.ebc.com.br) https://agenciabrasil.ebc.com.br/justica/noticia/2026-07/caso-marielle-moraes-determina-cumprimento-imediato-de-penas</t>
        </is>
      </c>
      <c r="L69" s="24" t="inlineStr">
        <is>
          <t>22/10/2026</t>
        </is>
      </c>
      <c r="M69" s="24" t="inlineStr">
        <is>
          <t>22/10/2026: rodada contexto e imagens (perfil novo).</t>
        </is>
      </c>
    </row>
    <row r="70">
      <c r="A70" s="24" t="inlineStr">
        <is>
          <t>pms16</t>
        </is>
      </c>
      <c r="B70" s="24" t="inlineStr">
        <is>
          <t>16 PMs denunciados</t>
        </is>
      </c>
      <c r="C70" s="24" t="inlineStr">
        <is>
          <t>Flávio e família</t>
        </is>
      </c>
      <c r="D70" s="24" t="inlineStr">
        <is>
          <t>Grupo de policiais militares que receberam homenagens de Flávio e Carlos Bolsonaro e depois foram denunciados por organização criminosa ou ligação com milícias. Entre os casos documentados estão quatro PMs da Operação Quarto Elemento, denunciados por extorsão de comerciantes e mototaxistas. Os nomes individuais não são listados aqui.</t>
        </is>
      </c>
      <c r="E70" s="24" t="inlineStr">
        <is>
          <t>Rio de Janeiro (RJ)</t>
        </is>
      </c>
      <c r="F70" s="24" t="inlineStr">
        <is>
          <t>—</t>
        </is>
      </c>
      <c r="G70" s="24" t="inlineStr">
        <is>
          <t>Denunciados pelo MP-RJ; a situação varia caso a caso.</t>
        </is>
      </c>
      <c r="H70" s="24" t="inlineStr">
        <is>
          <t>Investigado / alvo (sem denúncia)</t>
        </is>
      </c>
      <c r="I70" s="24" t="inlineStr">
        <is>
          <t>Parte do grupo é ligada a milícias, segundo o MP-RJ.</t>
        </is>
      </c>
      <c r="J70" s="24" t="inlineStr">
        <is>
          <t>O total de 16 vem do vídeo de origem. A fonte reverificada nomeia seis homenageados denunciados e não confirma o total.</t>
        </is>
      </c>
      <c r="K70" s="24" t="inlineStr">
        <is>
          <t>Entre medalhas e milícias (vermelho.org.br) https://vermelho.org.br/?p=740865 | Milicianos presos foram homenageados por Flávio na Alerj (istoe.com.br) https://istoe.com.br/milicianos-presos-no-rio-foram-homenageados-por-flavio-bolsonaro-na-alerj/</t>
        </is>
      </c>
      <c r="L70" s="24" t="inlineStr">
        <is>
          <t>22/10/2026</t>
        </is>
      </c>
      <c r="M70" s="24" t="inlineStr">
        <is>
          <t>22/10/2026: rodada contexto e imagens (perfil novo).</t>
        </is>
      </c>
    </row>
    <row r="71">
      <c r="A71" s="24" t="inlineStr">
        <is>
          <t>pmacusado</t>
        </is>
      </c>
      <c r="B71" s="24" t="inlineStr">
        <is>
          <t>PM acusado de matar menina de 5 anos</t>
        </is>
      </c>
      <c r="C71" s="24" t="inlineStr">
        <is>
          <t>Flávio e família</t>
        </is>
      </c>
      <c r="D71" s="24" t="inlineStr">
        <is>
          <t>Policial militar denunciado pelo MP-RJ por um disparo de fuzil que matou uma criança de 5 anos durante patrulha em Niterói, em fev/2021. Flávio integrou a defesa e assinou um recurso ao STJ em 2024 para evitar o júri popular. O STJ negou o recurso, e o PM aguarda o júri.</t>
        </is>
      </c>
      <c r="E71" s="24" t="inlineStr">
        <is>
          <t>Niterói (RJ)</t>
        </is>
      </c>
      <c r="F71" s="24" t="inlineStr">
        <is>
          <t>Vivo</t>
        </is>
      </c>
      <c r="G71" s="24" t="inlineStr">
        <is>
          <t>Réu; pronunciado a júri popular, sem mais recursos. A prisão preventiva foi revogada em nov/2021.</t>
        </is>
      </c>
      <c r="H71" s="24" t="inlineStr">
        <is>
          <t>Investigado / alvo (sem denúncia)</t>
        </is>
      </c>
      <c r="I71" s="24" t="inlineStr">
        <is>
          <t>Nada nas fontes.</t>
        </is>
      </c>
      <c r="J71" s="24" t="inlineStr">
        <is>
          <t>Por envolver uma criança, o mapa não traz o nome da vítima. A defesa do PM diz que ele reagiu a um ataque; o MP-RJ diz que não houve confronto.</t>
        </is>
      </c>
      <c r="K71" s="24" t="inlineStr">
        <is>
          <t>Flávio atuou na defesa de PM acusado (iclnoticias.com.br) https://iclnoticias.com.br/flavio-bolsonaro-defesa-pm-acusado-matar-menina/ | Flávio advogou para PM (eshoje.com.br) https://eshoje.com.br/brasil/2026/10/flavio-advogou-para-pm/</t>
        </is>
      </c>
      <c r="L71" s="24" t="inlineStr">
        <is>
          <t>22/10/2026</t>
        </is>
      </c>
      <c r="M71" s="24" t="inlineStr">
        <is>
          <t>22/10/2026: rodada contexto e imagens (perfil novo).</t>
        </is>
      </c>
    </row>
    <row r="72">
      <c r="A72" s="24" t="inlineStr">
        <is>
          <t>cirorocha</t>
        </is>
      </c>
      <c r="B72" s="24" t="inlineStr">
        <is>
          <t>Ciro Rocha Soares</t>
        </is>
      </c>
      <c r="C72" s="24" t="inlineStr">
        <is>
          <t>Vorcaro e o Banco Master</t>
        </is>
      </c>
      <c r="D72" s="24" t="inlineStr">
        <is>
          <t>Advogado baiano, sócio da Rocha Soares Advogados Associados (Salvador) e ex-ouvidor do Ministério do Turismo (2016-2017). Em mensagens obtidas pela PF aparece articulando, com Cezinha de Madureira, a aproximação de Vorcaro com Mendonça: em 08/02/2025 mandou foto e áudio dizendo que levara o ministro a uma alfaiataria "trabalhando por você".</t>
        </is>
      </c>
      <c r="E72" s="24" t="inlineStr">
        <is>
          <t>Salvador (BA)</t>
        </is>
      </c>
      <c r="F72" s="24" t="inlineStr">
        <is>
          <t>Vivo</t>
        </is>
      </c>
      <c r="G72" s="24" t="inlineStr">
        <is>
          <t>Não há acusação contra ele nas fontes.</t>
        </is>
      </c>
      <c r="H72" s="24" t="inlineStr">
        <is>
          <t>Citado, sem acusação</t>
        </is>
      </c>
      <c r="I72" s="24" t="inlineStr">
        <is>
          <t>Nada nas fontes.</t>
        </is>
      </c>
      <c r="J72" s="24" t="inlineStr">
        <is>
          <t>Ele diz que não há irregularidade em pedir conversas com magistrados e que Vorcaro não era investigado em fev/2025.</t>
        </is>
      </c>
      <c r="K72" s="24" t="inlineStr">
        <is>
          <t>Mensagens e áudios inéditos sobre Mendonça (iclnoticias.com.br) https://iclnoticias.com.br/vaza-mendonca-mensagens-e-audios-ineditos/ | Áudios revelam encontro entre Vorcaro e Mendonça (bahianoticias.com.br) https://www.bahianoticias.com.br/justica/noticia/75274-audios-e-mensagens-revelam-encontro-entre-vorcaro-e-mendonca-ministro-admite-e-diz-que-se-limitou-a-ouvi-lo</t>
        </is>
      </c>
      <c r="L72" s="24" t="inlineStr">
        <is>
          <t>22/10/2026</t>
        </is>
      </c>
      <c r="M72" s="24" t="inlineStr">
        <is>
          <t>22/10/2026: rodada contexto e imagens (perfil novo).</t>
        </is>
      </c>
    </row>
    <row r="73">
      <c r="A73" s="24" t="inlineStr">
        <is>
          <t>ong</t>
        </is>
      </c>
      <c r="B73" s="24" t="inlineStr">
        <is>
          <t>ONG e produtora do filme</t>
        </is>
      </c>
      <c r="C73" s="24" t="inlineStr">
        <is>
          <t>Flávio e família</t>
        </is>
      </c>
      <c r="D73" s="24" t="inlineStr">
        <is>
          <t>Entidades ligadas a Karina Ferreira da Gama, sócia da GoUp, produtora do filme Dark Horse, sobre Jair Bolsonaro: o Instituto Conhecer Brasil e a Associação (ou Academia) Nacional de Cultura. Receberam emendas de deputados paulistas. Segundo o Intercept, houve negociação de US$ 24 mi de Vorcaro para o filme; Flávio admitiu ter recebido mais de US$ 12 mi, que chama de "patrocínio".</t>
        </is>
      </c>
      <c r="E73" s="24" t="inlineStr">
        <is>
          <t>Av. Paulista, São Paulo (SP)</t>
        </is>
      </c>
      <c r="F73" s="24" t="inlineStr">
        <is>
          <t>—</t>
        </is>
      </c>
      <c r="G73" s="24" t="inlineStr">
        <is>
          <t>Flávio é investigado no STF pelo dinheiro do filme (relator André Mendonça). A Prefeitura de SP pediu explicações a uma das entidades sobre despesas.</t>
        </is>
      </c>
      <c r="H73" s="24" t="inlineStr">
        <is>
          <t>Investigado / alvo (sem denúncia)</t>
        </is>
      </c>
      <c r="I73" s="24" t="inlineStr">
        <is>
          <t>—</t>
        </is>
      </c>
      <c r="J73" s="24" t="inlineStr">
        <is>
          <t>Karina diz que Vorcaro foi intermediário e que o dinheiro veio do fundo Heavengate, do Texas. O papel de tesoureiro de fachada atribuído ao eletricista vem do vídeo e não foi reverificado.</t>
        </is>
      </c>
      <c r="K73" s="24" t="inlineStr">
        <is>
          <t>Produtora diz que filme já custou R$ 65,7 mi (oliberal.com) https://www.oliberal.com/politica/produtora-diz-que-filme-de-bolsonaro-ja-custou-r-65-7-milhoes-vorcaro-bancou-90-do-custo-1.1123519 | Deputados indicaram R$ 700 mil a entidades da produtora (cnnbrasil.com.br) https://www.cnnbrasil.com.br/politica/deputados-de-sp-indicaram-r-700-mil-a-entidades-da-produtora-de-dark-horse/ | Prefeitura pede explicações a ONG ligada a Dark Horse (dgabc.com.br) https://www.dgabc.com.br/Noticia/4334231/prefeitura-de-sp-pede-explicacoes-a-ong-ligada-a-dark-horse-por-despesas-de-rs-13-4-milhoes</t>
        </is>
      </c>
      <c r="L73" s="24" t="inlineStr">
        <is>
          <t>22/10/2026</t>
        </is>
      </c>
      <c r="M73" s="24" t="inlineStr">
        <is>
          <t>22/10/2026: rodada contexto e imagens (perfil novo).</t>
        </is>
      </c>
    </row>
    <row r="74">
      <c r="A74" s="24" t="inlineStr">
        <is>
          <t>bestbet</t>
        </is>
      </c>
      <c r="B74" s="24" t="inlineStr">
        <is>
          <t>Best Bet (Rede Loto)</t>
        </is>
      </c>
      <c r="C74" s="24" t="inlineStr">
        <is>
          <t>Willer Tomaz e sua rede</t>
        </is>
      </c>
      <c r="D74" s="24" t="inlineStr">
        <is>
          <t>Nome fantasia da Rede Loto, registrada em SP em fev/2023 e licenciada pela Loterj em 25/05/2023, a primeira bet autorizada no país. A única acionista é a Cathedral Holdings, de Willer Tomaz e sócios. A PF apura se Willer controla a empresa de fato e encontrou canhotos de voos de Flávio na Europa (2025) pagos via Cathedral.</t>
        </is>
      </c>
      <c r="E74" s="24" t="inlineStr">
        <is>
          <t>São Paulo (SP)</t>
        </is>
      </c>
      <c r="F74" s="24" t="inlineStr">
        <is>
          <t>—</t>
        </is>
      </c>
      <c r="G74" s="24" t="inlineStr">
        <is>
          <t>Citada no inquérito enviado ao STF em out/2026 (relator Moraes).</t>
        </is>
      </c>
      <c r="H74" s="24" t="inlineStr">
        <is>
          <t>Investigado / alvo (sem denúncia)</t>
        </is>
      </c>
      <c r="I74" s="24" t="inlineStr">
        <is>
          <t>—</t>
        </is>
      </c>
      <c r="J74" s="24" t="inlineStr">
        <is>
          <t>A defesa diz que a bet nunca chegou a operar e que os voos foram pagos por Willer, como passeios entre famílias.</t>
        </is>
      </c>
      <c r="K74" s="24" t="inlineStr">
        <is>
          <t>Bet de investigado pagou voos de Flávio (diariodepernambuco.com.br) https://www.diariodepernambuco.com.br/politica/2026/10/11726788-bet-de-investigado-por-fraude-no-inss-pagou-voos-de-flavio-bolsonaro-na-europa-aponta-pf.html | Segundo inquérito contra Flávio no STF (oliberal.com) https://www.oliberal.com/politica/flavio-e-investigado-em-2-inquerito-no-stf-para-apurar-suspeitas-de-lavagem-com-advogado-1.1183991</t>
        </is>
      </c>
      <c r="L74" s="24" t="inlineStr">
        <is>
          <t>22/10/2026</t>
        </is>
      </c>
      <c r="M74" s="24" t="inlineStr">
        <is>
          <t>22/10/2026: rodada contexto e imagens (perfil novo).</t>
        </is>
      </c>
    </row>
    <row r="75">
      <c r="A75" s="24" t="inlineStr">
        <is>
          <t>cathedral</t>
        </is>
      </c>
      <c r="B75" s="24" t="inlineStr">
        <is>
          <t>Cathedral Holdings</t>
        </is>
      </c>
      <c r="C75" s="24" t="inlineStr">
        <is>
          <t>Willer Tomaz e sua rede</t>
        </is>
      </c>
      <c r="D75" s="24" t="inlineStr">
        <is>
          <t>Cathedral Holdings S.A., aberta na Ilha da Madeira (Portugal) em jan/2023 só com sócios brasileiros: Willer Tomaz, a mulher e a irmã dele, Jorge Barbosa Dias e um parente de Dias. É a única acionista da Rede Loto (Best Bet). Segundo a PF, pagou voos de Flávio e da mulher entre Lisboa, Cascais, Nice e Paris em abr e mai/2025.</t>
        </is>
      </c>
      <c r="E75" s="24" t="inlineStr">
        <is>
          <t>Funchal, Ilha da Madeira (Portugal)</t>
        </is>
      </c>
      <c r="F75" s="24" t="inlineStr">
        <is>
          <t>—</t>
        </is>
      </c>
      <c r="G75" s="24" t="inlineStr">
        <is>
          <t>Citada no inquérito da PF sobre Flávio e Willer (STF, out/2026).</t>
        </is>
      </c>
      <c r="H75" s="24" t="inlineStr">
        <is>
          <t>Investigado / alvo (sem denúncia)</t>
        </is>
      </c>
      <c r="I75" s="24" t="inlineStr">
        <is>
          <t>—</t>
        </is>
      </c>
      <c r="J75" s="24" t="inlineStr">
        <is>
          <t>Dias foi processado por jogo ilegal e lavagem em 2022 e absolvido em 2023. A defesa diz que os voos foram pagos por Willer.</t>
        </is>
      </c>
      <c r="K75" s="24" t="inlineStr">
        <is>
          <t>Bet de investigado pagou voos de Flávio (diariodepernambuco.com.br) https://www.diariodepernambuco.com.br/politica/2026/10/11726788-bet-de-investigado-por-fraude-no-inss-pagou-voos-de-flavio-bolsonaro-na-europa-aponta-pf.html | Bet de investigado pagou voos de Flávio, aponta PF (bahianoticias.com.br) https://www.bahianoticias.com.br/folha/noticia/412847-bet-de-investigado-por-fraude-do-inss-pagou-voos-de-flavio-bolsonaro-na-europa</t>
        </is>
      </c>
      <c r="L75" s="24" t="inlineStr">
        <is>
          <t>22/10/2026</t>
        </is>
      </c>
      <c r="M75" s="24" t="inlineStr">
        <is>
          <t>22/10/2026: rodada contexto e imagens (perfil novo).</t>
        </is>
      </c>
    </row>
    <row r="76">
      <c r="A76" s="24" t="inlineStr">
        <is>
          <t>bravo</t>
        </is>
      </c>
      <c r="B76" s="24" t="inlineStr">
        <is>
          <t>Bravo Grafeno</t>
        </is>
      </c>
      <c r="C76" s="24" t="inlineStr">
        <is>
          <t>Esquema do INSS</t>
        </is>
      </c>
      <c r="D76" s="24" t="inlineStr">
        <is>
          <t>Fábrica de capacetes aberta em jun/2024, com capital de R$ 100 mil, que tem como sócios Flávio e Carlos Bolsonaro (Jair já foi sócio e é garoto-propaganda). Está registrada na sala 2601 de um edifício em Águas Claras (DF), mesmo endereço de ao menos 16 empresas ligadas ao Careca do INSS, e usa o mesmo contador, Alexandre Caetano dos Reis.</t>
        </is>
      </c>
      <c r="E76" s="24" t="inlineStr">
        <is>
          <t>Águas Claras (DF)</t>
        </is>
      </c>
      <c r="F76" s="24" t="inlineStr">
        <is>
          <t>—</t>
        </is>
      </c>
      <c r="G76" s="24" t="inlineStr">
        <is>
          <t>Não há acusação contra a empresa nas fontes.</t>
        </is>
      </c>
      <c r="H76" s="24" t="inlineStr">
        <is>
          <t>Citado, sem acusação</t>
        </is>
      </c>
      <c r="I76" s="24" t="inlineStr">
        <is>
          <t>—</t>
        </is>
      </c>
      <c r="J76" s="24" t="inlineStr">
        <is>
          <t>O escritório do contador diz que a sala é um coworking de outra empresa. Flávio nega envolvimento com o caso INSS.</t>
        </is>
      </c>
      <c r="K76" s="24"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76" s="24" t="inlineStr">
        <is>
          <t>22/10/2026</t>
        </is>
      </c>
      <c r="M76" s="24" t="inlineStr">
        <is>
          <t>22/10/2026: rodada contexto e imagens (perfil novo).</t>
        </is>
      </c>
    </row>
    <row r="77">
      <c r="A77" s="24" t="inlineStr">
        <is>
          <t>escf</t>
        </is>
      </c>
      <c r="B77" s="24" t="inlineStr">
        <is>
          <t>Escritório de advocacia de Flávio</t>
        </is>
      </c>
      <c r="C77" s="24" t="inlineStr">
        <is>
          <t>Flávio e família</t>
        </is>
      </c>
      <c r="D77" s="24" t="inlineStr">
        <is>
          <t>Banca de advocacia de Flávio, ativa desde 2021 e com sede na casa do senador, em Brasília. É administrada à distância por Letícia Caetano dos Reis, e a contabilidade é feita pelo escritório do irmão dela, Alexandre. Em abr/2025 emitiu nota de R$ 500 mil por "assessoria jurídica" a uma empresa ligada a uma consultoria que recebeu R$ 58 mi do Master.</t>
        </is>
      </c>
      <c r="E77" s="24" t="inlineStr">
        <is>
          <t>Brasília (DF)</t>
        </is>
      </c>
      <c r="F77" s="24" t="inlineStr">
        <is>
          <t>—</t>
        </is>
      </c>
      <c r="G77" s="24" t="inlineStr">
        <is>
          <t>Não há acusação contra o escritório nas fontes. Figura em ao menos 18 processos.</t>
        </is>
      </c>
      <c r="H77" s="24" t="inlineStr">
        <is>
          <t>Citado, sem acusação</t>
        </is>
      </c>
      <c r="I77" s="24" t="inlineStr">
        <is>
          <t>—</t>
        </is>
      </c>
      <c r="J77" s="24" t="inlineStr">
        <is>
          <t>Flávio alega sigilo profissional e não revela os clientes.</t>
        </is>
      </c>
      <c r="K77" s="24" t="inlineStr">
        <is>
          <t>Escritório de Flávio que emitiu nota de R$ 500 mil (tribunadosertao.com.br) https://www.tribunadosertao.com.br/poder-e-governo/2026/07/26/946935-escritorio-de-advocacia-de-flavio-que-emitiu-nota-de-r-500-mil-tem-atuacao-discreta-e-gestao-a-distancia | Firma de advocacia de Flávio (apublica.org) https://apublica.org/2022/06/firma-de-advocacia-de-flavio-bolsonaro-tem-contratos-consideraveis-diz-administradora/</t>
        </is>
      </c>
      <c r="L77" s="24" t="inlineStr">
        <is>
          <t>22/10/2026</t>
        </is>
      </c>
      <c r="M77" s="24" t="inlineStr">
        <is>
          <t>22/10/2026: rodada contexto e imagens (perfil novo).</t>
        </is>
      </c>
    </row>
    <row r="78">
      <c r="A78" s="24" t="inlineStr">
        <is>
          <t>consult</t>
        </is>
      </c>
      <c r="B78" s="24" t="inlineStr">
        <is>
          <t>Consultoria do amigo de Nunes</t>
        </is>
      </c>
      <c r="C78" s="24" t="inlineStr">
        <is>
          <t>Poder e Justiça</t>
        </is>
      </c>
      <c r="D78" s="24" t="inlineStr">
        <is>
          <t>Consult Inteligência Tributária. Segundo relatório do Coaf, recebeu R$ 6,6 mi do Banco Master e R$ 11,3 mi da JBS entre 2024 e 2025, e repassou R$ 281,6 mil, em 11 parcelas, ao escritório de Kevin Marques, filho do ministro Nunes Marques.</t>
        </is>
      </c>
      <c r="E78" s="24" t="inlineStr">
        <is>
          <t>—</t>
        </is>
      </c>
      <c r="F78" s="24" t="inlineStr">
        <is>
          <t>—</t>
        </is>
      </c>
      <c r="G78" s="24" t="inlineStr">
        <is>
          <t>Aparece em relatório do Coaf sobre movimentações atípicas; sem acusação formal nas fontes.</t>
        </is>
      </c>
      <c r="H78" s="24" t="inlineStr">
        <is>
          <t>Citado, sem acusação</t>
        </is>
      </c>
      <c r="I78" s="24" t="inlineStr">
        <is>
          <t>—</t>
        </is>
      </c>
      <c r="J78" s="24" t="inlineStr">
        <is>
          <t>As reportagens não nomeiam o dono, e a ligação "amigo de Nunes" vem do vídeo de origem, sem confirmação. A defesa de Kevin diz que ele prestou serviços tributários e nunca recebeu direto das empresas. A JBS diz que contrata consultorias pela complexidade tributária.</t>
        </is>
      </c>
      <c r="K78" s="24" t="inlineStr">
        <is>
          <t>Quem é Kevin Nunes Marques (istoe.com.br) https://istoe.com.br/quem-e-kelvin-nunes-marques-filho-do-ministro-do-stf-que-diz | Consultoria ligada ao Master e à JBS contratou filho de Nunes Marques (metropoles.com) https://www.metropoles.com/brasil/consultoria-ligada-ao-master-e-a-jbs-contratou-filho-de-nunes-marques</t>
        </is>
      </c>
      <c r="L78" s="24" t="inlineStr">
        <is>
          <t>22/10/2026</t>
        </is>
      </c>
      <c r="M78" s="24" t="inlineStr">
        <is>
          <t>22/10/2026: rodada contexto e imagens (perfil novo).</t>
        </is>
      </c>
    </row>
    <row r="79">
      <c r="A79" s="24" t="inlineStr">
        <is>
          <t>riopag</t>
        </is>
      </c>
      <c r="B79" s="24" t="inlineStr">
        <is>
          <t>Rio Pag</t>
        </is>
      </c>
      <c r="C79" s="24" t="inlineStr">
        <is>
          <t>Willer Tomaz e sua rede</t>
        </is>
      </c>
      <c r="D79" s="24" t="inlineStr">
        <is>
          <t>Intermediadora de pagamentos (depósitos e saques) das bets licenciadas pela Loterj, contratada em 2023. Faturou R$ 187,8 mi em taxas entre jun/2023 e ago/2026. A única acionista é a Capital Pretium, representada por Lídia Mazelli. Em e-mail achado pela PF, Willer se apresentou como sócio.</t>
        </is>
      </c>
      <c r="E79" s="24" t="inlineStr">
        <is>
          <t>Rio de Janeiro (RJ)</t>
        </is>
      </c>
      <c r="F79" s="24" t="inlineStr">
        <is>
          <t>—</t>
        </is>
      </c>
      <c r="G79" s="24" t="inlineStr">
        <is>
          <t>A Loterj rescindiu o contrato em 22/09/2026 e cobra R$ 9,4 mi, acusando a empresa de reter R$ 20,9 mi; três dias depois uma liminar suspendeu a rescisão.</t>
        </is>
      </c>
      <c r="H79" s="24" t="inlineStr">
        <is>
          <t>Investigado / alvo (sem denúncia)</t>
        </is>
      </c>
      <c r="I79" s="24" t="inlineStr">
        <is>
          <t>—</t>
        </is>
      </c>
      <c r="J79" s="24" t="inlineStr">
        <is>
          <t>Willer nega ser sócio ou gestor e diz que a relação é só de advogado. Antes dizia não ter participação; depois admitiu participação indireta (O Globo).</t>
        </is>
      </c>
      <c r="K79" s="24" t="inlineStr">
        <is>
          <t>Empresa ligada a amigo de Flávio faturou R$ 187,8 mi (ncnews.com.br) https://ncnews.com.br/?p=55340 | Loterj rescinde contrato com a RioPag (bnldata.com.br) https://bnldata.com.br/loterj-rescinde-contrato-com-riopag-e-cobra-r-94-mi-da-empresa/</t>
        </is>
      </c>
      <c r="L79" s="24" t="inlineStr">
        <is>
          <t>22/10/2026</t>
        </is>
      </c>
      <c r="M79" s="24" t="inlineStr">
        <is>
          <t>22/10/2026: rodada contexto e imagens (perfil novo).</t>
        </is>
      </c>
    </row>
    <row r="80">
      <c r="A80" s="24" t="inlineStr">
        <is>
          <t>luri</t>
        </is>
      </c>
      <c r="B80" s="24" t="inlineStr">
        <is>
          <t>Allure Eventos</t>
        </is>
      </c>
      <c r="C80" s="24" t="inlineStr">
        <is>
          <t>Vorcaro e o Banco Master</t>
        </is>
      </c>
      <c r="D80" s="24" t="inlineStr">
        <is>
          <t>Allure Eventos, agência de eventos de Felipe Nisti Cataldo. Segundo o UOL, recrutava mulheres, inclusive estrangeiras, para festas privadas de Vorcaro no Brasil e no exterior. Mensagens indicam Vorcaro como sócio oculto, e um contrato de dez/2023 previa a compra de 50% da agência por R$ 1,5 mi.</t>
        </is>
      </c>
      <c r="E80" s="24" t="inlineStr">
        <is>
          <t>São Paulo (SP)</t>
        </is>
      </c>
      <c r="F80" s="24" t="inlineStr">
        <is>
          <t>—</t>
        </is>
      </c>
      <c r="G80" s="24" t="inlineStr">
        <is>
          <t>A PF abriu inquérito em mai/2026 sobre a contratação das estrangeiras.</t>
        </is>
      </c>
      <c r="H80" s="24" t="inlineStr">
        <is>
          <t>Investigado / alvo (sem denúncia)</t>
        </is>
      </c>
      <c r="I80" s="24" t="inlineStr">
        <is>
          <t>—</t>
        </is>
      </c>
      <c r="J80" s="24" t="inlineStr">
        <is>
          <t>O nó se chamava "Luri Eventos", provável erro de transcrição do vídeo; as reportagens grafam Allure Eventos (confirmado em 22/10/2026). O dono confirma o interesse de Vorcaro, mas nega que a compra tenha avançado e contesta a versão das mensagens. Uma das reportagens não afirma explicitamente que a Allure é a agência usada no recrutamento.</t>
        </is>
      </c>
      <c r="K80" s="24" t="inlineStr">
        <is>
          <t>Mensagens apontam Vorcaro como sócio de agência (maisgoias.com.br) https://www.maisgoias.com.br/brasil/justica/mensagens-apontam-vorcaro-como-socio-de-agencia-que-recrutava-refugiadas-para-prostituicao/ | Mensagens ligam Vorcaro a recrutamento (jornalopcao.com.br) https://www.jornalopcao.com.br/ultimas-noticias/daniel-vorcaro-esquema-prostituicao-878361/ | Mensagens ligam Vorcaro a esquema de recrutamento (acritica.net) https://acritica.net/policia/mensagens-ligam-daniel-vorcaro-a-esquema-de-prostituicao-e-recrutamento-de-refugiadas/</t>
        </is>
      </c>
      <c r="L80" s="24" t="inlineStr">
        <is>
          <t>22/10/2026</t>
        </is>
      </c>
      <c r="M80" s="24" t="inlineStr">
        <is>
          <t>22/10/2026: rodada contexto e imagens (perfil novo). 22/10/2026: renomeado de "Luri Eventos" para "Allure Eventos".</t>
        </is>
      </c>
    </row>
    <row r="81">
      <c r="A81" s="24" t="inlineStr">
        <is>
          <t>ongbrazao</t>
        </is>
      </c>
      <c r="B81" s="24" t="inlineStr">
        <is>
          <t>ONG ligada aos irmãos Brazão</t>
        </is>
      </c>
      <c r="C81" s="24" t="inlineStr">
        <is>
          <t>Flávio e família</t>
        </is>
      </c>
      <c r="D81" s="24" t="inlineStr">
        <is>
          <t>Instituto de Formação Profissional José Carlos Procópio (Ifop), numa sala comercial em Taquara, Zona Oeste do Rio, área de influência dos Brazão. Recebeu R$ 199 mil de emenda de Flávio em 29/11/2023 para um projeto de futebol infantil. A PF apura se o repasse fez parte de um esquema de desvio de verbas de entidades ligadas aos Brazão, que teriam recebido R$ 268 mi entre 2020 e 2024.</t>
        </is>
      </c>
      <c r="E81" s="24" t="inlineStr">
        <is>
          <t>Taquara, Rio de Janeiro (RJ)</t>
        </is>
      </c>
      <c r="F81" s="24" t="inlineStr">
        <is>
          <t>—</t>
        </is>
      </c>
      <c r="G81" s="24" t="inlineStr">
        <is>
          <t>Investigação da PF em andamento; sem denúncia nas fontes.</t>
        </is>
      </c>
      <c r="H81" s="24" t="inlineStr">
        <is>
          <t>Investigado / alvo (sem denúncia)</t>
        </is>
      </c>
      <c r="I81" s="24" t="inlineStr">
        <is>
          <t>—</t>
        </is>
      </c>
      <c r="J81" s="24" t="inlineStr">
        <is>
          <t>O Ifop nega relação com Peixe ou com os Brazão e diz que prestou contas ao Ministério do Esporte e devolveu o que sobrou.</t>
        </is>
      </c>
      <c r="K81" s="24" t="inlineStr">
        <is>
          <t>PF apura emenda de Flávio para ONG dos Brazão (infomoney.com.br) https://www.infomoney.com.br/politica/pf-apura-emenda-de-flavio-para-ong-suspeita-de-integrar-esquema-dos-irmaos-brazao/ | Quem é Peixe (tvtnews.com.br) https://tvtnews.com.br/?p=804271</t>
        </is>
      </c>
      <c r="L81" s="24" t="inlineStr">
        <is>
          <t>22/10/2026</t>
        </is>
      </c>
      <c r="M81" s="24" t="inlineStr">
        <is>
          <t>22/10/2026: rodada contexto e imagens (perfil novo).</t>
        </is>
      </c>
    </row>
    <row r="82">
      <c r="A82" s="24" t="inlineStr">
        <is>
          <t>kopenhagen</t>
        </is>
      </c>
      <c r="B82" s="24" t="inlineStr">
        <is>
          <t>Loja Kopenhagen de Flávio</t>
        </is>
      </c>
      <c r="C82" s="24" t="inlineStr">
        <is>
          <t>Flávio e família</t>
        </is>
      </c>
      <c r="D82" s="24" t="inlineStr">
        <is>
          <t>Franquia de chocolates no Shopping Via Parque (Barra da Tijuca), da empresa Bolsotini Chocolates e Café, de Flávio e do sócio Alexandre Santini, comprada entre 2014 e 2015. O MP-RJ suspeitou que a loja servia para lavar dinheiro da rachadinha, com até R$ 2,1 mi "legalizados" e depósitos em espécie desproporcionais ao faturamento. A operação foi repassada ao grupo CRM em fev/2021.</t>
        </is>
      </c>
      <c r="E82" s="24" t="inlineStr">
        <is>
          <t>Barra da Tijuca, Rio de Janeiro (RJ)</t>
        </is>
      </c>
      <c r="F82" s="24" t="inlineStr">
        <is>
          <t>—</t>
        </is>
      </c>
      <c r="G82" s="24" t="inlineStr">
        <is>
          <t>Fazia parte da denúncia da rachadinha, que perdeu efeito com as anulações de provas.</t>
        </is>
      </c>
      <c r="H82" s="24" t="inlineStr">
        <is>
          <t>Caso</t>
        </is>
      </c>
      <c r="I82" s="24" t="inlineStr">
        <is>
          <t>—</t>
        </is>
      </c>
      <c r="J82" s="24" t="inlineStr">
        <is>
          <t>Flávio nega crime e diz que as operações da loja eram legais. A marca Kopenhagen não é parte do caso; por isso o nó fica sem logo.</t>
        </is>
      </c>
      <c r="K82" s="24" t="inlineStr">
        <is>
          <t>Flávio entrega loja investigada pelo MP (poder360.com.br) https://www.poder360.com.br/brasil/flavio-bolsonaro-entrega-loja-de-chocolates-investigada-pelo-mp/ | Investigação apura se loja lavou R$ 2,1 mi (opovo.com.br) https://www.opovo.com.br/noticias/politica/2020/08/20/investigacao-apura-se-loja-de-flavio-bolsonaro--lavou--r--2-1-milhoes.html</t>
        </is>
      </c>
      <c r="L82" s="24" t="inlineStr">
        <is>
          <t>22/10/2026</t>
        </is>
      </c>
      <c r="M82" s="24" t="inlineStr">
        <is>
          <t>22/10/2026: rodada contexto e imagens (perfil novo).</t>
        </is>
      </c>
    </row>
    <row r="83">
      <c r="A83" s="24" t="inlineStr">
        <is>
          <t>santander</t>
        </is>
      </c>
      <c r="B83" s="24" t="inlineStr">
        <is>
          <t>Santander</t>
        </is>
      </c>
      <c r="C83" s="24" t="inlineStr">
        <is>
          <t>Willer Tomaz e sua rede</t>
        </is>
      </c>
      <c r="D83" s="24" t="inlineStr">
        <is>
          <t>Banco onde a Alcazar Holdings, de Willer Tomaz, mantinha conta. Segundo a PF e a piauí, Flávio aparecia como "usuário master" dessa conta, e um e-mail da secretária de Willer em 22/05/2025 pediu ao banco a exclusão dele, confirmada no mesmo dia.</t>
        </is>
      </c>
      <c r="E83" s="24" t="inlineStr">
        <is>
          <t>—</t>
        </is>
      </c>
      <c r="F83" s="24" t="inlineStr">
        <is>
          <t>—</t>
        </is>
      </c>
      <c r="G83" s="24" t="inlineStr">
        <is>
          <t>O banco não é investigado; a conta é citada no inquérito sobre Flávio e Willer.</t>
        </is>
      </c>
      <c r="H83" s="24" t="inlineStr">
        <is>
          <t>Citado, sem acusação</t>
        </is>
      </c>
      <c r="I83" s="24" t="inlineStr">
        <is>
          <t>—</t>
        </is>
      </c>
      <c r="J83" s="24" t="inlineStr">
        <is>
          <t>Willer atribui o vínculo a um erro cadastral do banco.</t>
        </is>
      </c>
      <c r="K83" s="24" t="inlineStr">
        <is>
          <t>Flávio era usuário master de conta de offshore (maisgoias.com.br) https://www.maisgoias.com.br/brasil/flavio-bolsonaro-era-usuario-master-de-conta-de-offshore-socia-do-jato-usado-por-vorcaro/ | Offshore ligada a Flávio (jornalopcao.com.br) https://www.jornalopcao.com.br/ultimas-noticias/offshore-ligada-a-flavio-bolsonaro-reune-conexoes-com-o-mercado-de-bets-879306/</t>
        </is>
      </c>
      <c r="L83" s="24" t="inlineStr">
        <is>
          <t>22/10/2026</t>
        </is>
      </c>
      <c r="M83" s="24" t="inlineStr">
        <is>
          <t>22/10/2026: rodada contexto e imagens (perfil novo).</t>
        </is>
      </c>
      <c r="N83" s="24" t="inlineStr">
        <is>
          <t>santander.png</t>
        </is>
      </c>
      <c r="O83" s="24" t="inlineStr">
        <is>
          <t>Interbrand · domínio público (logo simples, sem direito autoral)</t>
        </is>
      </c>
      <c r="P83" s="24" t="inlineStr">
        <is>
          <t>https://commons.wikimedia.org/wiki/File:Banco_Santander_Logotipo.svg</t>
        </is>
      </c>
    </row>
    <row r="84">
      <c r="A84" s="24" t="inlineStr">
        <is>
          <t>bets</t>
        </is>
      </c>
      <c r="B84" s="24" t="inlineStr">
        <is>
          <t>Blaze e sites de apostas</t>
        </is>
      </c>
      <c r="C84" s="24" t="inlineStr">
        <is>
          <t>Willer Tomaz e sua rede</t>
        </is>
      </c>
      <c r="D84" s="24" t="inlineStr">
        <is>
          <t>Plataforma de apostas Blaze. Segundo o Metrópoles, Willer Tomaz movimentou cerca de R$ 5 bi em apostas de cassino on-line nela em 2025, com prejuízo líquido de R$ 163 mi. Ele foi à Justiça de SP alegando vício e cobrando a plataforma. A PF abriu frente de investigação sobre possível lavagem por apostas.</t>
        </is>
      </c>
      <c r="E84" s="24" t="inlineStr">
        <is>
          <t>—</t>
        </is>
      </c>
      <c r="F84" s="24" t="inlineStr">
        <is>
          <t>—</t>
        </is>
      </c>
      <c r="G84" s="24" t="inlineStr">
        <is>
          <t>A plataforma não é acusada nas fontes. A Justiça de SP negou o pedido de ressarcimento de Willer.</t>
        </is>
      </c>
      <c r="H84" s="24" t="inlineStr">
        <is>
          <t>Citado, sem acusação</t>
        </is>
      </c>
      <c r="I84" s="24" t="inlineStr">
        <is>
          <t>—</t>
        </is>
      </c>
      <c r="J84" s="24" t="inlineStr">
        <is>
          <t>Willer nega lavagem e diz que tudo passou pela própria conta, de forma rastreável. As fontes divergem sobre o valor cobrado na ação (R$ 20 mi ou R$ 163 mi).</t>
        </is>
      </c>
      <c r="K84" s="24" t="inlineStr">
        <is>
          <t>Willer movimenta R$ 5 bi em apostas (bahianoticias.com.br) https://www.bahianoticias.com.br/noticia/321709-advogado-willer-tomaz-movimenta-r-5-bi-em-apostas-e-registra-prejuizo-de-r-163-mi | Justiça de SP nega ressarcimento a Willer (bnldata.com.br) https://bnldata.com.br/?p=189317</t>
        </is>
      </c>
      <c r="L84" s="24" t="inlineStr">
        <is>
          <t>22/10/2026</t>
        </is>
      </c>
      <c r="M84" s="24" t="inlineStr">
        <is>
          <t>22/10/2026: rodada contexto e imagens (perfil novo).</t>
        </is>
      </c>
      <c r="N84" s="24" t="inlineStr">
        <is>
          <t>bets.png</t>
        </is>
      </c>
      <c r="O84" s="24" t="inlineStr">
        <is>
          <t>blaze.com · domínio público (logo simples, sem direito autoral)</t>
        </is>
      </c>
      <c r="P84" s="24" t="inlineStr">
        <is>
          <t>https://commons.wikimedia.org/wiki/File:Blaze_apostas_logo.png</t>
        </is>
      </c>
    </row>
    <row r="85">
      <c r="A85" s="24" t="inlineStr">
        <is>
          <t>aptosp</t>
        </is>
      </c>
      <c r="B85" s="24" t="inlineStr">
        <is>
          <t>Apartamento de luxo em SP</t>
        </is>
      </c>
      <c r="C85" s="24" t="inlineStr">
        <is>
          <t>Casas e ativos</t>
        </is>
      </c>
      <c r="D85" s="24" t="inlineStr">
        <is>
          <t>Apartamento de 159 m² em São Paulo. Fabiano Zettel, cunhado de Vorcaro, comprou em abr/2025 por R$ 5,5 mi e vendeu em fev/2026 à WT, de Willer, por R$ 3,5 mi. Segundo a piauí, Flávio ficou lá por vários dias em ago/2026, onde se reuniu com a equipe e gravou vídeos de campanha.</t>
        </is>
      </c>
      <c r="E85" s="24" t="inlineStr">
        <is>
          <t>São Paulo (SP)</t>
        </is>
      </c>
      <c r="F85" s="24" t="inlineStr">
        <is>
          <t>—</t>
        </is>
      </c>
      <c r="G85" s="24" t="inlineStr">
        <is>
          <t>Não há processo sobre o imóvel nas fontes.</t>
        </is>
      </c>
      <c r="H85" s="24" t="inlineStr">
        <is>
          <t>Bem citado</t>
        </is>
      </c>
      <c r="I85" s="24" t="inlineStr">
        <is>
          <t>—</t>
        </is>
      </c>
      <c r="J85" s="24" t="inlineStr">
        <is>
          <t>Flávio disse à piauí que só se hospedou em hotéis da região. Willer diz não conhecer Zettel nem Vorcaro.</t>
        </is>
      </c>
      <c r="K85" s="24" t="inlineStr">
        <is>
          <t>Flávio usou em campanha imóvel de advogado alvo da PF (diariodocomercio.com.br) https://diariodocomercio.com.br/politica/flavio-bolsonaro-apartamento-pf/ | Apartamento pertenceu a cunhado de Vorcaro (timesbrasil.com.br) https://timesbrasil.com.br/brasil/apartamento-usado-por-flavio-bolsonaro-durante-campanha-eleitoral-pertenceu-a-cunhado-de-daniel-vorcaro/</t>
        </is>
      </c>
      <c r="L85" s="24" t="inlineStr">
        <is>
          <t>22/10/2026</t>
        </is>
      </c>
      <c r="M85" s="24" t="inlineStr">
        <is>
          <t>22/10/2026: rodada contexto e imagens (perfil novo).</t>
        </is>
      </c>
    </row>
    <row r="86">
      <c r="A86" s="24" t="inlineStr">
        <is>
          <t>atibaia</t>
        </is>
      </c>
      <c r="B86" s="24" t="inlineStr">
        <is>
          <t>Casa de Wassef em Atibaia</t>
        </is>
      </c>
      <c r="C86" s="24" t="inlineStr">
        <is>
          <t>Casas e ativos</t>
        </is>
      </c>
      <c r="D86" s="24" t="inlineStr">
        <is>
          <t>Casa do advogado Frederick Wassef, que defendia Flávio e Jair Bolsonaro, em Atibaia (SP). Fabrício Queiroz foi preso lá em 18/06/2020, na Operação Anjo, desdobramento da Furna da Onça.</t>
        </is>
      </c>
      <c r="E86" s="24" t="inlineStr">
        <is>
          <t>Atibaia (SP)</t>
        </is>
      </c>
      <c r="F86" s="24" t="inlineStr">
        <is>
          <t>—</t>
        </is>
      </c>
      <c r="G86" s="24" t="inlineStr">
        <is>
          <t>Não há processo sobre o imóvel.</t>
        </is>
      </c>
      <c r="H86" s="24" t="inlineStr">
        <is>
          <t>Bem citado</t>
        </is>
      </c>
      <c r="I86" s="24" t="inlineStr">
        <is>
          <t>—</t>
        </is>
      </c>
      <c r="J86" s="24" t="inlineStr">
        <is>
          <t>Wassef negou ter escondido Queiroz.</t>
        </is>
      </c>
      <c r="K86" s="24" t="inlineStr">
        <is>
          <t>Queiroz é preso em Atibaia (poder360.com.br) https://www.poder360.com.br/justica/fabricio-queiroz-ex-assessor-de-flavio-bolsonaro-e-preso/ | Advogado de Bolsonaro diz que não escondeu Queiroz (poder360.com.br) https://poder360.com.br/justica/advogado-de-bolsonaro-diz-que-nao-escondeu-queiroz-e-nega-ser-o-anjo/</t>
        </is>
      </c>
      <c r="L86" s="24" t="inlineStr">
        <is>
          <t>22/10/2026</t>
        </is>
      </c>
      <c r="M86" s="24" t="inlineStr">
        <is>
          <t>22/10/2026: rodada contexto e imagens (perfil novo).</t>
        </is>
      </c>
    </row>
    <row r="87">
      <c r="A87" s="24" t="inlineStr">
        <is>
          <t>mansaobsb</t>
        </is>
      </c>
      <c r="B87" s="24" t="inlineStr">
        <is>
          <t>Mansão de Flávio em Brasília</t>
        </is>
      </c>
      <c r="C87" s="24" t="inlineStr">
        <is>
          <t>Casas e ativos</t>
        </is>
      </c>
      <c r="D87" s="24" t="inlineStr">
        <is>
          <t>Casa comprada por Flávio em 2021 por R$ 6 mi, num terreno de 2.400 m² no Setor de Mansões Dom Bosco (Lago Sul). Foram R$ 2,87 mi de entrada e R$ 3,1 mi financiados pelo BRB a 3,71% ao ano, abaixo da média do banco; ele quitou em cerca de três anos. Também abriga o escritório de advocacia dele.</t>
        </is>
      </c>
      <c r="E87" s="24" t="inlineStr">
        <is>
          <t>Lago Sul, Brasília (DF)</t>
        </is>
      </c>
      <c r="F87" s="24" t="inlineStr">
        <is>
          <t>—</t>
        </is>
      </c>
      <c r="G87" s="24" t="inlineStr">
        <is>
          <t>A PF apura as condições do empréstimo dentro do inquérito BRB-Master.</t>
        </is>
      </c>
      <c r="H87" s="24" t="inlineStr">
        <is>
          <t>Bem citado</t>
        </is>
      </c>
      <c r="I87" s="24" t="inlineStr">
        <is>
          <t>—</t>
        </is>
      </c>
      <c r="J87" s="24" t="inlineStr">
        <is>
          <t>Flávio diz que a compra foi legal, paga com a venda de outro imóvel e da loja de chocolates.</t>
        </is>
      </c>
      <c r="K87" s="24" t="inlineStr">
        <is>
          <t>PF apura financiamento do BRB a Flávio (diariodepernambuco.com.br) https://www.diariodepernambuco.com.br/politica/2026/10/11725606-pf-apura-condicoes-de-financiamento-do-brb-a-flavio-bolsonaro-para-mansao-de-rs-6-milhoes.html | PF investiga financiamento de mansão de Flávio (jb.com.br) https://www.jb.com.br/brasil/policia/2026/10/1061098-pf-investiga-financiamento-de-mansao-de-flavio-bolsonaro-em-brasilia.html</t>
        </is>
      </c>
      <c r="L87" s="24" t="inlineStr">
        <is>
          <t>22/10/2026</t>
        </is>
      </c>
      <c r="M87" s="24" t="inlineStr">
        <is>
          <t>22/10/2026: rodada contexto e imagens (perfil novo).</t>
        </is>
      </c>
    </row>
    <row r="88">
      <c r="A88" s="24" t="inlineStr">
        <is>
          <t>hangar</t>
        </is>
      </c>
      <c r="B88" s="24" t="inlineStr">
        <is>
          <t>Hangares de Willer (Aeroporto de Brasília)</t>
        </is>
      </c>
      <c r="C88" s="24" t="inlineStr">
        <is>
          <t>Casas e ativos</t>
        </is>
      </c>
      <c r="D88" s="24" t="inlineStr">
        <is>
          <t>Hangares 36 e 37 do Aeroporto de Brasília, operados por empresas de aviação de Willer Tomaz (Ícaro Aviation e Jet Line). Na busca de ago/2026 da Operação Sem Desconto, a PF encontrou uma sala oculta, máquina de contar e malas vazias, sem dinheiro.</t>
        </is>
      </c>
      <c r="E88" s="24" t="inlineStr">
        <is>
          <t>Aeroporto de Brasília (DF)</t>
        </is>
      </c>
      <c r="F88" s="24" t="inlineStr">
        <is>
          <t>—</t>
        </is>
      </c>
      <c r="G88" s="24" t="inlineStr">
        <is>
          <t>Alvo de busca na Operação Sem Desconto (ago/2026).</t>
        </is>
      </c>
      <c r="H88" s="24" t="inlineStr">
        <is>
          <t>Bem citado</t>
        </is>
      </c>
      <c r="I88" s="24" t="inlineStr">
        <is>
          <t>—</t>
        </is>
      </c>
      <c r="J88" s="24" t="inlineStr">
        <is>
          <t>Willer nega uso irregular e diz que o espaço atende transporte de valores.</t>
        </is>
      </c>
      <c r="K88" s="24" t="inlineStr">
        <is>
          <t>Empresas e hangar de Willer (iclnoticias.com.br) https://iclnoticias.com.br/domestica-preside-empresas-fraude-flavio/ | PF mira advogado camaleão de Brasília (opovo.com.br) https://www.opovo.com.br/noticias/economia/2026/08/04/fraudes-do-inss-pf-mira-advogado-camaleao-de-brasilia-por-suspeita-de-lavagem-para-senador.html</t>
        </is>
      </c>
      <c r="L88" s="24" t="inlineStr">
        <is>
          <t>22/10/2026</t>
        </is>
      </c>
      <c r="M88" s="24" t="inlineStr">
        <is>
          <t>22/10/2026: rodada contexto e imagens (perfil novo).</t>
        </is>
      </c>
    </row>
    <row r="89">
      <c r="A89" s="24" t="inlineStr">
        <is>
          <t>sala</t>
        </is>
      </c>
      <c r="B89" s="24" t="inlineStr">
        <is>
          <t>Sala em Águas Claras (DF)</t>
        </is>
      </c>
      <c r="C89" s="24" t="inlineStr">
        <is>
          <t>Esquema do INSS</t>
        </is>
      </c>
      <c r="D89" s="24" t="inlineStr">
        <is>
          <t>Sala 2601 de um edifício comercial em Águas Claras (DF). É o endereço de ao menos 16 empresas ligadas ao Careca do INSS, oito delas abertas no mesmo dia (05/10/2023), e da Bravo Grafeno, de Flávio e Carlos. Uma das empresas do Careca, a Prospect, recebeu R$ 204,2 mi de entidades, segundo a CPMI do INSS.</t>
        </is>
      </c>
      <c r="E89" s="24" t="inlineStr">
        <is>
          <t>Águas Claras (DF)</t>
        </is>
      </c>
      <c r="F89" s="24" t="inlineStr">
        <is>
          <t>—</t>
        </is>
      </c>
      <c r="G89" s="24" t="inlineStr">
        <is>
          <t>Várias empresas do endereço são investigadas no caso INSS; algumas foram baixadas.</t>
        </is>
      </c>
      <c r="H89" s="24" t="inlineStr">
        <is>
          <t>Bem citado</t>
        </is>
      </c>
      <c r="I89" s="24" t="inlineStr">
        <is>
          <t>—</t>
        </is>
      </c>
      <c r="J89" s="24" t="inlineStr">
        <is>
          <t>O escritório do contador diz que a sala é um coworking de outra empresa.</t>
        </is>
      </c>
      <c r="K89" s="24" t="inlineStr">
        <is>
          <t>Empresas de Flávio e do Careca dividem a mesma sala (brasildefato.com.br) https://www.brasildefato.com.br/2026/09/11/empresas-de-flavio-bolsonaro-e-careca-do-inss-dividem-a-mesma-sala-em-brasilia/ | Mesma sala e mesmo contador (bahianoticias.com.br) https://www.bahianoticias.com.br/noticia/321055-empresas-de-flavio-bolsonaro-e-do-careca-do-inss-dividem-a-mesma-sala-e-possuem-o-mesmo-contador</t>
        </is>
      </c>
      <c r="L89" s="24" t="inlineStr">
        <is>
          <t>22/10/2026</t>
        </is>
      </c>
      <c r="M89" s="24" t="inlineStr">
        <is>
          <t>22/10/2026: rodada contexto e imagens (perfil novo).</t>
        </is>
      </c>
    </row>
    <row r="90">
      <c r="A90" s="24" t="inlineStr">
        <is>
          <t>escw</t>
        </is>
      </c>
      <c r="B90" s="24" t="inlineStr">
        <is>
          <t>Escritório de Willer</t>
        </is>
      </c>
      <c r="C90" s="24" t="inlineStr">
        <is>
          <t>Willer Tomaz e sua rede</t>
        </is>
      </c>
      <c r="D90" s="24" t="inlineStr">
        <is>
          <t>Escritório de advocacia de Willer Tomaz em Brasília. Foi alvo de busca da PF em 04/08/2026, na nova fase da Operação Sem Desconto, quando os agentes encontraram uma máquina de contar cédulas.</t>
        </is>
      </c>
      <c r="E90" s="24" t="inlineStr">
        <is>
          <t>Brasília (DF)</t>
        </is>
      </c>
      <c r="F90" s="24" t="inlineStr">
        <is>
          <t>—</t>
        </is>
      </c>
      <c r="G90" s="24" t="inlineStr">
        <is>
          <t>Alvo de busca e apreensão autorizada por André Mendonça.</t>
        </is>
      </c>
      <c r="H90" s="24" t="inlineStr">
        <is>
          <t>Bem citado</t>
        </is>
      </c>
      <c r="I90" s="24" t="inlineStr">
        <is>
          <t>—</t>
        </is>
      </c>
      <c r="J90" s="24" t="inlineStr">
        <is>
          <t>O dinheiro escondido em livros-cofre vem do vídeo de origem; as reportagens reverificadas citam a máquina de contar, mas não os livros-cofre. A defesa diz que a busca se deve ao empréstimo pessoal do avião a Weverton.</t>
        </is>
      </c>
      <c r="K90" s="24" t="inlineStr">
        <is>
          <t>PF acha máquina de contar cédulas (metropoles.com) https://www.metropoles.com/colunas/mirelle-pinheiro/fraude-no-inss-pf-acha-maquina-de-contar-cedulas-e-pilhas-de-dinheiro | Uma máquina de dinheiro no escritório do advogado (oantagonista.com.br) https://oantagonista.com.br/brasil/uma-maquina-de-dinheiro-no-escritorio-do-advogado-ligado-a-weverton-rocha/</t>
        </is>
      </c>
      <c r="L90" s="24" t="inlineStr">
        <is>
          <t>22/10/2026</t>
        </is>
      </c>
      <c r="M90" s="24" t="inlineStr">
        <is>
          <t>22/10/2026: rodada contexto e imagens (perfil novo).</t>
        </is>
      </c>
    </row>
    <row r="91">
      <c r="A91" s="24" t="inlineStr">
        <is>
          <t>assoc</t>
        </is>
      </c>
      <c r="B91" s="24" t="inlineStr">
        <is>
          <t>Associações de aposentados</t>
        </is>
      </c>
      <c r="C91" s="24" t="inlineStr">
        <is>
          <t>Esquema do INSS</t>
        </is>
      </c>
      <c r="D91" s="24" t="inlineStr">
        <is>
          <t>Entidades que descontavam mensalidades direto de aposentadorias e pensões do INSS. PF e CGU estimam R$ 6,3 bi descontados entre 2019 e 2024; em pesquisa da CGU, 97% dos beneficiários ouvidos disseram não ter autorizado. A Operação Sem Desconto (abr/2025) derrubou o presidente do INSS, e o dinheiro passava pelo esquema atribuído ao Careca do INSS.</t>
        </is>
      </c>
      <c r="E91" s="24" t="inlineStr">
        <is>
          <t>Nacional</t>
        </is>
      </c>
      <c r="F91" s="24" t="inlineStr">
        <is>
          <t>—</t>
        </is>
      </c>
      <c r="G91" s="24" t="inlineStr">
        <is>
          <t>Convênios suspensos; o governo prometeu ressarcir os aposentados.</t>
        </is>
      </c>
      <c r="H91" s="24" t="inlineStr">
        <is>
          <t>Investigado / alvo (sem denúncia)</t>
        </is>
      </c>
      <c r="I91" s="24" t="inlineStr">
        <is>
          <t>—</t>
        </is>
      </c>
      <c r="J91" s="24" t="inlineStr">
        <is>
          <t>Nem todo o valor é ilegal: parte dos segurados autorizou os descontos.</t>
        </is>
      </c>
      <c r="K91" s="24" t="inlineStr">
        <is>
          <t>Como funcionava o esquema de fraude no INSS (opovo.com.br) https://www.opovo.com.br/noticias/brasil/2025/04/30/como-funcionava-o-esquema-bilionario-de-fraude-no-inss.html | Crise no INSS (congressoemfoco.com.br) https://www.congressoemfoco.com.br/noticia/108221/crise-no-inss-entenda-escandalo-que-derrubou-ministro-da-previdencia</t>
        </is>
      </c>
      <c r="L91" s="24" t="inlineStr">
        <is>
          <t>22/10/2026</t>
        </is>
      </c>
      <c r="M91" s="24" t="inlineStr">
        <is>
          <t>22/10/2026: rodada contexto e imagens (perfil novo).</t>
        </is>
      </c>
    </row>
  </sheetData>
  <autoFilter ref="A1:P3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9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1"/>
    <col width="32" customWidth="1" style="24" min="2" max="2"/>
    <col width="20" customWidth="1" style="24" min="3" max="3"/>
    <col width="26" customWidth="1" style="24" min="4" max="4"/>
    <col width="70" customWidth="1" style="24" min="5" max="5"/>
    <col width="10" customWidth="1" style="24" min="6" max="6"/>
  </cols>
  <sheetData>
    <row r="1" ht="15" customHeight="1" s="25">
      <c r="A1" s="44" t="inlineStr">
        <is>
          <t>Id</t>
        </is>
      </c>
      <c r="B1" s="44" t="inlineStr">
        <is>
          <t>Label</t>
        </is>
      </c>
      <c r="C1" s="44" t="inlineStr">
        <is>
          <t>Type</t>
        </is>
      </c>
      <c r="D1" s="44" t="inlineStr">
        <is>
          <t>Group</t>
        </is>
      </c>
      <c r="E1" s="44" t="inlineStr">
        <is>
          <t>Description</t>
        </is>
      </c>
      <c r="F1" s="44" t="inlineStr">
        <is>
          <t>Degree</t>
        </is>
      </c>
      <c r="G1" s="24" t="inlineStr">
        <is>
          <t>Foto (arquivo)</t>
        </is>
      </c>
      <c r="H1" s="24" t="inlineStr">
        <is>
          <t>Crédito da foto</t>
        </is>
      </c>
      <c r="I1" s="24" t="inlineStr">
        <is>
          <t>Link da fonte da foto</t>
        </is>
      </c>
      <c r="J1" s="24" t="inlineStr">
        <is>
          <t>Nota da foto (opcional)</t>
        </is>
      </c>
    </row>
    <row r="2" ht="15" customHeight="1" s="25">
      <c r="A2" s="45" t="inlineStr">
        <is>
          <t>assoc</t>
        </is>
      </c>
      <c r="B2" s="45" t="inlineStr">
        <is>
          <t>Associações de aposentados</t>
        </is>
      </c>
      <c r="C2" s="45" t="inlineStr">
        <is>
          <t>Instituição ou caso</t>
        </is>
      </c>
      <c r="D2" s="45" t="inlineStr">
        <is>
          <t>Esquema do INSS</t>
        </is>
      </c>
      <c r="E2" s="45" t="inlineStr">
        <is>
          <t>Descontos sem autorização: mais de R$ 6 bi em 5 anos</t>
        </is>
      </c>
      <c r="F2" s="45">
        <f>COUNTIF(Edges!$A$2:$A$198,A2)+COUNTIF(Edges!$B$2:$B$198,A2)</f>
        <v/>
      </c>
      <c r="G2" s="24" t="n"/>
      <c r="H2" s="24" t="n"/>
      <c r="I2" s="24" t="n"/>
      <c r="J2" s="24" t="n"/>
    </row>
    <row r="3" ht="23.25" customHeight="1" s="25">
      <c r="A3" s="45" t="inlineStr">
        <is>
          <t>careca</t>
        </is>
      </c>
      <c r="B3" s="45" t="inlineStr">
        <is>
          <t>Careca do INSS</t>
        </is>
      </c>
      <c r="C3" s="45" t="inlineStr">
        <is>
          <t>Pessoa</t>
        </is>
      </c>
      <c r="D3" s="45" t="inlineStr">
        <is>
          <t>Esquema do INSS</t>
        </is>
      </c>
      <c r="E3" s="45" t="inlineStr">
        <is>
          <t>Lobista Antônio C. Camilo Antunes; preso; apontado pela PF como centro do esquema</t>
        </is>
      </c>
      <c r="F3" s="45">
        <f>COUNTIF(Edges!$A$2:$A$198,A3)+COUNTIF(Edges!$B$2:$B$198,A3)</f>
        <v/>
      </c>
    </row>
    <row r="4" ht="15" customHeight="1" s="25">
      <c r="A4" s="45" t="inlineStr">
        <is>
          <t>contador</t>
        </is>
      </c>
      <c r="B4" s="45" t="inlineStr">
        <is>
          <t>Alexandre Caetano dos Reis</t>
        </is>
      </c>
      <c r="C4" s="45" t="inlineStr">
        <is>
          <t>Pessoa</t>
        </is>
      </c>
      <c r="D4" s="45" t="inlineStr">
        <is>
          <t>Esquema do INSS</t>
        </is>
      </c>
      <c r="E4" s="45" t="inlineStr">
        <is>
          <t>Contador do Careca e do escritório de Flávio; preso</t>
        </is>
      </c>
      <c r="F4" s="45">
        <f>COUNTIF(Edges!$A$2:$A$198,A4)+COUNTIF(Edges!$B$2:$B$198,A4)</f>
        <v/>
      </c>
    </row>
    <row r="5" ht="15" customHeight="1" s="25">
      <c r="A5" s="45" t="inlineStr">
        <is>
          <t>leticia</t>
        </is>
      </c>
      <c r="B5" s="45" t="inlineStr">
        <is>
          <t>Letícia Caetano dos Reis</t>
        </is>
      </c>
      <c r="C5" s="45" t="inlineStr">
        <is>
          <t>Pessoa</t>
        </is>
      </c>
      <c r="D5" s="45" t="inlineStr">
        <is>
          <t>Esquema do INSS</t>
        </is>
      </c>
      <c r="E5" s="45" t="inlineStr">
        <is>
          <t>Irmã do contador; administra o escritório de Flávio</t>
        </is>
      </c>
      <c r="F5" s="45">
        <f>COUNTIF(Edges!$A$2:$A$198,A5)+COUNTIF(Edges!$B$2:$B$198,A5)</f>
        <v/>
      </c>
    </row>
    <row r="6" ht="15" customHeight="1" s="25">
      <c r="A6" s="45" t="inlineStr">
        <is>
          <t>lulinha</t>
        </is>
      </c>
      <c r="B6" s="45" t="inlineStr">
        <is>
          <t>Lulinha</t>
        </is>
      </c>
      <c r="C6" s="45" t="inlineStr">
        <is>
          <t>Pessoa</t>
        </is>
      </c>
      <c r="D6" s="45" t="inlineStr">
        <is>
          <t>Esquema do INSS</t>
        </is>
      </c>
      <c r="E6" s="45" t="inlineStr">
        <is>
          <t>3 inquéritos no STF; nega; sem indiciamento</t>
        </is>
      </c>
      <c r="F6" s="45">
        <f>COUNTIF(Edges!$A$2:$A$198,A6)+COUNTIF(Edges!$B$2:$B$198,A6)</f>
        <v/>
      </c>
    </row>
    <row r="7" ht="15" customHeight="1" s="25">
      <c r="A7" s="45" t="inlineStr">
        <is>
          <t>roberta</t>
        </is>
      </c>
      <c r="B7" s="45" t="inlineStr">
        <is>
          <t>Roberta (lobista)</t>
        </is>
      </c>
      <c r="C7" s="45" t="inlineStr">
        <is>
          <t>Pessoa</t>
        </is>
      </c>
      <c r="D7" s="45" t="inlineStr">
        <is>
          <t>Esquema do INSS</t>
        </is>
      </c>
      <c r="E7" s="45" t="inlineStr">
        <is>
          <t>Amiga de Lulinha; recebeu ~R$ 1 mi de empresa de fachada do Careca</t>
        </is>
      </c>
      <c r="F7" s="45">
        <f>COUNTIF(Edges!$A$2:$A$198,A7)+COUNTIF(Edges!$B$2:$B$198,A7)</f>
        <v/>
      </c>
    </row>
    <row r="8" ht="15" customHeight="1" s="25">
      <c r="A8" s="45" t="inlineStr">
        <is>
          <t>sala</t>
        </is>
      </c>
      <c r="B8" s="45" t="inlineStr">
        <is>
          <t>Sala em Águas Claras (DF)</t>
        </is>
      </c>
      <c r="C8" s="45" t="inlineStr">
        <is>
          <t>Casa ou ativo</t>
        </is>
      </c>
      <c r="D8" s="45" t="inlineStr">
        <is>
          <t>Esquema do INSS</t>
        </is>
      </c>
      <c r="E8" s="45" t="inlineStr">
        <is>
          <t>Endereço de Bravo Grafeno e de 16 empresas do Careca</t>
        </is>
      </c>
      <c r="F8" s="45">
        <f>COUNTIF(Edges!$A$2:$A$198,A8)+COUNTIF(Edges!$B$2:$B$198,A8)</f>
        <v/>
      </c>
      <c r="G8" s="24" t="n"/>
      <c r="H8" s="24" t="n"/>
      <c r="I8" s="24" t="n"/>
      <c r="J8" s="24" t="n"/>
    </row>
    <row r="9" ht="15" customHeight="1" s="25">
      <c r="A9" s="45" t="inlineStr">
        <is>
          <t>bravo</t>
        </is>
      </c>
      <c r="B9" s="45" t="inlineStr">
        <is>
          <t>Bravo Grafeno</t>
        </is>
      </c>
      <c r="C9" s="45" t="inlineStr">
        <is>
          <t>Empresa</t>
        </is>
      </c>
      <c r="D9" s="45" t="inlineStr">
        <is>
          <t>Esquema do INSS</t>
        </is>
      </c>
      <c r="E9" s="45" t="inlineStr">
        <is>
          <t>Fábrica de capacetes de Flávio e Carlos</t>
        </is>
      </c>
      <c r="F9" s="45">
        <f>COUNTIF(Edges!$A$2:$A$198,A9)+COUNTIF(Edges!$B$2:$B$198,A9)</f>
        <v/>
      </c>
      <c r="G9" s="24" t="n"/>
      <c r="H9" s="24" t="n"/>
      <c r="I9" s="24" t="n"/>
      <c r="J9" s="24" t="n"/>
    </row>
    <row r="10" ht="15" customHeight="1" s="25">
      <c r="A10" s="45" t="inlineStr">
        <is>
          <t>willer</t>
        </is>
      </c>
      <c r="B10" s="45" t="inlineStr">
        <is>
          <t>Willer Tomaz</t>
        </is>
      </c>
      <c r="C10" s="45" t="inlineStr">
        <is>
          <t>Pessoa</t>
        </is>
      </c>
      <c r="D10" s="45" t="inlineStr">
        <is>
          <t>Willer Tomaz e sua rede</t>
        </is>
      </c>
      <c r="E10" s="45" t="inlineStr">
        <is>
          <t>Advogado em Brasília; investigado por lavagem; nega</t>
        </is>
      </c>
      <c r="F10" s="45">
        <f>COUNTIF(Edges!$A$2:$A$198,A10)+COUNTIF(Edges!$B$2:$B$198,A10)</f>
        <v/>
      </c>
    </row>
    <row r="11" ht="15" customHeight="1" s="25">
      <c r="A11" s="45" t="inlineStr">
        <is>
          <t>escw</t>
        </is>
      </c>
      <c r="B11" s="45" t="inlineStr">
        <is>
          <t>Escritório de Willer</t>
        </is>
      </c>
      <c r="C11" s="45" t="inlineStr">
        <is>
          <t>Casa ou ativo</t>
        </is>
      </c>
      <c r="D11" s="45" t="inlineStr">
        <is>
          <t>Willer Tomaz e sua rede</t>
        </is>
      </c>
      <c r="E11" s="45" t="inlineStr">
        <is>
          <t>PF achou máquina de contar e dinheiro em livros-cofre</t>
        </is>
      </c>
      <c r="F11" s="45">
        <f>COUNTIF(Edges!$A$2:$A$198,A11)+COUNTIF(Edges!$B$2:$B$198,A11)</f>
        <v/>
      </c>
      <c r="G11" s="24" t="n"/>
      <c r="H11" s="24" t="n"/>
      <c r="I11" s="24" t="n"/>
      <c r="J11" s="24" t="n"/>
    </row>
    <row r="12" ht="15" customHeight="1" s="25">
      <c r="A12" s="45" t="inlineStr">
        <is>
          <t>bets</t>
        </is>
      </c>
      <c r="B12" s="45" t="inlineStr">
        <is>
          <t>Blaze e sites de apostas</t>
        </is>
      </c>
      <c r="C12" s="45" t="inlineStr">
        <is>
          <t>Empresa</t>
        </is>
      </c>
      <c r="D12" s="45" t="inlineStr">
        <is>
          <t>Willer Tomaz e sua rede</t>
        </is>
      </c>
      <c r="E12" s="45" t="inlineStr">
        <is>
          <t>~R$ 5 bi movimentados em 2025; PF vê possível lavagem</t>
        </is>
      </c>
      <c r="F12" s="45">
        <f>COUNTIF(Edges!$A$2:$A$198,A12)+COUNTIF(Edges!$B$2:$B$198,A12)</f>
        <v/>
      </c>
      <c r="G12" s="24" t="inlineStr">
        <is>
          <t>bets.png</t>
        </is>
      </c>
      <c r="H12" s="24" t="inlineStr">
        <is>
          <t>blaze.com · domínio público (logo simples, sem direito autoral)</t>
        </is>
      </c>
      <c r="I12" s="24" t="inlineStr">
        <is>
          <t>https://commons.wikimedia.org/wiki/File:Blaze_apostas_logo.png</t>
        </is>
      </c>
      <c r="J12" s="24" t="n"/>
    </row>
    <row r="13" ht="15" customHeight="1" s="25">
      <c r="A13" s="45" t="inlineStr">
        <is>
          <t>lidia</t>
        </is>
      </c>
      <c r="B13" s="45" t="inlineStr">
        <is>
          <t>Lídia Mazelli</t>
        </is>
      </c>
      <c r="C13" s="45" t="inlineStr">
        <is>
          <t>Pessoa</t>
        </is>
      </c>
      <c r="D13" s="45" t="inlineStr">
        <is>
          <t>Willer Tomaz e sua rede</t>
        </is>
      </c>
      <c r="E13" s="45" t="inlineStr">
        <is>
          <t>61 anos; diz ser doméstica; figura à frente de 14 empresas</t>
        </is>
      </c>
      <c r="F13" s="45">
        <f>COUNTIF(Edges!$A$2:$A$198,A13)+COUNTIF(Edges!$B$2:$B$198,A13)</f>
        <v/>
      </c>
    </row>
    <row r="14" ht="15" customHeight="1" s="25">
      <c r="A14" s="45" t="inlineStr">
        <is>
          <t>wt</t>
        </is>
      </c>
      <c r="B14" s="45" t="inlineStr">
        <is>
          <t>WT (e outras 13 empresas)</t>
        </is>
      </c>
      <c r="C14" s="45" t="inlineStr">
        <is>
          <t>Empresa</t>
        </is>
      </c>
      <c r="D14" s="45" t="inlineStr">
        <is>
          <t>Willer Tomaz e sua rede</t>
        </is>
      </c>
      <c r="E14" s="45" t="inlineStr">
        <is>
          <t>Empresa da “doméstica”; dona de mansão e apartamento</t>
        </is>
      </c>
      <c r="F14" s="45">
        <f>COUNTIF(Edges!$A$2:$A$198,A14)+COUNTIF(Edges!$B$2:$B$198,A14)</f>
        <v/>
      </c>
      <c r="G14" s="24" t="n"/>
      <c r="H14" s="24" t="n"/>
      <c r="I14" s="24" t="n"/>
      <c r="J14" s="24" t="n"/>
    </row>
    <row r="15" ht="15" customHeight="1" s="25">
      <c r="A15" s="45" t="inlineStr">
        <is>
          <t>alcazar</t>
        </is>
      </c>
      <c r="B15" s="45" t="inlineStr">
        <is>
          <t>Alcazar Holdings</t>
        </is>
      </c>
      <c r="C15" s="45" t="inlineStr">
        <is>
          <t>Empresa</t>
        </is>
      </c>
      <c r="D15" s="45" t="inlineStr">
        <is>
          <t>Willer Tomaz e sua rede</t>
        </is>
      </c>
      <c r="E15" s="45" t="inlineStr">
        <is>
          <t>Empresa ligada a Willer; conta no Santander</t>
        </is>
      </c>
      <c r="F15" s="45">
        <f>COUNTIF(Edges!$A$2:$A$198,A15)+COUNTIF(Edges!$B$2:$B$198,A15)</f>
        <v/>
      </c>
      <c r="G15" s="24" t="n"/>
      <c r="H15" s="24" t="n"/>
      <c r="I15" s="24" t="n"/>
      <c r="J15" s="24" t="n"/>
    </row>
    <row r="16" ht="15" customHeight="1" s="25">
      <c r="A16" s="45" t="inlineStr">
        <is>
          <t>santander</t>
        </is>
      </c>
      <c r="B16" s="45" t="inlineStr">
        <is>
          <t>Santander</t>
        </is>
      </c>
      <c r="C16" s="45" t="inlineStr">
        <is>
          <t>Empresa</t>
        </is>
      </c>
      <c r="D16" s="45" t="inlineStr">
        <is>
          <t>Willer Tomaz e sua rede</t>
        </is>
      </c>
      <c r="E16" s="45" t="inlineStr">
        <is>
          <t>Conta da Alcazar com Flávio como “usuário master”</t>
        </is>
      </c>
      <c r="F16" s="45">
        <f>COUNTIF(Edges!$A$2:$A$198,A16)+COUNTIF(Edges!$B$2:$B$198,A16)</f>
        <v/>
      </c>
      <c r="G16" s="24" t="inlineStr">
        <is>
          <t>santander.png</t>
        </is>
      </c>
      <c r="H16" s="24" t="inlineStr">
        <is>
          <t>Interbrand · domínio público (logo simples, sem direito autoral)</t>
        </is>
      </c>
      <c r="I16" s="24" t="inlineStr">
        <is>
          <t>https://commons.wikimedia.org/wiki/File:Banco_Santander_Logotipo.svg</t>
        </is>
      </c>
      <c r="J16" s="24" t="inlineStr"/>
    </row>
    <row r="17" ht="15" customHeight="1" s="25">
      <c r="A17" s="45" t="inlineStr">
        <is>
          <t>cpi</t>
        </is>
      </c>
      <c r="B17" s="45" t="inlineStr">
        <is>
          <t>CPI da pandemia (Covaxin)</t>
        </is>
      </c>
      <c r="C17" s="45" t="inlineStr">
        <is>
          <t>Instituição ou caso</t>
        </is>
      </c>
      <c r="D17" s="45" t="inlineStr">
        <is>
          <t>Willer Tomaz e sua rede</t>
        </is>
      </c>
      <c r="E17" s="45" t="inlineStr">
        <is>
          <t>Quebra de sigilo de Willer pedida e depois cancelada</t>
        </is>
      </c>
      <c r="F17" s="45">
        <f>COUNTIF(Edges!$A$2:$A$198,A17)+COUNTIF(Edges!$B$2:$B$198,A17)</f>
        <v/>
      </c>
      <c r="G17" s="24" t="inlineStr">
        <is>
          <t>cpi.jpg</t>
        </is>
      </c>
      <c r="H17" s="24" t="inlineStr">
        <is>
          <t>Agência Senado · CC BY 2.0</t>
        </is>
      </c>
      <c r="I17" s="24" t="inlineStr">
        <is>
          <t>https://commons.wikimedia.org/wiki/File:CPIPANDEMIA_-_Comiss%C3%A3o_Parlamentar_de_Inqu%C3%A9rito_da_Pandemia_(1).jpg</t>
        </is>
      </c>
      <c r="J17" s="24" t="inlineStr"/>
    </row>
    <row r="18" ht="15" customHeight="1" s="25">
      <c r="A18" s="45" t="inlineStr">
        <is>
          <t>renan</t>
        </is>
      </c>
      <c r="B18" s="45" t="inlineStr">
        <is>
          <t>Renan Calheiros</t>
        </is>
      </c>
      <c r="C18" s="45" t="inlineStr">
        <is>
          <t>Pessoa</t>
        </is>
      </c>
      <c r="D18" s="45" t="inlineStr">
        <is>
          <t>Willer Tomaz e sua rede</t>
        </is>
      </c>
      <c r="E18" s="45" t="inlineStr">
        <is>
          <t>Relator da CPI; pediu a quebra de sigilo</t>
        </is>
      </c>
      <c r="F18" s="45">
        <f>COUNTIF(Edges!$A$2:$A$198,A18)+COUNTIF(Edges!$B$2:$B$198,A18)</f>
        <v/>
      </c>
    </row>
    <row r="19" ht="15" customHeight="1" s="25">
      <c r="A19" s="45" t="inlineStr">
        <is>
          <t>flavio</t>
        </is>
      </c>
      <c r="B19" s="45" t="inlineStr">
        <is>
          <t>Flávio Bolsonaro</t>
        </is>
      </c>
      <c r="C19" s="45" t="inlineStr">
        <is>
          <t>Pessoa</t>
        </is>
      </c>
      <c r="D19" s="45" t="inlineStr">
        <is>
          <t>Flávio e família</t>
        </is>
      </c>
      <c r="E19" s="45" t="inlineStr">
        <is>
          <t>Senador e candidato a presidente; nega irregularidades</t>
        </is>
      </c>
      <c r="F19" s="45">
        <f>COUNTIF(Edges!$A$2:$A$198,A19)+COUNTIF(Edges!$B$2:$B$198,A19)</f>
        <v/>
      </c>
    </row>
    <row r="20" ht="15" customHeight="1" s="25">
      <c r="A20" s="45" t="inlineStr">
        <is>
          <t>fam</t>
        </is>
      </c>
      <c r="B20" s="45" t="inlineStr">
        <is>
          <t>Mulher e filhas de Flávio</t>
        </is>
      </c>
      <c r="C20" s="45" t="inlineStr">
        <is>
          <t>Pessoa</t>
        </is>
      </c>
      <c r="D20" s="45" t="inlineStr">
        <is>
          <t>Flávio e família</t>
        </is>
      </c>
      <c r="E20" s="45" t="inlineStr">
        <is>
          <t>Voaram no jato em jan/2025</t>
        </is>
      </c>
      <c r="F20" s="45">
        <f>COUNTIF(Edges!$A$2:$A$198,A20)+COUNTIF(Edges!$B$2:$B$198,A20)</f>
        <v/>
      </c>
    </row>
    <row r="21" ht="15" customHeight="1" s="25">
      <c r="A21" s="45" t="inlineStr">
        <is>
          <t>carlos</t>
        </is>
      </c>
      <c r="B21" s="45" t="inlineStr">
        <is>
          <t>Carlos Bolsonaro</t>
        </is>
      </c>
      <c r="C21" s="45" t="inlineStr">
        <is>
          <t>Pessoa</t>
        </is>
      </c>
      <c r="D21" s="45" t="inlineStr">
        <is>
          <t>Flávio e família</t>
        </is>
      </c>
      <c r="E21" s="45" t="inlineStr">
        <is>
          <t>Irmão; sócio na Bravo Grafeno</t>
        </is>
      </c>
      <c r="F21" s="45">
        <f>COUNTIF(Edges!$A$2:$A$198,A21)+COUNTIF(Edges!$B$2:$B$198,A21)</f>
        <v/>
      </c>
    </row>
    <row r="22" ht="15" customHeight="1" s="25">
      <c r="A22" s="45" t="inlineStr">
        <is>
          <t>escf</t>
        </is>
      </c>
      <c r="B22" s="45" t="inlineStr">
        <is>
          <t>Escritório de advocacia de Flávio</t>
        </is>
      </c>
      <c r="C22" s="45" t="inlineStr">
        <is>
          <t>Empresa</t>
        </is>
      </c>
      <c r="D22" s="45" t="inlineStr">
        <is>
          <t>Flávio e família</t>
        </is>
      </c>
      <c r="E22" s="45" t="inlineStr">
        <is>
          <t>Aberto em 2021</t>
        </is>
      </c>
      <c r="F22" s="45">
        <f>COUNTIF(Edges!$A$2:$A$198,A22)+COUNTIF(Edges!$B$2:$B$198,A22)</f>
        <v/>
      </c>
      <c r="G22" s="24" t="n"/>
      <c r="H22" s="24" t="n"/>
      <c r="I22" s="24" t="n"/>
      <c r="J22" s="24" t="n"/>
    </row>
    <row r="23" ht="15" customHeight="1" s="25">
      <c r="A23" s="45" t="inlineStr">
        <is>
          <t>ong</t>
        </is>
      </c>
      <c r="B23" s="45" t="inlineStr">
        <is>
          <t>ONG e produtora do filme</t>
        </is>
      </c>
      <c r="C23" s="45" t="inlineStr">
        <is>
          <t>Empresa</t>
        </is>
      </c>
      <c r="D23" s="45" t="inlineStr">
        <is>
          <t>Flávio e família</t>
        </is>
      </c>
      <c r="E23" s="45" t="inlineStr">
        <is>
          <t>Filme sobre Jair; ~US$ 24 mi negociados com Vorcaro</t>
        </is>
      </c>
      <c r="F23" s="45">
        <f>COUNTIF(Edges!$A$2:$A$198,A23)+COUNTIF(Edges!$B$2:$B$198,A23)</f>
        <v/>
      </c>
      <c r="G23" s="24" t="n"/>
      <c r="H23" s="24" t="n"/>
      <c r="I23" s="24" t="n"/>
      <c r="J23" s="24" t="n"/>
    </row>
    <row r="24" ht="15" customHeight="1" s="25">
      <c r="A24" s="45" t="inlineStr">
        <is>
          <t>eletricista</t>
        </is>
      </c>
      <c r="B24" s="45" t="inlineStr">
        <is>
          <t>Eletricista</t>
        </is>
      </c>
      <c r="C24" s="45" t="inlineStr">
        <is>
          <t>Pessoa</t>
        </is>
      </c>
      <c r="D24" s="45" t="inlineStr">
        <is>
          <t>Flávio e família</t>
        </is>
      </c>
      <c r="E24" s="45" t="inlineStr">
        <is>
          <t>Tesoureiro no papel; diz que só emprestou o nome</t>
        </is>
      </c>
      <c r="F24" s="45">
        <f>COUNTIF(Edges!$A$2:$A$198,A24)+COUNTIF(Edges!$B$2:$B$198,A24)</f>
        <v/>
      </c>
    </row>
    <row r="25" ht="15" customHeight="1" s="25">
      <c r="A25" s="45" t="inlineStr">
        <is>
          <t>jair</t>
        </is>
      </c>
      <c r="B25" s="45" t="inlineStr">
        <is>
          <t>Jair Bolsonaro</t>
        </is>
      </c>
      <c r="C25" s="45" t="inlineStr">
        <is>
          <t>Pessoa</t>
        </is>
      </c>
      <c r="D25" s="45" t="inlineStr">
        <is>
          <t>Flávio e família</t>
        </is>
      </c>
      <c r="E25" s="45" t="inlineStr">
        <is>
          <t>Pai; ex-presidente; hoje preso</t>
        </is>
      </c>
      <c r="F25" s="45">
        <f>COUNTIF(Edges!$A$2:$A$198,A25)+COUNTIF(Edges!$B$2:$B$198,A25)</f>
        <v/>
      </c>
    </row>
    <row r="26" ht="15" customHeight="1" s="25">
      <c r="A26" s="45" t="inlineStr">
        <is>
          <t>wassef</t>
        </is>
      </c>
      <c r="B26" s="45" t="inlineStr">
        <is>
          <t>Frederick Wassef</t>
        </is>
      </c>
      <c r="C26" s="45" t="inlineStr">
        <is>
          <t>Pessoa</t>
        </is>
      </c>
      <c r="D26" s="45" t="inlineStr">
        <is>
          <t>Flávio e família</t>
        </is>
      </c>
      <c r="E26" s="45" t="inlineStr">
        <is>
          <t>Advogado da família Bolsonaro</t>
        </is>
      </c>
      <c r="F26" s="45">
        <f>COUNTIF(Edges!$A$2:$A$198,A26)+COUNTIF(Edges!$B$2:$B$198,A26)</f>
        <v/>
      </c>
    </row>
    <row r="27" ht="15" customHeight="1" s="25">
      <c r="A27" s="45" t="inlineStr">
        <is>
          <t>queiroz</t>
        </is>
      </c>
      <c r="B27" s="45" t="inlineStr">
        <is>
          <t>Fabrício Queiroz</t>
        </is>
      </c>
      <c r="C27" s="45" t="inlineStr">
        <is>
          <t>Pessoa</t>
        </is>
      </c>
      <c r="D27" s="45" t="inlineStr">
        <is>
          <t>Flávio e família</t>
        </is>
      </c>
      <c r="E27" s="45" t="inlineStr">
        <is>
          <t>Operador da rachadinha; 19 meses sem depor</t>
        </is>
      </c>
      <c r="F27" s="45">
        <f>COUNTIF(Edges!$A$2:$A$198,A27)+COUNTIF(Edges!$B$2:$B$198,A27)</f>
        <v/>
      </c>
    </row>
    <row r="28" ht="15" customHeight="1" s="25">
      <c r="A28" s="45" t="inlineStr">
        <is>
          <t>advflavio</t>
        </is>
      </c>
      <c r="B28" s="45" t="inlineStr">
        <is>
          <t>Advogadas de Flávio (2)</t>
        </is>
      </c>
      <c r="C28" s="45" t="inlineStr">
        <is>
          <t>Pessoa</t>
        </is>
      </c>
      <c r="D28" s="45" t="inlineStr">
        <is>
          <t>Flávio e família</t>
        </is>
      </c>
      <c r="E28" s="45" t="inlineStr">
        <is>
          <t>Na reunião de 2020 no Planalto sobre como derrubar a investigação</t>
        </is>
      </c>
      <c r="F28" s="45">
        <f>COUNTIF(Edges!$A$2:$A$198,A28)+COUNTIF(Edges!$B$2:$B$198,A28)</f>
        <v/>
      </c>
    </row>
    <row r="29" ht="15" customHeight="1" s="25">
      <c r="A29" s="45" t="inlineStr">
        <is>
          <t>vorcaro</t>
        </is>
      </c>
      <c r="B29" s="45" t="inlineStr">
        <is>
          <t>Daniel Vorcaro</t>
        </is>
      </c>
      <c r="C29" s="45" t="inlineStr">
        <is>
          <t>Pessoa</t>
        </is>
      </c>
      <c r="D29" s="45" t="inlineStr">
        <is>
          <t>Vorcaro e o Banco Master</t>
        </is>
      </c>
      <c r="E29" s="45" t="inlineStr">
        <is>
          <t>Dono do Banco Master; preso</t>
        </is>
      </c>
      <c r="F29" s="45">
        <f>COUNTIF(Edges!$A$2:$A$198,A29)+COUNTIF(Edges!$B$2:$B$198,A29)</f>
        <v/>
      </c>
    </row>
    <row r="30" ht="15" customHeight="1" s="25">
      <c r="A30" s="45" t="inlineStr">
        <is>
          <t>master</t>
        </is>
      </c>
      <c r="B30" s="45" t="inlineStr">
        <is>
          <t>Banco Master</t>
        </is>
      </c>
      <c r="C30" s="45" t="inlineStr">
        <is>
          <t>Empresa</t>
        </is>
      </c>
      <c r="D30" s="45" t="inlineStr">
        <is>
          <t>Vorcaro e o Banco Master</t>
        </is>
      </c>
      <c r="E30" s="45" t="inlineStr">
        <is>
          <t>Pagou R$ 6,6 mi à consultoria do amigo de Nunes</t>
        </is>
      </c>
      <c r="F30" s="45">
        <f>COUNTIF(Edges!$A$2:$A$198,A30)+COUNTIF(Edges!$B$2:$B$198,A30)</f>
        <v/>
      </c>
      <c r="G30" s="24" t="inlineStr">
        <is>
          <t>master.png</t>
        </is>
      </c>
      <c r="H30" s="24" t="inlineStr">
        <is>
          <t>Banco Master · domínio público (logo simples, sem direito autoral)</t>
        </is>
      </c>
      <c r="I30" s="24" t="inlineStr">
        <is>
          <t>https://commons.wikimedia.org/wiki/File:Logotipo_do_Banco_Master.svg</t>
        </is>
      </c>
      <c r="J30" s="24" t="n"/>
    </row>
    <row r="31" ht="15" customHeight="1" s="25">
      <c r="A31" s="45" t="inlineStr">
        <is>
          <t>zetel</t>
        </is>
      </c>
      <c r="B31" s="45" t="inlineStr">
        <is>
          <t>Fabiano Zettel</t>
        </is>
      </c>
      <c r="C31" s="45" t="inlineStr">
        <is>
          <t>Pessoa</t>
        </is>
      </c>
      <c r="D31" s="45" t="inlineStr">
        <is>
          <t>Vorcaro e o Banco Master</t>
        </is>
      </c>
      <c r="E31" s="45" t="inlineStr">
        <is>
          <t>Cunhado de Vorcaro; preso</t>
        </is>
      </c>
      <c r="F31" s="45">
        <f>COUNTIF(Edges!$A$2:$A$198,A31)+COUNTIF(Edges!$B$2:$B$198,A31)</f>
        <v/>
      </c>
    </row>
    <row r="32" ht="15" customHeight="1" s="25">
      <c r="A32" s="45" t="inlineStr">
        <is>
          <t>dirjur</t>
        </is>
      </c>
      <c r="B32" s="45" t="inlineStr">
        <is>
          <t>Diretor jurídico do Master</t>
        </is>
      </c>
      <c r="C32" s="45" t="inlineStr">
        <is>
          <t>Pessoa</t>
        </is>
      </c>
      <c r="D32" s="45" t="inlineStr">
        <is>
          <t>Vorcaro e o Banco Master</t>
        </is>
      </c>
      <c r="E32" s="45" t="inlineStr">
        <is>
          <t>Mandou o placar do voto ao Vorcaro: “Dominado aqui”</t>
        </is>
      </c>
      <c r="F32" s="45">
        <f>COUNTIF(Edges!$A$2:$A$198,A32)+COUNTIF(Edges!$B$2:$B$198,A32)</f>
        <v/>
      </c>
    </row>
    <row r="33" ht="15" customHeight="1" s="25">
      <c r="A33" s="45" t="inlineStr">
        <is>
          <t>primeu</t>
        </is>
      </c>
      <c r="B33" s="45" t="inlineStr">
        <is>
          <t>Prime U</t>
        </is>
      </c>
      <c r="C33" s="45" t="inlineStr">
        <is>
          <t>Empresa</t>
        </is>
      </c>
      <c r="D33" s="45" t="inlineStr">
        <is>
          <t>Vorcaro e o Banco Master</t>
        </is>
      </c>
      <c r="E33" s="45" t="inlineStr">
        <is>
          <t>Bens de luxo; Vorcaro sócio; pagou passagens das mulheres</t>
        </is>
      </c>
      <c r="F33" s="45">
        <f>COUNTIF(Edges!$A$2:$A$198,A33)+COUNTIF(Edges!$B$2:$B$198,A33)</f>
        <v/>
      </c>
      <c r="G33" s="24" t="n"/>
      <c r="H33" s="24" t="n"/>
      <c r="I33" s="24" t="n"/>
      <c r="J33" s="24" t="n"/>
    </row>
    <row r="34" ht="15" customHeight="1" s="25">
      <c r="A34" s="45" t="inlineStr">
        <is>
          <t>luri</t>
        </is>
      </c>
      <c r="B34" s="45" t="inlineStr">
        <is>
          <t>Allure Eventos</t>
        </is>
      </c>
      <c r="C34" s="45" t="inlineStr">
        <is>
          <t>Empresa</t>
        </is>
      </c>
      <c r="D34" s="45" t="inlineStr">
        <is>
          <t>Vorcaro e o Banco Master</t>
        </is>
      </c>
      <c r="E34" s="45" t="inlineStr">
        <is>
          <t>Agência que recrutava as mulheres das festas</t>
        </is>
      </c>
      <c r="F34" s="45">
        <f>COUNTIF(Edges!$A$2:$A$198,A34)+COUNTIF(Edges!$B$2:$B$198,A34)</f>
        <v/>
      </c>
      <c r="G34" s="24" t="n"/>
      <c r="H34" s="24" t="n"/>
      <c r="I34" s="24" t="n"/>
      <c r="J34" s="24" t="n"/>
    </row>
    <row r="35" ht="23.25" customHeight="1" s="25">
      <c r="A35" s="45" t="inlineStr">
        <is>
          <t>promoter</t>
        </is>
      </c>
      <c r="B35" s="45" t="inlineStr">
        <is>
          <t>Promoter</t>
        </is>
      </c>
      <c r="C35" s="45" t="inlineStr">
        <is>
          <t>Pessoa</t>
        </is>
      </c>
      <c r="D35" s="45" t="inlineStr">
        <is>
          <t>Vorcaro e o Banco Master</t>
        </is>
      </c>
      <c r="E35" s="45" t="inlineStr">
        <is>
          <t>Levava as mulheres às festas; valor mensal citado na transcrição é impreciso (~R$ 60 mil)</t>
        </is>
      </c>
      <c r="F35" s="45">
        <f>COUNTIF(Edges!$A$2:$A$198,A35)+COUNTIF(Edges!$B$2:$B$198,A35)</f>
        <v/>
      </c>
    </row>
    <row r="36" ht="15" customHeight="1" s="25">
      <c r="A36" s="45" t="inlineStr">
        <is>
          <t>mordomo</t>
        </is>
      </c>
      <c r="B36" s="45" t="inlineStr">
        <is>
          <t>Mordomo do triplex</t>
        </is>
      </c>
      <c r="C36" s="45" t="inlineStr">
        <is>
          <t>Pessoa</t>
        </is>
      </c>
      <c r="D36" s="45" t="inlineStr">
        <is>
          <t>Vorcaro e o Banco Master</t>
        </is>
      </c>
      <c r="E36" s="45" t="inlineStr">
        <is>
          <t>Mandava mensagens a Vorcaro sobre as festas</t>
        </is>
      </c>
      <c r="F36" s="45">
        <f>COUNTIF(Edges!$A$2:$A$198,A36)+COUNTIF(Edges!$B$2:$B$198,A36)</f>
        <v/>
      </c>
    </row>
    <row r="37" ht="15" customHeight="1" s="25">
      <c r="A37" s="45" t="inlineStr">
        <is>
          <t>mulheres</t>
        </is>
      </c>
      <c r="B37" s="45" t="inlineStr">
        <is>
          <t>Mulheres das festas</t>
        </is>
      </c>
      <c r="C37" s="45" t="inlineStr">
        <is>
          <t>Pessoa</t>
        </is>
      </c>
      <c r="D37" s="45" t="inlineStr">
        <is>
          <t>Vorcaro e o Banco Master</t>
        </is>
      </c>
      <c r="E37" s="45" t="inlineStr">
        <is>
          <t>Agenciadas; entre elas uma ucraniana de 19 anos</t>
        </is>
      </c>
      <c r="F37" s="45">
        <f>COUNTIF(Edges!$A$2:$A$198,A37)+COUNTIF(Edges!$B$2:$B$198,A37)</f>
        <v/>
      </c>
    </row>
    <row r="38" ht="15" customHeight="1" s="25">
      <c r="A38" s="45" t="inlineStr">
        <is>
          <t>angra</t>
        </is>
      </c>
      <c r="B38" s="45" t="inlineStr">
        <is>
          <t>Mansão em Angra dos Reis</t>
        </is>
      </c>
      <c r="C38" s="45" t="inlineStr">
        <is>
          <t>Casa ou ativo</t>
        </is>
      </c>
      <c r="D38" s="45" t="inlineStr">
        <is>
          <t>Casas e ativos</t>
        </is>
      </c>
      <c r="E38" s="45" t="inlineStr">
        <is>
          <t>Era do Richarlison; hoje da WT; festa da filha de Flávio</t>
        </is>
      </c>
      <c r="F38" s="45">
        <f>COUNTIF(Edges!$A$2:$A$198,A38)+COUNTIF(Edges!$B$2:$B$198,A38)</f>
        <v/>
      </c>
      <c r="G38" s="24" t="n"/>
      <c r="H38" s="24" t="n"/>
      <c r="I38" s="24" t="n"/>
      <c r="J38" s="24" t="n"/>
    </row>
    <row r="39" ht="15" customHeight="1" s="25">
      <c r="A39" s="45" t="inlineStr">
        <is>
          <t>aptosp</t>
        </is>
      </c>
      <c r="B39" s="45" t="inlineStr">
        <is>
          <t>Apartamento de luxo em SP</t>
        </is>
      </c>
      <c r="C39" s="45" t="inlineStr">
        <is>
          <t>Casa ou ativo</t>
        </is>
      </c>
      <c r="D39" s="45" t="inlineStr">
        <is>
          <t>Casas e ativos</t>
        </is>
      </c>
      <c r="E39" s="45" t="inlineStr">
        <is>
          <t>Zetel vendeu à WT com R$ 2 mi de prejuízo; Flávio usou na campanha</t>
        </is>
      </c>
      <c r="F39" s="45">
        <f>COUNTIF(Edges!$A$2:$A$198,A39)+COUNTIF(Edges!$B$2:$B$198,A39)</f>
        <v/>
      </c>
      <c r="G39" s="24" t="n"/>
      <c r="H39" s="24" t="n"/>
      <c r="I39" s="24" t="n"/>
      <c r="J39" s="24" t="n"/>
    </row>
    <row r="40" ht="15" customHeight="1" s="25">
      <c r="A40" s="45" t="inlineStr">
        <is>
          <t>triplex</t>
        </is>
      </c>
      <c r="B40" s="45" t="inlineStr">
        <is>
          <t>Triplex de Vorcaro</t>
        </is>
      </c>
      <c r="C40" s="45" t="inlineStr">
        <is>
          <t>Casa ou ativo</t>
        </is>
      </c>
      <c r="D40" s="45" t="inlineStr">
        <is>
          <t>Casas e ativos</t>
        </is>
      </c>
      <c r="E40" s="45" t="inlineStr">
        <is>
          <t>Palco das festas</t>
        </is>
      </c>
      <c r="F40" s="45">
        <f>COUNTIF(Edges!$A$2:$A$198,A40)+COUNTIF(Edges!$B$2:$B$198,A40)</f>
        <v/>
      </c>
      <c r="G40" s="24" t="n"/>
      <c r="H40" s="24" t="n"/>
      <c r="I40" s="24" t="n"/>
      <c r="J40" s="24" t="n"/>
    </row>
    <row r="41" ht="23.25" customHeight="1" s="25">
      <c r="A41" s="45" t="inlineStr">
        <is>
          <t>jato</t>
        </is>
      </c>
      <c r="B41" s="45" t="inlineStr">
        <is>
          <t>Jato (3 cotistas)</t>
        </is>
      </c>
      <c r="C41" s="45" t="inlineStr">
        <is>
          <t>Casa ou ativo</t>
        </is>
      </c>
      <c r="D41" s="45" t="inlineStr">
        <is>
          <t>Casas e ativos</t>
        </is>
      </c>
      <c r="E41" s="45" t="inlineStr">
        <is>
          <t>Três donos: Alcazar, Prime U e um terceiro não nomeado no vídeo; Flávio voou em jan/2025</t>
        </is>
      </c>
      <c r="F41" s="45">
        <f>COUNTIF(Edges!$A$2:$A$198,A41)+COUNTIF(Edges!$B$2:$B$198,A41)</f>
        <v/>
      </c>
      <c r="G41" s="24" t="n"/>
      <c r="H41" s="24" t="n"/>
      <c r="I41" s="24" t="n"/>
      <c r="J41" s="24" t="n"/>
    </row>
    <row r="42" ht="15" customHeight="1" s="25">
      <c r="A42" s="45" t="inlineStr">
        <is>
          <t>atibaia</t>
        </is>
      </c>
      <c r="B42" s="45" t="inlineStr">
        <is>
          <t>Casa de Wassef em Atibaia</t>
        </is>
      </c>
      <c r="C42" s="45" t="inlineStr">
        <is>
          <t>Casa ou ativo</t>
        </is>
      </c>
      <c r="D42" s="45" t="inlineStr">
        <is>
          <t>Casas e ativos</t>
        </is>
      </c>
      <c r="E42" s="45" t="inlineStr">
        <is>
          <t>Onde Queiroz foi achado escondido (jun/2020)</t>
        </is>
      </c>
      <c r="F42" s="45">
        <f>COUNTIF(Edges!$A$2:$A$198,A42)+COUNTIF(Edges!$B$2:$B$198,A42)</f>
        <v/>
      </c>
      <c r="G42" s="24" t="n"/>
      <c r="H42" s="24" t="n"/>
      <c r="I42" s="24" t="n"/>
      <c r="J42" s="24" t="n"/>
    </row>
    <row r="43" ht="15" customHeight="1" s="25">
      <c r="A43" s="45" t="inlineStr">
        <is>
          <t>richarlison</t>
        </is>
      </c>
      <c r="B43" s="45" t="inlineStr">
        <is>
          <t>Richarlison</t>
        </is>
      </c>
      <c r="C43" s="45" t="inlineStr">
        <is>
          <t>Pessoa</t>
        </is>
      </c>
      <c r="D43" s="45" t="inlineStr">
        <is>
          <t>Casas e ativos</t>
        </is>
      </c>
      <c r="E43" s="45" t="inlineStr">
        <is>
          <t>Jogador; investiu ~R$ 10 mi na casa e perdeu</t>
        </is>
      </c>
      <c r="F43" s="45">
        <f>COUNTIF(Edges!$A$2:$A$198,A43)+COUNTIF(Edges!$B$2:$B$198,A43)</f>
        <v/>
      </c>
    </row>
    <row r="44" ht="15" customHeight="1" s="25">
      <c r="A44" s="45" t="inlineStr">
        <is>
          <t>dono</t>
        </is>
      </c>
      <c r="B44" s="45" t="inlineStr">
        <is>
          <t>Antônio Marcos da Silva</t>
        </is>
      </c>
      <c r="C44" s="45" t="inlineStr">
        <is>
          <t>Pessoa</t>
        </is>
      </c>
      <c r="D44" s="45" t="inlineStr">
        <is>
          <t>Casas e ativos</t>
        </is>
      </c>
      <c r="E44" s="45" t="inlineStr">
        <is>
          <t>Dono da mansão; ouviu Flávio chamar Willer de sócio</t>
        </is>
      </c>
      <c r="F44" s="45">
        <f>COUNTIF(Edges!$A$2:$A$198,A44)+COUNTIF(Edges!$B$2:$B$198,A44)</f>
        <v/>
      </c>
    </row>
    <row r="45" ht="15" customHeight="1" s="25">
      <c r="A45" s="45" t="inlineStr">
        <is>
          <t>nunes</t>
        </is>
      </c>
      <c r="B45" s="45" t="inlineStr">
        <is>
          <t>Kássio Nunes Marques</t>
        </is>
      </c>
      <c r="C45" s="45" t="inlineStr">
        <is>
          <t>Pessoa</t>
        </is>
      </c>
      <c r="D45" s="45" t="inlineStr">
        <is>
          <t>Poder e Justiça</t>
        </is>
      </c>
      <c r="E45" s="45" t="inlineStr">
        <is>
          <t>Ministro do STF; preside o TSE; nega irregularidades</t>
        </is>
      </c>
      <c r="F45" s="45">
        <f>COUNTIF(Edges!$A$2:$A$198,A45)+COUNTIF(Edges!$B$2:$B$198,A45)</f>
        <v/>
      </c>
    </row>
    <row r="46" ht="15" customHeight="1" s="25">
      <c r="A46" s="45" t="inlineStr">
        <is>
          <t>kevin</t>
        </is>
      </c>
      <c r="B46" s="45" t="inlineStr">
        <is>
          <t>Kevin Marques</t>
        </is>
      </c>
      <c r="C46" s="45" t="inlineStr">
        <is>
          <t>Pessoa</t>
        </is>
      </c>
      <c r="D46" s="45" t="inlineStr">
        <is>
          <t>Poder e Justiça</t>
        </is>
      </c>
      <c r="E46" s="45" t="inlineStr">
        <is>
          <t>Filho de Nunes; ~R$ 300 mil via consultoria</t>
        </is>
      </c>
      <c r="F46" s="45">
        <f>COUNTIF(Edges!$A$2:$A$198,A46)+COUNTIF(Edges!$B$2:$B$198,A46)</f>
        <v/>
      </c>
    </row>
    <row r="47" ht="15" customHeight="1" s="25">
      <c r="A47" s="45" t="inlineStr">
        <is>
          <t>consult</t>
        </is>
      </c>
      <c r="B47" s="45" t="inlineStr">
        <is>
          <t>Consultoria do amigo de Nunes</t>
        </is>
      </c>
      <c r="C47" s="45" t="inlineStr">
        <is>
          <t>Empresa</t>
        </is>
      </c>
      <c r="D47" s="45" t="inlineStr">
        <is>
          <t>Poder e Justiça</t>
        </is>
      </c>
      <c r="E47" s="45" t="inlineStr">
        <is>
          <t>Recebeu R$ 6,6 mi do Master</t>
        </is>
      </c>
      <c r="F47" s="45">
        <f>COUNTIF(Edges!$A$2:$A$198,A47)+COUNTIF(Edges!$B$2:$B$198,A47)</f>
        <v/>
      </c>
    </row>
    <row r="48" ht="15" customHeight="1" s="25">
      <c r="A48" s="45" t="inlineStr">
        <is>
          <t>coaf</t>
        </is>
      </c>
      <c r="B48" s="45" t="inlineStr">
        <is>
          <t>Caso rachadinha / COAF</t>
        </is>
      </c>
      <c r="C48" s="45" t="inlineStr">
        <is>
          <t>Instituição ou caso</t>
        </is>
      </c>
      <c r="D48" s="45" t="inlineStr">
        <is>
          <t>Poder e Justiça</t>
        </is>
      </c>
      <c r="E48" s="45" t="inlineStr">
        <is>
          <t>Relatórios anulados pelo STF (nov/2021)</t>
        </is>
      </c>
      <c r="F48" s="45">
        <f>COUNTIF(Edges!$A$2:$A$198,A48)+COUNTIF(Edges!$B$2:$B$198,A48)</f>
        <v/>
      </c>
      <c r="G48" s="24" t="n"/>
      <c r="H48" s="24" t="n"/>
      <c r="I48" s="24" t="n"/>
      <c r="J48" s="24" t="n"/>
    </row>
    <row r="49" ht="15" customHeight="1" s="25">
      <c r="A49" s="45" t="inlineStr">
        <is>
          <t>ramagem</t>
        </is>
      </c>
      <c r="B49" s="45" t="inlineStr">
        <is>
          <t>Alexandre Ramagem</t>
        </is>
      </c>
      <c r="C49" s="45" t="inlineStr">
        <is>
          <t>Pessoa</t>
        </is>
      </c>
      <c r="D49" s="45" t="inlineStr">
        <is>
          <t>Poder e Justiça</t>
        </is>
      </c>
      <c r="E49" s="45" t="inlineStr">
        <is>
          <t>Ex-chefe da Abin; condenado a 16 anos; foragido na Flórida</t>
        </is>
      </c>
      <c r="F49" s="45">
        <f>COUNTIF(Edges!$A$2:$A$198,A49)+COUNTIF(Edges!$B$2:$B$198,A49)</f>
        <v/>
      </c>
    </row>
    <row r="50" ht="15" customHeight="1" s="25">
      <c r="A50" s="45" t="inlineStr">
        <is>
          <t>heleno</t>
        </is>
      </c>
      <c r="B50" s="45" t="inlineStr">
        <is>
          <t>General Heleno</t>
        </is>
      </c>
      <c r="C50" s="45" t="inlineStr">
        <is>
          <t>Pessoa</t>
        </is>
      </c>
      <c r="D50" s="45" t="inlineStr">
        <is>
          <t>Poder e Justiça</t>
        </is>
      </c>
      <c r="E50" s="45" t="inlineStr">
        <is>
          <t>Na reunião de 2020 sobre a rachadinha</t>
        </is>
      </c>
      <c r="F50" s="45">
        <f>COUNTIF(Edges!$A$2:$A$198,A50)+COUNTIF(Edges!$B$2:$B$198,A50)</f>
        <v/>
      </c>
    </row>
    <row r="51" ht="15" customHeight="1" s="25">
      <c r="A51" s="45" t="inlineStr">
        <is>
          <t>moro</t>
        </is>
      </c>
      <c r="B51" s="45" t="inlineStr">
        <is>
          <t>Sérgio Moro</t>
        </is>
      </c>
      <c r="C51" s="45" t="inlineStr">
        <is>
          <t>Pessoa</t>
        </is>
      </c>
      <c r="D51" s="45" t="inlineStr">
        <is>
          <t>Poder e Justiça</t>
        </is>
      </c>
      <c r="E51" s="45" t="inlineStr">
        <is>
          <t>Deixou o Ministério da Justiça (abr/2020)</t>
        </is>
      </c>
      <c r="F51" s="45">
        <f>COUNTIF(Edges!$A$2:$A$198,A51)+COUNTIF(Edges!$B$2:$B$198,A51)</f>
        <v/>
      </c>
    </row>
    <row r="52" ht="15" customHeight="1" s="25">
      <c r="A52" s="45" t="inlineStr">
        <is>
          <t>abin</t>
        </is>
      </c>
      <c r="B52" s="45" t="inlineStr">
        <is>
          <t>Abin</t>
        </is>
      </c>
      <c r="C52" s="45" t="inlineStr">
        <is>
          <t>Instituição ou caso</t>
        </is>
      </c>
      <c r="D52" s="45" t="inlineStr">
        <is>
          <t>Poder e Justiça</t>
        </is>
      </c>
      <c r="E52" s="45" t="inlineStr">
        <is>
          <t>Relatórios para “defender FB”</t>
        </is>
      </c>
      <c r="F52" s="45">
        <f>COUNTIF(Edges!$A$2:$A$198,A52)+COUNTIF(Edges!$B$2:$B$198,A52)</f>
        <v/>
      </c>
      <c r="G52" s="24" t="inlineStr">
        <is>
          <t>abin.jpg</t>
        </is>
      </c>
      <c r="H52" s="24" t="inlineStr">
        <is>
          <t>Antonio Cruz/Agência Brasil · CC BY 3.0 BR</t>
        </is>
      </c>
      <c r="I52" s="24" t="inlineStr">
        <is>
          <t>https://commons.wikimedia.org/wiki/File:Pr%C3%A9dio_da_Abin.jpg</t>
        </is>
      </c>
      <c r="J52" s="24" t="inlineStr"/>
    </row>
    <row r="53" ht="15" customHeight="1" s="25">
      <c r="A53" s="45" t="inlineStr">
        <is>
          <t>receita</t>
        </is>
      </c>
      <c r="B53" s="45" t="inlineStr">
        <is>
          <t>Receita Federal</t>
        </is>
      </c>
      <c r="C53" s="45" t="inlineStr">
        <is>
          <t>Instituição ou caso</t>
        </is>
      </c>
      <c r="D53" s="45" t="inlineStr">
        <is>
          <t>Poder e Justiça</t>
        </is>
      </c>
      <c r="E53" s="45" t="inlineStr">
        <is>
          <t>Chefe foi pessoalmente à casa de Flávio</t>
        </is>
      </c>
      <c r="F53" s="45">
        <f>COUNTIF(Edges!$A$2:$A$198,A53)+COUNTIF(Edges!$B$2:$B$198,A53)</f>
        <v/>
      </c>
      <c r="G53" s="24" t="inlineStr">
        <is>
          <t>receita.jpg</t>
        </is>
      </c>
      <c r="H53" s="24" t="inlineStr">
        <is>
          <t>Academia de Letras de Campo Maior · CC BY-SA 4.0</t>
        </is>
      </c>
      <c r="I53" s="24" t="inlineStr">
        <is>
          <t>https://commons.wikimedia.org/wiki/File:Ag%C3%AAncia_da_Receita_Federal_de_Campo_Maior,_Piau%C3%AD,_Brasil.JPG</t>
        </is>
      </c>
      <c r="J53" s="24" t="inlineStr"/>
    </row>
    <row r="54" ht="15" customHeight="1" s="25">
      <c r="A54" s="45" t="inlineStr">
        <is>
          <t>pf</t>
        </is>
      </c>
      <c r="B54" s="45" t="inlineStr">
        <is>
          <t>Polícia Federal</t>
        </is>
      </c>
      <c r="C54" s="45" t="inlineStr">
        <is>
          <t>Instituição ou caso</t>
        </is>
      </c>
      <c r="D54" s="45" t="inlineStr">
        <is>
          <t>Poder e Justiça</t>
        </is>
      </c>
      <c r="E54" s="45" t="inlineStr">
        <is>
          <t>Investiga Willer e o Careca; diretor é indicado pelo presidente</t>
        </is>
      </c>
      <c r="F54" s="45">
        <f>COUNTIF(Edges!$A$2:$A$198,A54)+COUNTIF(Edges!$B$2:$B$198,A54)</f>
        <v/>
      </c>
      <c r="G54" s="24" t="inlineStr">
        <is>
          <t>pf.jpg</t>
        </is>
      </c>
      <c r="H54" s="24" t="inlineStr">
        <is>
          <t>Agência Senado · CC BY 2.0</t>
        </is>
      </c>
      <c r="I54" s="24" t="inlineStr">
        <is>
          <t>https://commons.wikimedia.org/wiki/File:Sede_da_Pol%C3%ADcia_Federal_(52830107256).jpg</t>
        </is>
      </c>
      <c r="J54" s="24" t="inlineStr"/>
    </row>
    <row r="55" ht="15" customHeight="1" s="25">
      <c r="A55" s="45" t="inlineStr">
        <is>
          <t>pgr</t>
        </is>
      </c>
      <c r="B55" s="45" t="inlineStr">
        <is>
          <t>Procuradoria-Geral (PGR)</t>
        </is>
      </c>
      <c r="C55" s="45" t="inlineStr">
        <is>
          <t>Instituição ou caso</t>
        </is>
      </c>
      <c r="D55" s="45" t="inlineStr">
        <is>
          <t>Poder e Justiça</t>
        </is>
      </c>
      <c r="E55" s="45" t="inlineStr">
        <is>
          <t>Decide se denuncia Vorcaro; chefe indicado pelo presidente</t>
        </is>
      </c>
      <c r="F55" s="45">
        <f>COUNTIF(Edges!$A$2:$A$198,A55)+COUNTIF(Edges!$B$2:$B$198,A55)</f>
        <v/>
      </c>
      <c r="G55" s="24" t="inlineStr">
        <is>
          <t>pgr.jpg</t>
        </is>
      </c>
      <c r="H55" s="24" t="inlineStr">
        <is>
          <t>Webysther · CC BY-SA 4.0</t>
        </is>
      </c>
      <c r="I55" s="24" t="inlineStr">
        <is>
          <t>https://commons.wikimedia.org/wiki/File:Webysther_20180212174501_-_PGR_-_Procuradoria_Geral_da_Rep%C3%BAblica.jpg</t>
        </is>
      </c>
      <c r="J55" s="24" t="inlineStr"/>
    </row>
    <row r="56" ht="23.25" customHeight="1" s="25">
      <c r="A56" s="45" t="inlineStr">
        <is>
          <t>ciro</t>
        </is>
      </c>
      <c r="B56" s="45" t="inlineStr">
        <is>
          <t>Ciro Nogueira</t>
        </is>
      </c>
      <c r="C56" s="45" t="inlineStr">
        <is>
          <t>Pessoa</t>
        </is>
      </c>
      <c r="D56" s="45" t="inlineStr">
        <is>
          <t>Poder e Justiça</t>
        </is>
      </c>
      <c r="E56" s="45" t="inlineStr">
        <is>
          <t>Teria influenciado a escolha de Nunes Marques com Flávio (Folha, set/2020). A transcrição grafa “Círio Nogueira”; identificação inferida</t>
        </is>
      </c>
      <c r="F56" s="45">
        <f>COUNTIF(Edges!$A$2:$A$198,A56)+COUNTIF(Edges!$B$2:$B$198,A56)</f>
        <v/>
      </c>
    </row>
    <row r="57" ht="23.25" customHeight="1" s="25">
      <c r="A57" s="45" t="inlineStr">
        <is>
          <t>stf</t>
        </is>
      </c>
      <c r="B57" s="45" t="inlineStr">
        <is>
          <t>STF</t>
        </is>
      </c>
      <c r="C57" s="45" t="inlineStr">
        <is>
          <t>Instituição ou caso</t>
        </is>
      </c>
      <c r="D57" s="45" t="inlineStr">
        <is>
          <t>Poder e Justiça</t>
        </is>
      </c>
      <c r="E57" s="45" t="inlineStr">
        <is>
          <t>Nunes é ministro; anulou provas da rachadinha; abriu 3 inquéritos de Lulinha; investiga Flávio no caso do filme</t>
        </is>
      </c>
      <c r="F57" s="45">
        <f>COUNTIF(Edges!$A$2:$A$198,A57)+COUNTIF(Edges!$B$2:$B$198,A57)</f>
        <v/>
      </c>
      <c r="G57" s="24" t="inlineStr">
        <is>
          <t>stf.jpg</t>
        </is>
      </c>
      <c r="H57" s="24" t="inlineStr">
        <is>
          <t>Daderot · CC0 (domínio público)</t>
        </is>
      </c>
      <c r="I57" s="24" t="inlineStr">
        <is>
          <t>https://commons.wikimedia.org/wiki/File:Supremo_Tribunal_Federal_building_in_Brasilia_-_DSC00288.JPG</t>
        </is>
      </c>
      <c r="J57" s="24" t="inlineStr"/>
    </row>
    <row r="58" ht="15" customHeight="1" s="25">
      <c r="A58" s="45" t="inlineStr">
        <is>
          <t>tse</t>
        </is>
      </c>
      <c r="B58" s="45" t="inlineStr">
        <is>
          <t>TSE</t>
        </is>
      </c>
      <c r="C58" s="45" t="inlineStr">
        <is>
          <t>Instituição ou caso</t>
        </is>
      </c>
      <c r="D58" s="45" t="inlineStr">
        <is>
          <t>Poder e Justiça</t>
        </is>
      </c>
      <c r="E58" s="45" t="inlineStr">
        <is>
          <t>Presidido por Nunes; suspendeu propaganda sobre o dinheiro do Master</t>
        </is>
      </c>
      <c r="F58" s="45">
        <f>COUNTIF(Edges!$A$2:$A$198,A58)+COUNTIF(Edges!$B$2:$B$198,A58)</f>
        <v/>
      </c>
      <c r="G58" s="24" t="inlineStr">
        <is>
          <t>tse.jpg</t>
        </is>
      </c>
      <c r="H58" s="24" t="inlineStr">
        <is>
          <t>Alexandresena · CC BY-SA 4.0</t>
        </is>
      </c>
      <c r="I58" s="24" t="inlineStr">
        <is>
          <t>https://commons.wikimedia.org/wiki/File:Sede_do_Tribunal_Superior_Eleitoral,_em_Bras%C3%ADlia.jpg</t>
        </is>
      </c>
      <c r="J58" s="24" t="inlineStr"/>
    </row>
    <row r="59">
      <c r="A59" s="45" t="inlineStr">
        <is>
          <t>mendonca</t>
        </is>
      </c>
      <c r="B59" s="45" t="inlineStr">
        <is>
          <t>André Mendonça</t>
        </is>
      </c>
      <c r="C59" s="45" t="inlineStr">
        <is>
          <t>Pessoa</t>
        </is>
      </c>
      <c r="D59" s="45" t="inlineStr">
        <is>
          <t>Poder e Justiça</t>
        </is>
      </c>
      <c r="E59" s="45" t="inlineStr">
        <is>
          <t>Ministro do STF indicado por Jair; relator do caso Master desde fev/2026</t>
        </is>
      </c>
      <c r="F59" s="45">
        <f>COUNTIF(Edges!$A$2:$A$198,A59)+COUNTIF(Edges!$B$2:$B$198,A59)</f>
        <v/>
      </c>
      <c r="G59" s="24" t="n"/>
      <c r="H59" s="24" t="n"/>
      <c r="I59" s="24" t="n"/>
      <c r="J59" s="24" t="n"/>
    </row>
    <row r="60">
      <c r="A60" s="45" t="inlineStr">
        <is>
          <t>iter</t>
        </is>
      </c>
      <c r="B60" s="45" t="inlineStr">
        <is>
          <t>Instituto ITER</t>
        </is>
      </c>
      <c r="C60" s="45" t="inlineStr">
        <is>
          <t>Instituição ou caso</t>
        </is>
      </c>
      <c r="D60" s="45" t="inlineStr">
        <is>
          <t>Poder e Justiça</t>
        </is>
      </c>
      <c r="E60" s="45" t="inlineStr">
        <is>
          <t>Fundado por Mendonça; contratos públicos sem licitação; aporte de empresa de sócio de Vorcaro</t>
        </is>
      </c>
      <c r="F60" s="45">
        <f>COUNTIF(Edges!$A$2:$A$198,A60)+COUNTIF(Edges!$B$2:$B$198,A60)</f>
        <v/>
      </c>
      <c r="G60" s="24" t="n"/>
      <c r="H60" s="24" t="n"/>
      <c r="I60" s="24" t="n"/>
      <c r="J60" s="24" t="n"/>
    </row>
    <row r="61">
      <c r="A61" s="45" t="inlineStr">
        <is>
          <t>cirorocha</t>
        </is>
      </c>
      <c r="B61" s="45" t="inlineStr">
        <is>
          <t>Ciro Rocha Soares</t>
        </is>
      </c>
      <c r="C61" s="45" t="inlineStr">
        <is>
          <t>Pessoa</t>
        </is>
      </c>
      <c r="D61" s="45" t="inlineStr">
        <is>
          <t>Vorcaro e o Banco Master</t>
        </is>
      </c>
      <c r="E61" s="45" t="inlineStr">
        <is>
          <t>Advogado de Vorcaro; mensagens o mostram aproximando o banqueiro de Mendonça</t>
        </is>
      </c>
      <c r="F61" s="45">
        <f>COUNTIF(Edges!$A$2:$A$198,A61)+COUNTIF(Edges!$B$2:$B$198,A61)</f>
        <v/>
      </c>
      <c r="G61" s="24" t="n"/>
      <c r="H61" s="24" t="n"/>
      <c r="I61" s="24" t="n"/>
      <c r="J61" s="24" t="n"/>
    </row>
    <row r="62">
      <c r="A62" s="45" t="inlineStr">
        <is>
          <t>cezinha</t>
        </is>
      </c>
      <c r="B62" s="45" t="inlineStr">
        <is>
          <t>Cezinha de Madureira</t>
        </is>
      </c>
      <c r="C62" s="45" t="inlineStr">
        <is>
          <t>Pessoa</t>
        </is>
      </c>
      <c r="D62" s="45" t="inlineStr">
        <is>
          <t>Poder e Justiça</t>
        </is>
      </c>
      <c r="E62" s="45" t="inlineStr">
        <is>
          <t>Deputado federal; ajudou a articular a reunião Mendonça–Vorcaro de mar/2025; alvo de operação autorizada por Dino</t>
        </is>
      </c>
      <c r="F62" s="45">
        <f>COUNTIF(Edges!$A$2:$A$198,A62)+COUNTIF(Edges!$B$2:$B$198,A62)</f>
        <v/>
      </c>
      <c r="G62" s="24" t="n"/>
      <c r="H62" s="24" t="n"/>
      <c r="I62" s="24" t="n"/>
      <c r="J62" s="24" t="n"/>
    </row>
    <row r="63">
      <c r="A63" s="45" t="inlineStr">
        <is>
          <t>bianco</t>
        </is>
      </c>
      <c r="B63" s="45" t="inlineStr">
        <is>
          <t>Bruno Bianco Leal</t>
        </is>
      </c>
      <c r="C63" s="45" t="inlineStr">
        <is>
          <t>Pessoa</t>
        </is>
      </c>
      <c r="D63" s="45" t="inlineStr">
        <is>
          <t>Poder e Justiça</t>
        </is>
      </c>
      <c r="E63" s="45" t="inlineStr">
        <is>
          <t>Ex-AGU do governo Jair; convidado para a reunião com Vorcaro</t>
        </is>
      </c>
      <c r="F63" s="45">
        <f>COUNTIF(Edges!$A$2:$A$198,A63)+COUNTIF(Edges!$B$2:$B$198,A63)</f>
        <v/>
      </c>
      <c r="G63" s="24" t="n"/>
      <c r="H63" s="24" t="n"/>
      <c r="I63" s="24" t="n"/>
      <c r="J63" s="24" t="n"/>
    </row>
    <row r="64">
      <c r="A64" s="45" t="inlineStr">
        <is>
          <t>tarcisio</t>
        </is>
      </c>
      <c r="B64" s="45" t="inlineStr">
        <is>
          <t>Tarcísio de Freitas</t>
        </is>
      </c>
      <c r="C64" s="45" t="inlineStr">
        <is>
          <t>Pessoa</t>
        </is>
      </c>
      <c r="D64" s="45" t="inlineStr">
        <is>
          <t>Poder e Justiça</t>
        </is>
      </c>
      <c r="E64" s="45" t="inlineStr">
        <is>
          <t>Governador de SP; recebeu R$ 2 mi de Zettel em 2022; governo dele contratou o ITER</t>
        </is>
      </c>
      <c r="F64" s="45">
        <f>COUNTIF(Edges!$A$2:$A$198,A64)+COUNTIF(Edges!$B$2:$B$198,A64)</f>
        <v/>
      </c>
      <c r="G64" s="24" t="n"/>
      <c r="H64" s="24" t="n"/>
      <c r="I64" s="24" t="n"/>
      <c r="J64" s="24" t="n"/>
    </row>
    <row r="65">
      <c r="A65" s="45" t="inlineStr">
        <is>
          <t>rnunes</t>
        </is>
      </c>
      <c r="B65" s="45" t="inlineStr">
        <is>
          <t>Ricardo Nunes</t>
        </is>
      </c>
      <c r="C65" s="45" t="inlineStr">
        <is>
          <t>Pessoa</t>
        </is>
      </c>
      <c r="D65" s="45" t="inlineStr">
        <is>
          <t>Poder e Justiça</t>
        </is>
      </c>
      <c r="E65" s="45" t="inlineStr">
        <is>
          <t>Prefeito de SP; prefeitura contratou o ITER</t>
        </is>
      </c>
      <c r="F65" s="45">
        <f>COUNTIF(Edges!$A$2:$A$198,A65)+COUNTIF(Edges!$B$2:$B$198,A65)</f>
        <v/>
      </c>
      <c r="G65" s="24" t="n"/>
      <c r="H65" s="24" t="n"/>
      <c r="I65" s="24" t="n"/>
      <c r="J65" s="24" t="n"/>
    </row>
    <row r="66">
      <c r="A66" s="45" t="inlineStr">
        <is>
          <t>castro</t>
        </is>
      </c>
      <c r="B66" s="45" t="inlineStr">
        <is>
          <t>Cláudio Castro</t>
        </is>
      </c>
      <c r="C66" s="45" t="inlineStr">
        <is>
          <t>Pessoa</t>
        </is>
      </c>
      <c r="D66" s="45" t="inlineStr">
        <is>
          <t>Poder e Justiça</t>
        </is>
      </c>
      <c r="E66" s="45" t="inlineStr">
        <is>
          <t>Governo dele no RJ contratou o ITER</t>
        </is>
      </c>
      <c r="F66" s="45">
        <f>COUNTIF(Edges!$A$2:$A$198,A66)+COUNTIF(Edges!$B$2:$B$198,A66)</f>
        <v/>
      </c>
      <c r="G66" s="24" t="n"/>
      <c r="H66" s="24" t="n"/>
      <c r="I66" s="24" t="n"/>
      <c r="J66" s="24" t="n"/>
    </row>
    <row r="67">
      <c r="A67" s="45" t="inlineStr">
        <is>
          <t>moraes</t>
        </is>
      </c>
      <c r="B67" s="45" t="inlineStr">
        <is>
          <t>Alexandre de Moraes</t>
        </is>
      </c>
      <c r="C67" s="45" t="inlineStr">
        <is>
          <t>Pessoa</t>
        </is>
      </c>
      <c r="D67" s="45" t="inlineStr">
        <is>
          <t>Poder e Justiça</t>
        </is>
      </c>
      <c r="E67" s="45" t="inlineStr">
        <is>
          <t>Ministro do STF</t>
        </is>
      </c>
      <c r="F67" s="45">
        <f>COUNTIF(Edges!$A$2:$A$198,A67)+COUNTIF(Edges!$B$2:$B$198,A67)</f>
        <v/>
      </c>
      <c r="G67" s="24" t="n"/>
      <c r="H67" s="24" t="n"/>
      <c r="I67" s="24" t="n"/>
      <c r="J67" s="24" t="n"/>
    </row>
    <row r="68">
      <c r="A68" s="45" t="inlineStr">
        <is>
          <t>faria</t>
        </is>
      </c>
      <c r="B68" s="45" t="inlineStr">
        <is>
          <t>Fábio Faria</t>
        </is>
      </c>
      <c r="C68" s="45" t="inlineStr">
        <is>
          <t>Pessoa</t>
        </is>
      </c>
      <c r="D68" s="45" t="inlineStr">
        <is>
          <t>Vorcaro e o Banco Master</t>
        </is>
      </c>
      <c r="E68" s="45" t="inlineStr">
        <is>
          <t>Ex-ministro das Comunicações de Jair; PF o aponta como articulador de Vorcaro em Brasília</t>
        </is>
      </c>
      <c r="F68" s="45">
        <f>COUNTIF(Edges!$A$2:$A$198,A68)+COUNTIF(Edges!$B$2:$B$198,A68)</f>
        <v/>
      </c>
      <c r="G68" s="24" t="n"/>
      <c r="H68" s="24" t="n"/>
      <c r="I68" s="24" t="n"/>
      <c r="J68" s="24" t="n"/>
    </row>
    <row r="69">
      <c r="A69" s="45" t="inlineStr">
        <is>
          <t>motta</t>
        </is>
      </c>
      <c r="B69" s="45" t="inlineStr">
        <is>
          <t>Hugo Motta</t>
        </is>
      </c>
      <c r="C69" s="45" t="inlineStr">
        <is>
          <t>Pessoa</t>
        </is>
      </c>
      <c r="D69" s="45" t="inlineStr">
        <is>
          <t>Vorcaro e o Banco Master</t>
        </is>
      </c>
      <c r="E69" s="45" t="inlineStr">
        <is>
          <t>Presidente da Câmara; em grupo de mensagens com Vorcaro</t>
        </is>
      </c>
      <c r="F69" s="45">
        <f>COUNTIF(Edges!$A$2:$A$198,A69)+COUNTIF(Edges!$B$2:$B$198,A69)</f>
        <v/>
      </c>
      <c r="G69" s="24" t="n"/>
      <c r="H69" s="24" t="n"/>
      <c r="I69" s="24" t="n"/>
      <c r="J69" s="24" t="n"/>
    </row>
    <row r="70">
      <c r="A70" s="45" t="inlineStr">
        <is>
          <t>frias</t>
        </is>
      </c>
      <c r="B70" s="45" t="inlineStr">
        <is>
          <t>Mario Frias</t>
        </is>
      </c>
      <c r="C70" s="45" t="inlineStr">
        <is>
          <t>Pessoa</t>
        </is>
      </c>
      <c r="D70" s="45" t="inlineStr">
        <is>
          <t>Flávio e família</t>
        </is>
      </c>
      <c r="E70" s="45" t="inlineStr">
        <is>
          <t>Ex-secretário de Cultura de Jair; produtor-executivo de Dark Horse</t>
        </is>
      </c>
      <c r="F70" s="45">
        <f>COUNTIF(Edges!$A$2:$A$198,A70)+COUNTIF(Edges!$B$2:$B$198,A70)</f>
        <v/>
      </c>
      <c r="G70" s="24" t="n"/>
      <c r="H70" s="24" t="n"/>
      <c r="I70" s="24" t="n"/>
      <c r="J70" s="24" t="n"/>
    </row>
    <row r="71">
      <c r="A71" s="45" t="inlineStr">
        <is>
          <t>marcal</t>
        </is>
      </c>
      <c r="B71" s="45" t="inlineStr">
        <is>
          <t>Pablo Marçal</t>
        </is>
      </c>
      <c r="C71" s="45" t="inlineStr">
        <is>
          <t>Pessoa</t>
        </is>
      </c>
      <c r="D71" s="45" t="inlineStr">
        <is>
          <t>Vorcaro e o Banco Master</t>
        </is>
      </c>
      <c r="E71" s="45" t="inlineStr">
        <is>
          <t>Ex-coach; voo de R$ 1,17 mi pago pela Prime You, de que Vorcaro era sócio; confirmou o uso</t>
        </is>
      </c>
      <c r="F71" s="45">
        <f>COUNTIF(Edges!$A$2:$A$198,A71)+COUNTIF(Edges!$B$2:$B$198,A71)</f>
        <v/>
      </c>
      <c r="G71" s="24" t="n"/>
      <c r="H71" s="24" t="n"/>
      <c r="I71" s="24" t="n"/>
      <c r="J71" s="24" t="n"/>
    </row>
    <row r="72">
      <c r="A72" s="45" t="inlineStr">
        <is>
          <t>govlula</t>
        </is>
      </c>
      <c r="B72" s="45" t="inlineStr">
        <is>
          <t>Governo Lula (Haddad, Gleisi, Mercadante)</t>
        </is>
      </c>
      <c r="C72" s="45" t="inlineStr">
        <is>
          <t>Instituição ou caso</t>
        </is>
      </c>
      <c r="D72" s="45" t="inlineStr">
        <is>
          <t>Poder e Justiça</t>
        </is>
      </c>
      <c r="E72" s="45" t="inlineStr">
        <is>
          <t>Mensagens: Vorcaro via Haddad como opositor e tentou “bloquear” Gleisi e Mercadante</t>
        </is>
      </c>
      <c r="F72" s="45">
        <f>COUNTIF(Edges!$A$2:$A$198,A72)+COUNTIF(Edges!$B$2:$B$198,A72)</f>
        <v/>
      </c>
      <c r="G72" s="24" t="n"/>
      <c r="H72" s="24" t="n"/>
      <c r="I72" s="24" t="n"/>
      <c r="J72" s="24" t="n"/>
    </row>
    <row r="73">
      <c r="A73" s="45" t="inlineStr">
        <is>
          <t>brb</t>
        </is>
      </c>
      <c r="B73" s="45" t="inlineStr">
        <is>
          <t>BRB (Banco de Brasília)</t>
        </is>
      </c>
      <c r="C73" s="45" t="inlineStr">
        <is>
          <t>Empresa</t>
        </is>
      </c>
      <c r="D73" s="45" t="inlineStr">
        <is>
          <t>Vorcaro e o Banco Master</t>
        </is>
      </c>
      <c r="E73" s="45" t="inlineStr">
        <is>
          <t>Banco público do DF, citado no caso Master; financiou a mansão de Flávio</t>
        </is>
      </c>
      <c r="F73" s="45">
        <f>COUNTIF(Edges!$A$2:$A$198,A73)+COUNTIF(Edges!$B$2:$B$198,A73)</f>
        <v/>
      </c>
      <c r="G73" s="24" t="n"/>
      <c r="H73" s="24" t="n"/>
      <c r="I73" s="24" t="n"/>
      <c r="J73" s="24" t="n"/>
    </row>
    <row r="74">
      <c r="A74" s="45" t="inlineStr">
        <is>
          <t>mansaobsb</t>
        </is>
      </c>
      <c r="B74" s="45" t="inlineStr">
        <is>
          <t>Mansão de Flávio em Brasília</t>
        </is>
      </c>
      <c r="C74" s="45" t="inlineStr">
        <is>
          <t>Casa ou ativo</t>
        </is>
      </c>
      <c r="D74" s="45" t="inlineStr">
        <is>
          <t>Casas e ativos</t>
        </is>
      </c>
      <c r="E74" s="45" t="inlineStr">
        <is>
          <t>R$ 6 mi, 2.400 m², Setor de Mansões Dom Bosco; R$ 3,1 mi financiados pelo BRB</t>
        </is>
      </c>
      <c r="F74" s="45">
        <f>COUNTIF(Edges!$A$2:$A$198,A74)+COUNTIF(Edges!$B$2:$B$198,A74)</f>
        <v/>
      </c>
      <c r="G74" s="24" t="n"/>
      <c r="H74" s="24" t="n"/>
      <c r="I74" s="24" t="n"/>
      <c r="J74" s="24" t="n"/>
    </row>
    <row r="75">
      <c r="A75" s="45" t="inlineStr">
        <is>
          <t>kopenhagen</t>
        </is>
      </c>
      <c r="B75" s="45" t="inlineStr">
        <is>
          <t>Loja Kopenhagen de Flávio</t>
        </is>
      </c>
      <c r="C75" s="45" t="inlineStr">
        <is>
          <t>Empresa</t>
        </is>
      </c>
      <c r="D75" s="45" t="inlineStr">
        <is>
          <t>Flávio e família</t>
        </is>
      </c>
      <c r="E75" s="45" t="inlineStr">
        <is>
          <t>Franquia no Via Parque (RJ), já vendida; MP suspeitou de lavagem da rachadinha</t>
        </is>
      </c>
      <c r="F75" s="45">
        <f>COUNTIF(Edges!$A$2:$A$198,A75)+COUNTIF(Edges!$B$2:$B$198,A75)</f>
        <v/>
      </c>
      <c r="G75" s="24" t="n"/>
      <c r="H75" s="24" t="n"/>
      <c r="I75" s="24" t="n"/>
      <c r="J75" s="24" t="n"/>
    </row>
    <row r="76">
      <c r="A76" s="45" t="inlineStr">
        <is>
          <t>adriano</t>
        </is>
      </c>
      <c r="B76" s="45" t="inlineStr">
        <is>
          <t>Adriano da Nóbrega</t>
        </is>
      </c>
      <c r="C76" s="45" t="inlineStr">
        <is>
          <t>Pessoa</t>
        </is>
      </c>
      <c r="D76" s="45" t="inlineStr">
        <is>
          <t>Flávio e família</t>
        </is>
      </c>
      <c r="E76" s="45" t="inlineStr">
        <is>
          <t>Ex-capitão do Bope, apontado como chefe do Escritório do Crime; morto em fev/2020</t>
        </is>
      </c>
      <c r="F76" s="45">
        <f>COUNTIF(Edges!$A$2:$A$198,A76)+COUNTIF(Edges!$B$2:$B$198,A76)</f>
        <v/>
      </c>
      <c r="G76" s="24" t="n"/>
      <c r="H76" s="24" t="n"/>
      <c r="I76" s="24" t="n"/>
      <c r="J76" s="24" t="n"/>
    </row>
    <row r="77">
      <c r="A77" s="45" t="inlineStr">
        <is>
          <t>ronald</t>
        </is>
      </c>
      <c r="B77" s="45" t="inlineStr">
        <is>
          <t>Ronald Paulo Alves Pereira</t>
        </is>
      </c>
      <c r="C77" s="45" t="inlineStr">
        <is>
          <t>Pessoa</t>
        </is>
      </c>
      <c r="D77" s="45" t="inlineStr">
        <is>
          <t>Flávio e família</t>
        </is>
      </c>
      <c r="E77" s="45" t="inlineStr">
        <is>
          <t>Apontado como liderança de milícia no Rio; homenageado por Flávio em 2004</t>
        </is>
      </c>
      <c r="F77" s="45">
        <f>COUNTIF(Edges!$A$2:$A$198,A77)+COUNTIF(Edges!$B$2:$B$198,A77)</f>
        <v/>
      </c>
      <c r="G77" s="24" t="n"/>
      <c r="H77" s="24" t="n"/>
      <c r="I77" s="24" t="n"/>
      <c r="J77" s="24" t="n"/>
    </row>
    <row r="78">
      <c r="A78" s="45" t="inlineStr">
        <is>
          <t>orelha</t>
        </is>
      </c>
      <c r="B78" s="45" t="inlineStr">
        <is>
          <t>Luís Carlos Felipe Martins (“Orelha”)</t>
        </is>
      </c>
      <c r="C78" s="45" t="inlineStr">
        <is>
          <t>Pessoa</t>
        </is>
      </c>
      <c r="D78" s="45" t="inlineStr">
        <is>
          <t>Flávio e família</t>
        </is>
      </c>
      <c r="E78" s="45" t="inlineStr">
        <is>
          <t>Ex-PM expulso, ligado à milícia de Rio das Pedras; homenageado por Flávio; morto em 2021</t>
        </is>
      </c>
      <c r="F78" s="45">
        <f>COUNTIF(Edges!$A$2:$A$198,A78)+COUNTIF(Edges!$B$2:$B$198,A78)</f>
        <v/>
      </c>
      <c r="G78" s="24" t="n"/>
      <c r="H78" s="24" t="n"/>
      <c r="I78" s="24" t="n"/>
      <c r="J78" s="24" t="n"/>
    </row>
    <row r="79">
      <c r="A79" s="45" t="inlineStr">
        <is>
          <t>pms16</t>
        </is>
      </c>
      <c r="B79" s="45" t="inlineStr">
        <is>
          <t>16 PMs denunciados</t>
        </is>
      </c>
      <c r="C79" s="45" t="inlineStr">
        <is>
          <t>Pessoa</t>
        </is>
      </c>
      <c r="D79" s="45" t="inlineStr">
        <is>
          <t>Flávio e família</t>
        </is>
      </c>
      <c r="E79" s="45" t="inlineStr">
        <is>
          <t>Condecorados por Flávio e Carlos; denunciados como integrantes de organizações criminosas</t>
        </is>
      </c>
      <c r="F79" s="45">
        <f>COUNTIF(Edges!$A$2:$A$198,A79)+COUNTIF(Edges!$B$2:$B$198,A79)</f>
        <v/>
      </c>
      <c r="G79" s="24" t="n"/>
      <c r="H79" s="24" t="n"/>
      <c r="I79" s="24" t="n"/>
      <c r="J79" s="24" t="n"/>
    </row>
    <row r="80">
      <c r="A80" s="45" t="inlineStr">
        <is>
          <t>peixe</t>
        </is>
      </c>
      <c r="B80" s="45" t="inlineStr">
        <is>
          <t>Robson Calixto (“Peixe”)</t>
        </is>
      </c>
      <c r="C80" s="45" t="inlineStr">
        <is>
          <t>Pessoa</t>
        </is>
      </c>
      <c r="D80" s="45" t="inlineStr">
        <is>
          <t>Flávio e família</t>
        </is>
      </c>
      <c r="E80" s="45" t="inlineStr">
        <is>
          <t>PM da reserva condenado no caso Marielle (organização criminosa); PF diz que intermediou emenda de Flávio</t>
        </is>
      </c>
      <c r="F80" s="45">
        <f>COUNTIF(Edges!$A$2:$A$198,A80)+COUNTIF(Edges!$B$2:$B$198,A80)</f>
        <v/>
      </c>
      <c r="G80" s="24" t="n"/>
      <c r="H80" s="24" t="n"/>
      <c r="I80" s="24" t="n"/>
      <c r="J80" s="24" t="n"/>
    </row>
    <row r="81">
      <c r="A81" s="45" t="inlineStr">
        <is>
          <t>ongbrazao</t>
        </is>
      </c>
      <c r="B81" s="45" t="inlineStr">
        <is>
          <t>ONG ligada aos irmãos Brazão</t>
        </is>
      </c>
      <c r="C81" s="45" t="inlineStr">
        <is>
          <t>Empresa</t>
        </is>
      </c>
      <c r="D81" s="45" t="inlineStr">
        <is>
          <t>Flávio e família</t>
        </is>
      </c>
      <c r="E81" s="45" t="inlineStr">
        <is>
          <t>Instituto Ifop (Taquara, RJ); PF suspeita de ligação com os Brazão; a ONG nega</t>
        </is>
      </c>
      <c r="F81" s="45">
        <f>COUNTIF(Edges!$A$2:$A$198,A81)+COUNTIF(Edges!$B$2:$B$198,A81)</f>
        <v/>
      </c>
      <c r="G81" s="24" t="n"/>
      <c r="H81" s="24" t="n"/>
      <c r="I81" s="24" t="n"/>
      <c r="J81" s="24" t="n"/>
    </row>
    <row r="82">
      <c r="A82" s="45" t="inlineStr">
        <is>
          <t>gaspar</t>
        </is>
      </c>
      <c r="B82" s="45" t="inlineStr">
        <is>
          <t>Alfredo Gaspar</t>
        </is>
      </c>
      <c r="C82" s="45" t="inlineStr">
        <is>
          <t>Pessoa</t>
        </is>
      </c>
      <c r="D82" s="45" t="inlineStr">
        <is>
          <t>Flávio e família</t>
        </is>
      </c>
      <c r="E82" s="45" t="inlineStr">
        <is>
          <t>Vice na chapa de Flávio; pedido de investigação arquivado pelo STF (out/2026); nega</t>
        </is>
      </c>
      <c r="F82" s="45">
        <f>COUNTIF(Edges!$A$2:$A$198,A82)+COUNTIF(Edges!$B$2:$B$198,A82)</f>
        <v/>
      </c>
      <c r="G82" s="24" t="n"/>
      <c r="H82" s="24" t="n"/>
      <c r="I82" s="24" t="n"/>
      <c r="J82" s="24" t="n"/>
    </row>
    <row r="83">
      <c r="A83" s="45" t="inlineStr">
        <is>
          <t>jbcarvalho</t>
        </is>
      </c>
      <c r="B83" s="45" t="inlineStr">
        <is>
          <t>Bispo JB Carvalho</t>
        </is>
      </c>
      <c r="C83" s="45" t="inlineStr">
        <is>
          <t>Pessoa</t>
        </is>
      </c>
      <c r="D83" s="45" t="inlineStr">
        <is>
          <t>Flávio e família</t>
        </is>
      </c>
      <c r="E83" s="45" t="inlineStr">
        <is>
          <t>Bispo da Comunidade das Nações; defendeu em livro retirar o título de padroeira de N. Sra. Aparecida</t>
        </is>
      </c>
      <c r="F83" s="45">
        <f>COUNTIF(Edges!$A$2:$A$198,A83)+COUNTIF(Edges!$B$2:$B$198,A83)</f>
        <v/>
      </c>
      <c r="G83" s="24" t="n"/>
      <c r="H83" s="24" t="n"/>
      <c r="I83" s="24" t="n"/>
      <c r="J83" s="24" t="n"/>
    </row>
    <row r="84">
      <c r="A84" s="45" t="inlineStr">
        <is>
          <t>pmacusado</t>
        </is>
      </c>
      <c r="B84" s="45" t="inlineStr">
        <is>
          <t>PM acusado de matar menina de 5 anos</t>
        </is>
      </c>
      <c r="C84" s="45" t="inlineStr">
        <is>
          <t>Pessoa</t>
        </is>
      </c>
      <c r="D84" s="45" t="inlineStr">
        <is>
          <t>Flávio e família</t>
        </is>
      </c>
      <c r="E84" s="45" t="inlineStr">
        <is>
          <t>Preso em flagrante no RJ; Flávio atuou como advogado dele no STJ</t>
        </is>
      </c>
      <c r="F84" s="45">
        <f>COUNTIF(Edges!$A$2:$A$198,A84)+COUNTIF(Edges!$B$2:$B$198,A84)</f>
        <v/>
      </c>
      <c r="G84" s="24" t="n"/>
      <c r="H84" s="24" t="n"/>
      <c r="I84" s="24" t="n"/>
      <c r="J84" s="24" t="n"/>
    </row>
    <row r="85">
      <c r="A85" s="45" t="inlineStr">
        <is>
          <t>cathedral</t>
        </is>
      </c>
      <c r="B85" s="45" t="inlineStr">
        <is>
          <t>Cathedral Holdings</t>
        </is>
      </c>
      <c r="C85" s="45" t="inlineStr">
        <is>
          <t>Empresa</t>
        </is>
      </c>
      <c r="D85" s="45" t="inlineStr">
        <is>
          <t>Willer Tomaz e sua rede</t>
        </is>
      </c>
      <c r="E85" s="45" t="inlineStr">
        <is>
          <t>Offshore na Ilha da Madeira criada por Willer em jan/2023; única acionista da Rede Loto</t>
        </is>
      </c>
      <c r="F85" s="45">
        <f>COUNTIF(Edges!$A$2:$A$198,A85)+COUNTIF(Edges!$B$2:$B$198,A85)</f>
        <v/>
      </c>
      <c r="G85" s="24" t="n"/>
      <c r="H85" s="24" t="n"/>
      <c r="I85" s="24" t="n"/>
      <c r="J85" s="24" t="n"/>
    </row>
    <row r="86">
      <c r="A86" s="45" t="inlineStr">
        <is>
          <t>bestbet</t>
        </is>
      </c>
      <c r="B86" s="45" t="inlineStr">
        <is>
          <t>Best Bet (Rede Loto)</t>
        </is>
      </c>
      <c r="C86" s="45" t="inlineStr">
        <is>
          <t>Empresa</t>
        </is>
      </c>
      <c r="D86" s="45" t="inlineStr">
        <is>
          <t>Willer Tomaz e sua rede</t>
        </is>
      </c>
      <c r="E86" s="45" t="inlineStr">
        <is>
          <t>Bet licenciada pela Loterj em mai/2023; a defesa diz que nunca chegou a operar</t>
        </is>
      </c>
      <c r="F86" s="45">
        <f>COUNTIF(Edges!$A$2:$A$198,A86)+COUNTIF(Edges!$B$2:$B$198,A86)</f>
        <v/>
      </c>
      <c r="G86" s="24" t="n"/>
      <c r="H86" s="24" t="n"/>
      <c r="I86" s="24" t="n"/>
      <c r="J86" s="24" t="n"/>
    </row>
    <row r="87">
      <c r="A87" s="45" t="inlineStr">
        <is>
          <t>riopag</t>
        </is>
      </c>
      <c r="B87" s="45" t="inlineStr">
        <is>
          <t>Rio Pag</t>
        </is>
      </c>
      <c r="C87" s="45" t="inlineStr">
        <is>
          <t>Empresa</t>
        </is>
      </c>
      <c r="D87" s="45" t="inlineStr">
        <is>
          <t>Willer Tomaz e sua rede</t>
        </is>
      </c>
      <c r="E87" s="45" t="inlineStr">
        <is>
          <t>Processava pagamentos das bets da Loterj; o estado rescindiu em set/2026 e cobra R$ 9,4 mi (liminar suspendeu)</t>
        </is>
      </c>
      <c r="F87" s="45">
        <f>COUNTIF(Edges!$A$2:$A$198,A87)+COUNTIF(Edges!$B$2:$B$198,A87)</f>
        <v/>
      </c>
      <c r="G87" s="24" t="n"/>
      <c r="H87" s="24" t="n"/>
      <c r="I87" s="24" t="n"/>
      <c r="J87" s="24" t="n"/>
    </row>
    <row r="88">
      <c r="A88" s="45" t="inlineStr">
        <is>
          <t>loterj</t>
        </is>
      </c>
      <c r="B88" s="45" t="inlineStr">
        <is>
          <t>Loterj</t>
        </is>
      </c>
      <c r="C88" s="45" t="inlineStr">
        <is>
          <t>Instituição ou caso</t>
        </is>
      </c>
      <c r="D88" s="45" t="inlineStr">
        <is>
          <t>Poder e Justiça</t>
        </is>
      </c>
      <c r="E88" s="45" t="inlineStr">
        <is>
          <t>Loteria do Estado do RJ; licenciou a Best Bet e contratou a Rio Pag em 2023</t>
        </is>
      </c>
      <c r="F88" s="45">
        <f>COUNTIF(Edges!$A$2:$A$198,A88)+COUNTIF(Edges!$B$2:$B$198,A88)</f>
        <v/>
      </c>
      <c r="G88" s="24" t="n"/>
      <c r="H88" s="24" t="n"/>
      <c r="I88" s="24" t="n"/>
      <c r="J88" s="24" t="n"/>
    </row>
    <row r="89">
      <c r="A89" s="45" t="inlineStr">
        <is>
          <t>cancado</t>
        </is>
      </c>
      <c r="B89" s="45" t="inlineStr">
        <is>
          <t>Hazenclever Cançado</t>
        </is>
      </c>
      <c r="C89" s="45" t="inlineStr">
        <is>
          <t>Pessoa</t>
        </is>
      </c>
      <c r="D89" s="45" t="inlineStr">
        <is>
          <t>Poder e Justiça</t>
        </is>
      </c>
      <c r="E89" s="45" t="inlineStr">
        <is>
          <t>Ex-presidente da Loterj; assinou a licença da Best Bet</t>
        </is>
      </c>
      <c r="F89" s="45">
        <f>COUNTIF(Edges!$A$2:$A$198,A89)+COUNTIF(Edges!$B$2:$B$198,A89)</f>
        <v/>
      </c>
      <c r="G89" s="24" t="n"/>
      <c r="H89" s="24" t="n"/>
      <c r="I89" s="24" t="n"/>
      <c r="J89" s="24" t="n"/>
    </row>
    <row r="90">
      <c r="A90" s="45" t="inlineStr">
        <is>
          <t>hangar</t>
        </is>
      </c>
      <c r="B90" s="45" t="inlineStr">
        <is>
          <t>Hangares de Willer (Aeroporto de Brasília)</t>
        </is>
      </c>
      <c r="C90" s="45" t="inlineStr">
        <is>
          <t>Casa ou ativo</t>
        </is>
      </c>
      <c r="D90" s="45" t="inlineStr">
        <is>
          <t>Casas e ativos</t>
        </is>
      </c>
      <c r="E90" s="45" t="inlineStr">
        <is>
          <t>Hangares 36 e 37; PF achou sala oculta e máquina de contar, sem dinheiro; Willer diz que atende transporte de valores</t>
        </is>
      </c>
      <c r="F90" s="45">
        <f>COUNTIF(Edges!$A$2:$A$198,A90)+COUNTIF(Edges!$B$2:$B$198,A90)</f>
        <v/>
      </c>
      <c r="G90" s="24" t="n"/>
      <c r="H90" s="24" t="n"/>
      <c r="I90" s="24" t="n"/>
      <c r="J90" s="24" t="n"/>
    </row>
    <row r="91">
      <c r="A91" s="45" t="inlineStr">
        <is>
          <t>weverton</t>
        </is>
      </c>
      <c r="B91" s="45" t="inlineStr">
        <is>
          <t>Weverton Rocha</t>
        </is>
      </c>
      <c r="C91" s="45" t="inlineStr">
        <is>
          <t>Pessoa</t>
        </is>
      </c>
      <c r="D91" s="45" t="inlineStr">
        <is>
          <t>Poder e Justiça</t>
        </is>
      </c>
      <c r="E91" s="45" t="inlineStr">
        <is>
          <t>Senador (PDT-MA), vice-líder do governo Lula; investigado na Operação Sem Desconto; nega</t>
        </is>
      </c>
      <c r="F91" s="45">
        <f>COUNTIF(Edges!$A$2:$A$198,A91)+COUNTIF(Edges!$B$2:$B$198,A91)</f>
        <v/>
      </c>
      <c r="G91" s="24" t="n"/>
      <c r="H91" s="24" t="n"/>
      <c r="I91" s="24" t="n"/>
      <c r="J91" s="24" t="n"/>
    </row>
  </sheetData>
  <autoFilter ref="A1:F5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9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24" min="1" max="2"/>
    <col width="60" customWidth="1" style="24" min="3" max="3"/>
    <col width="22" customWidth="1" style="24" min="4" max="4"/>
    <col width="30" customWidth="1" style="24" min="5" max="6"/>
  </cols>
  <sheetData>
    <row r="1" ht="15" customHeight="1" s="25">
      <c r="A1" s="44" t="inlineStr">
        <is>
          <t>Source</t>
        </is>
      </c>
      <c r="B1" s="44" t="inlineStr">
        <is>
          <t>Target</t>
        </is>
      </c>
      <c r="C1" s="44" t="inlineStr">
        <is>
          <t>Label</t>
        </is>
      </c>
      <c r="D1" s="44" t="inlineStr">
        <is>
          <t>Status</t>
        </is>
      </c>
      <c r="E1" s="44" t="inlineStr">
        <is>
          <t>Source name</t>
        </is>
      </c>
      <c r="F1" s="44" t="inlineStr">
        <is>
          <t>Target name</t>
        </is>
      </c>
    </row>
    <row r="2" ht="15" customHeight="1" s="25">
      <c r="A2" s="45" t="inlineStr">
        <is>
          <t>assoc</t>
        </is>
      </c>
      <c r="B2" s="45" t="inlineStr">
        <is>
          <t>careca</t>
        </is>
      </c>
      <c r="C2" s="45" t="inlineStr">
        <is>
          <t>Dinheiro dos descontos passa pelo esquema que a PF atribui a ele</t>
        </is>
      </c>
      <c r="D2" s="45" t="inlineStr">
        <is>
          <t>Documentado</t>
        </is>
      </c>
      <c r="E2" s="45">
        <f>INDEX(Nodes!$B$2:$B$91,MATCH(A2,Nodes!$A$2:$A$91,0))</f>
        <v/>
      </c>
      <c r="F2" s="45">
        <f>INDEX(Nodes!$B$2:$B$91,MATCH(B2,Nodes!$A$2:$A$91,0))</f>
        <v/>
      </c>
    </row>
    <row r="3" ht="15" customHeight="1" s="25">
      <c r="A3" s="45" t="inlineStr">
        <is>
          <t>careca</t>
        </is>
      </c>
      <c r="B3" s="45" t="inlineStr">
        <is>
          <t>contador</t>
        </is>
      </c>
      <c r="C3" s="45" t="inlineStr">
        <is>
          <t>Contador dele</t>
        </is>
      </c>
      <c r="D3" s="45" t="inlineStr">
        <is>
          <t>Documentado</t>
        </is>
      </c>
      <c r="E3" s="45">
        <f>INDEX(Nodes!$B$2:$B$91,MATCH(A3,Nodes!$A$2:$A$91,0))</f>
        <v/>
      </c>
      <c r="F3" s="45">
        <f>INDEX(Nodes!$B$2:$B$91,MATCH(B3,Nodes!$A$2:$A$91,0))</f>
        <v/>
      </c>
    </row>
    <row r="4" ht="15" customHeight="1" s="25">
      <c r="A4" s="45" t="inlineStr">
        <is>
          <t>contador</t>
        </is>
      </c>
      <c r="B4" s="45" t="inlineStr">
        <is>
          <t>leticia</t>
        </is>
      </c>
      <c r="C4" s="45" t="inlineStr">
        <is>
          <t>Irmãos</t>
        </is>
      </c>
      <c r="D4" s="45" t="inlineStr">
        <is>
          <t>Documentado</t>
        </is>
      </c>
      <c r="E4" s="45">
        <f>INDEX(Nodes!$B$2:$B$91,MATCH(A4,Nodes!$A$2:$A$91,0))</f>
        <v/>
      </c>
      <c r="F4" s="45">
        <f>INDEX(Nodes!$B$2:$B$91,MATCH(B4,Nodes!$A$2:$A$91,0))</f>
        <v/>
      </c>
    </row>
    <row r="5" ht="15" customHeight="1" s="25">
      <c r="A5" s="45" t="inlineStr">
        <is>
          <t>leticia</t>
        </is>
      </c>
      <c r="B5" s="45" t="inlineStr">
        <is>
          <t>escf</t>
        </is>
      </c>
      <c r="C5" s="45" t="inlineStr">
        <is>
          <t>Administra desde 2021</t>
        </is>
      </c>
      <c r="D5" s="45" t="inlineStr">
        <is>
          <t>Documentado</t>
        </is>
      </c>
      <c r="E5" s="45">
        <f>INDEX(Nodes!$B$2:$B$91,MATCH(A5,Nodes!$A$2:$A$91,0))</f>
        <v/>
      </c>
      <c r="F5" s="45">
        <f>INDEX(Nodes!$B$2:$B$91,MATCH(B5,Nodes!$A$2:$A$91,0))</f>
        <v/>
      </c>
    </row>
    <row r="6" ht="15" customHeight="1" s="25">
      <c r="A6" s="45" t="inlineStr">
        <is>
          <t>contador</t>
        </is>
      </c>
      <c r="B6" s="45" t="inlineStr">
        <is>
          <t>escf</t>
        </is>
      </c>
      <c r="C6" s="45" t="inlineStr">
        <is>
          <t>Faz a contabilidade</t>
        </is>
      </c>
      <c r="D6" s="45" t="inlineStr">
        <is>
          <t>Documentado</t>
        </is>
      </c>
      <c r="E6" s="45">
        <f>INDEX(Nodes!$B$2:$B$91,MATCH(A6,Nodes!$A$2:$A$91,0))</f>
        <v/>
      </c>
      <c r="F6" s="45">
        <f>INDEX(Nodes!$B$2:$B$91,MATCH(B6,Nodes!$A$2:$A$91,0))</f>
        <v/>
      </c>
    </row>
    <row r="7" ht="15" customHeight="1" s="25">
      <c r="A7" s="45" t="inlineStr">
        <is>
          <t>willer</t>
        </is>
      </c>
      <c r="B7" s="45" t="inlineStr">
        <is>
          <t>leticia</t>
        </is>
      </c>
      <c r="C7" s="45" t="inlineStr">
        <is>
          <t>Teria indicado a irmã ao escritório de Flávio</t>
        </is>
      </c>
      <c r="D7" s="45" t="inlineStr">
        <is>
          <t>Documentado</t>
        </is>
      </c>
      <c r="E7" s="45">
        <f>INDEX(Nodes!$B$2:$B$91,MATCH(A7,Nodes!$A$2:$A$91,0))</f>
        <v/>
      </c>
      <c r="F7" s="45">
        <f>INDEX(Nodes!$B$2:$B$91,MATCH(B7,Nodes!$A$2:$A$91,0))</f>
        <v/>
      </c>
    </row>
    <row r="8" ht="15" customHeight="1" s="25">
      <c r="A8" s="45" t="inlineStr">
        <is>
          <t>willer</t>
        </is>
      </c>
      <c r="B8" s="45" t="inlineStr">
        <is>
          <t>contador</t>
        </is>
      </c>
      <c r="C8" s="45" t="inlineStr">
        <is>
          <t>É o advogado de defesa</t>
        </is>
      </c>
      <c r="D8" s="45" t="inlineStr">
        <is>
          <t>Documentado</t>
        </is>
      </c>
      <c r="E8" s="45">
        <f>INDEX(Nodes!$B$2:$B$91,MATCH(A8,Nodes!$A$2:$A$91,0))</f>
        <v/>
      </c>
      <c r="F8" s="45">
        <f>INDEX(Nodes!$B$2:$B$91,MATCH(B8,Nodes!$A$2:$A$91,0))</f>
        <v/>
      </c>
    </row>
    <row r="9" ht="15" customHeight="1" s="25">
      <c r="A9" s="45" t="inlineStr">
        <is>
          <t>willer</t>
        </is>
      </c>
      <c r="B9" s="45" t="inlineStr">
        <is>
          <t>careca</t>
        </is>
      </c>
      <c r="C9" s="45" t="inlineStr">
        <is>
          <t>Investigado no mesmo esquema do INSS</t>
        </is>
      </c>
      <c r="D9" s="45" t="inlineStr">
        <is>
          <t>Documentado</t>
        </is>
      </c>
      <c r="E9" s="45">
        <f>INDEX(Nodes!$B$2:$B$91,MATCH(A9,Nodes!$A$2:$A$91,0))</f>
        <v/>
      </c>
      <c r="F9" s="45">
        <f>INDEX(Nodes!$B$2:$B$91,MATCH(B9,Nodes!$A$2:$A$91,0))</f>
        <v/>
      </c>
    </row>
    <row r="10" ht="15" customHeight="1" s="25">
      <c r="A10" s="45" t="inlineStr">
        <is>
          <t>pf</t>
        </is>
      </c>
      <c r="B10" s="45" t="inlineStr">
        <is>
          <t>careca</t>
        </is>
      </c>
      <c r="C10" s="45" t="inlineStr">
        <is>
          <t>Investiga</t>
        </is>
      </c>
      <c r="D10" s="45" t="inlineStr">
        <is>
          <t>Documentado</t>
        </is>
      </c>
      <c r="E10" s="45">
        <f>INDEX(Nodes!$B$2:$B$91,MATCH(A10,Nodes!$A$2:$A$91,0))</f>
        <v/>
      </c>
      <c r="F10" s="45">
        <f>INDEX(Nodes!$B$2:$B$91,MATCH(B10,Nodes!$A$2:$A$91,0))</f>
        <v/>
      </c>
    </row>
    <row r="11" ht="15" customHeight="1" s="25">
      <c r="A11" s="45" t="inlineStr">
        <is>
          <t>lulinha</t>
        </is>
      </c>
      <c r="B11" s="45" t="inlineStr">
        <is>
          <t>careca</t>
        </is>
      </c>
      <c r="C11" s="45" t="inlineStr">
        <is>
          <t>Inquéritos por tráfico de influência a favor do Careca</t>
        </is>
      </c>
      <c r="D11" s="45" t="inlineStr">
        <is>
          <t>Alegado ou contestado</t>
        </is>
      </c>
      <c r="E11" s="45">
        <f>INDEX(Nodes!$B$2:$B$91,MATCH(A11,Nodes!$A$2:$A$91,0))</f>
        <v/>
      </c>
      <c r="F11" s="45">
        <f>INDEX(Nodes!$B$2:$B$91,MATCH(B11,Nodes!$A$2:$A$91,0))</f>
        <v/>
      </c>
    </row>
    <row r="12" ht="15" customHeight="1" s="25">
      <c r="A12" s="45" t="inlineStr">
        <is>
          <t>lulinha</t>
        </is>
      </c>
      <c r="B12" s="45" t="inlineStr">
        <is>
          <t>roberta</t>
        </is>
      </c>
      <c r="C12" s="45" t="inlineStr">
        <is>
          <t>Amiga; PF diz que ela podia agir em nome dele</t>
        </is>
      </c>
      <c r="D12" s="45" t="inlineStr">
        <is>
          <t>Alegado ou contestado</t>
        </is>
      </c>
      <c r="E12" s="45">
        <f>INDEX(Nodes!$B$2:$B$91,MATCH(A12,Nodes!$A$2:$A$91,0))</f>
        <v/>
      </c>
      <c r="F12" s="45">
        <f>INDEX(Nodes!$B$2:$B$91,MATCH(B12,Nodes!$A$2:$A$91,0))</f>
        <v/>
      </c>
    </row>
    <row r="13" ht="15" customHeight="1" s="25">
      <c r="A13" s="45" t="inlineStr">
        <is>
          <t>roberta</t>
        </is>
      </c>
      <c r="B13" s="45" t="inlineStr">
        <is>
          <t>careca</t>
        </is>
      </c>
      <c r="C13" s="45" t="inlineStr">
        <is>
          <t>Recebeu ~R$ 1 mi de empresa de fachada</t>
        </is>
      </c>
      <c r="D13" s="45" t="inlineStr">
        <is>
          <t>Documentado</t>
        </is>
      </c>
      <c r="E13" s="45">
        <f>INDEX(Nodes!$B$2:$B$91,MATCH(A13,Nodes!$A$2:$A$91,0))</f>
        <v/>
      </c>
      <c r="F13" s="45">
        <f>INDEX(Nodes!$B$2:$B$91,MATCH(B13,Nodes!$A$2:$A$91,0))</f>
        <v/>
      </c>
    </row>
    <row r="14" ht="15" customHeight="1" s="25">
      <c r="A14" s="45" t="inlineStr">
        <is>
          <t>careca</t>
        </is>
      </c>
      <c r="B14" s="45" t="inlineStr">
        <is>
          <t>sala</t>
        </is>
      </c>
      <c r="C14" s="45" t="inlineStr">
        <is>
          <t>16 empresas dele no endereço</t>
        </is>
      </c>
      <c r="D14" s="45" t="inlineStr">
        <is>
          <t>Documentado</t>
        </is>
      </c>
      <c r="E14" s="45">
        <f>INDEX(Nodes!$B$2:$B$91,MATCH(A14,Nodes!$A$2:$A$91,0))</f>
        <v/>
      </c>
      <c r="F14" s="45">
        <f>INDEX(Nodes!$B$2:$B$91,MATCH(B14,Nodes!$A$2:$A$91,0))</f>
        <v/>
      </c>
    </row>
    <row r="15" ht="15" customHeight="1" s="25">
      <c r="A15" s="45" t="inlineStr">
        <is>
          <t>bravo</t>
        </is>
      </c>
      <c r="B15" s="45" t="inlineStr">
        <is>
          <t>sala</t>
        </is>
      </c>
      <c r="C15" s="45" t="inlineStr">
        <is>
          <t>Registrada no mesmo endereço</t>
        </is>
      </c>
      <c r="D15" s="45" t="inlineStr">
        <is>
          <t>Documentado</t>
        </is>
      </c>
      <c r="E15" s="45">
        <f>INDEX(Nodes!$B$2:$B$91,MATCH(A15,Nodes!$A$2:$A$91,0))</f>
        <v/>
      </c>
      <c r="F15" s="45">
        <f>INDEX(Nodes!$B$2:$B$91,MATCH(B15,Nodes!$A$2:$A$91,0))</f>
        <v/>
      </c>
    </row>
    <row r="16" ht="15" customHeight="1" s="25">
      <c r="A16" s="45" t="inlineStr">
        <is>
          <t>bravo</t>
        </is>
      </c>
      <c r="B16" s="45" t="inlineStr">
        <is>
          <t>flavio</t>
        </is>
      </c>
      <c r="C16" s="45" t="inlineStr">
        <is>
          <t>Fábrica dele e do irmão</t>
        </is>
      </c>
      <c r="D16" s="45" t="inlineStr">
        <is>
          <t>Documentado</t>
        </is>
      </c>
      <c r="E16" s="45">
        <f>INDEX(Nodes!$B$2:$B$91,MATCH(A16,Nodes!$A$2:$A$91,0))</f>
        <v/>
      </c>
      <c r="F16" s="45">
        <f>INDEX(Nodes!$B$2:$B$91,MATCH(B16,Nodes!$A$2:$A$91,0))</f>
        <v/>
      </c>
    </row>
    <row r="17" ht="15" customHeight="1" s="25">
      <c r="A17" s="45" t="inlineStr">
        <is>
          <t>bravo</t>
        </is>
      </c>
      <c r="B17" s="45" t="inlineStr">
        <is>
          <t>carlos</t>
        </is>
      </c>
      <c r="C17" s="45" t="inlineStr">
        <is>
          <t>Sócios</t>
        </is>
      </c>
      <c r="D17" s="45" t="inlineStr">
        <is>
          <t>Documentado</t>
        </is>
      </c>
      <c r="E17" s="45">
        <f>INDEX(Nodes!$B$2:$B$91,MATCH(A17,Nodes!$A$2:$A$91,0))</f>
        <v/>
      </c>
      <c r="F17" s="45">
        <f>INDEX(Nodes!$B$2:$B$91,MATCH(B17,Nodes!$A$2:$A$91,0))</f>
        <v/>
      </c>
    </row>
    <row r="18" ht="15" customHeight="1" s="25">
      <c r="A18" s="45" t="inlineStr">
        <is>
          <t>flavio</t>
        </is>
      </c>
      <c r="B18" s="45" t="inlineStr">
        <is>
          <t>carlos</t>
        </is>
      </c>
      <c r="C18" s="45" t="inlineStr">
        <is>
          <t>Irmãos</t>
        </is>
      </c>
      <c r="D18" s="45" t="inlineStr">
        <is>
          <t>Documentado</t>
        </is>
      </c>
      <c r="E18" s="45">
        <f>INDEX(Nodes!$B$2:$B$91,MATCH(A18,Nodes!$A$2:$A$91,0))</f>
        <v/>
      </c>
      <c r="F18" s="45">
        <f>INDEX(Nodes!$B$2:$B$91,MATCH(B18,Nodes!$A$2:$A$91,0))</f>
        <v/>
      </c>
    </row>
    <row r="19" ht="15" customHeight="1" s="25">
      <c r="A19" s="45" t="inlineStr">
        <is>
          <t>willer</t>
        </is>
      </c>
      <c r="B19" s="45" t="inlineStr">
        <is>
          <t>escw</t>
        </is>
      </c>
      <c r="C19" s="45" t="inlineStr">
        <is>
          <t>PF fez buscas e achou dinheiro em livros-cofre</t>
        </is>
      </c>
      <c r="D19" s="45" t="inlineStr">
        <is>
          <t>Documentado</t>
        </is>
      </c>
      <c r="E19" s="45">
        <f>INDEX(Nodes!$B$2:$B$91,MATCH(A19,Nodes!$A$2:$A$91,0))</f>
        <v/>
      </c>
      <c r="F19" s="45">
        <f>INDEX(Nodes!$B$2:$B$91,MATCH(B19,Nodes!$A$2:$A$91,0))</f>
        <v/>
      </c>
    </row>
    <row r="20" ht="15" customHeight="1" s="25">
      <c r="A20" s="45" t="inlineStr">
        <is>
          <t>willer</t>
        </is>
      </c>
      <c r="B20" s="45" t="inlineStr">
        <is>
          <t>bets</t>
        </is>
      </c>
      <c r="C20" s="45" t="inlineStr">
        <is>
          <t>Movimentou ~R$ 5 bi em apostas</t>
        </is>
      </c>
      <c r="D20" s="45" t="inlineStr">
        <is>
          <t>Documentado</t>
        </is>
      </c>
      <c r="E20" s="45">
        <f>INDEX(Nodes!$B$2:$B$91,MATCH(A20,Nodes!$A$2:$A$91,0))</f>
        <v/>
      </c>
      <c r="F20" s="45">
        <f>INDEX(Nodes!$B$2:$B$91,MATCH(B20,Nodes!$A$2:$A$91,0))</f>
        <v/>
      </c>
    </row>
    <row r="21" ht="15" customHeight="1" s="25">
      <c r="A21" s="45" t="inlineStr">
        <is>
          <t>willer</t>
        </is>
      </c>
      <c r="B21" s="45" t="inlineStr">
        <is>
          <t>lidia</t>
        </is>
      </c>
      <c r="C21" s="45" t="inlineStr">
        <is>
          <t>Ela comanda 14 empresas ligadas a ele</t>
        </is>
      </c>
      <c r="D21" s="45" t="inlineStr">
        <is>
          <t>Documentado</t>
        </is>
      </c>
      <c r="E21" s="45">
        <f>INDEX(Nodes!$B$2:$B$91,MATCH(A21,Nodes!$A$2:$A$91,0))</f>
        <v/>
      </c>
      <c r="F21" s="45">
        <f>INDEX(Nodes!$B$2:$B$91,MATCH(B21,Nodes!$A$2:$A$91,0))</f>
        <v/>
      </c>
    </row>
    <row r="22" ht="15" customHeight="1" s="25">
      <c r="A22" s="45" t="inlineStr">
        <is>
          <t>lidia</t>
        </is>
      </c>
      <c r="B22" s="45" t="inlineStr">
        <is>
          <t>wt</t>
        </is>
      </c>
      <c r="C22" s="45" t="inlineStr">
        <is>
          <t>Aparece à frente da WT</t>
        </is>
      </c>
      <c r="D22" s="45" t="inlineStr">
        <is>
          <t>Documentado</t>
        </is>
      </c>
      <c r="E22" s="45">
        <f>INDEX(Nodes!$B$2:$B$91,MATCH(A22,Nodes!$A$2:$A$91,0))</f>
        <v/>
      </c>
      <c r="F22" s="45">
        <f>INDEX(Nodes!$B$2:$B$91,MATCH(B22,Nodes!$A$2:$A$91,0))</f>
        <v/>
      </c>
    </row>
    <row r="23" ht="15" customHeight="1" s="25">
      <c r="A23" s="45" t="inlineStr">
        <is>
          <t>willer</t>
        </is>
      </c>
      <c r="B23" s="45" t="inlineStr">
        <is>
          <t>alcazar</t>
        </is>
      </c>
      <c r="C23" s="45" t="inlineStr">
        <is>
          <t>Empresa ligada a ele</t>
        </is>
      </c>
      <c r="D23" s="45" t="inlineStr">
        <is>
          <t>Documentado</t>
        </is>
      </c>
      <c r="E23" s="45">
        <f>INDEX(Nodes!$B$2:$B$91,MATCH(A23,Nodes!$A$2:$A$91,0))</f>
        <v/>
      </c>
      <c r="F23" s="45">
        <f>INDEX(Nodes!$B$2:$B$91,MATCH(B23,Nodes!$A$2:$A$91,0))</f>
        <v/>
      </c>
    </row>
    <row r="24" ht="15" customHeight="1" s="25">
      <c r="A24" s="45" t="inlineStr">
        <is>
          <t>alcazar</t>
        </is>
      </c>
      <c r="B24" s="45" t="inlineStr">
        <is>
          <t>santander</t>
        </is>
      </c>
      <c r="C24" s="45" t="inlineStr">
        <is>
          <t>Conta bancária</t>
        </is>
      </c>
      <c r="D24" s="45" t="inlineStr">
        <is>
          <t>Documentado</t>
        </is>
      </c>
      <c r="E24" s="45">
        <f>INDEX(Nodes!$B$2:$B$91,MATCH(A24,Nodes!$A$2:$A$91,0))</f>
        <v/>
      </c>
      <c r="F24" s="45">
        <f>INDEX(Nodes!$B$2:$B$91,MATCH(B24,Nodes!$A$2:$A$91,0))</f>
        <v/>
      </c>
    </row>
    <row r="25" ht="15" customHeight="1" s="25">
      <c r="A25" s="45" t="inlineStr">
        <is>
          <t>santander</t>
        </is>
      </c>
      <c r="B25" s="45" t="inlineStr">
        <is>
          <t>flavio</t>
        </is>
      </c>
      <c r="C25" s="45" t="inlineStr">
        <is>
          <t>PF/piauí: Flávio era “usuário master” da conta da Alcazar; e-mail de 22/05/2025 pediu a exclusão dele. Ele nega ter tido acesso</t>
        </is>
      </c>
      <c r="D25" s="45" t="inlineStr">
        <is>
          <t>Alegado ou contestado</t>
        </is>
      </c>
      <c r="E25" s="45">
        <f>INDEX(Nodes!$B$2:$B$91,MATCH(A25,Nodes!$A$2:$A$91,0))</f>
        <v/>
      </c>
      <c r="F25" s="45">
        <f>INDEX(Nodes!$B$2:$B$91,MATCH(B25,Nodes!$A$2:$A$91,0))</f>
        <v/>
      </c>
    </row>
    <row r="26" ht="15" customHeight="1" s="25">
      <c r="A26" s="45" t="inlineStr">
        <is>
          <t>alcazar</t>
        </is>
      </c>
      <c r="B26" s="45" t="inlineStr">
        <is>
          <t>flavio</t>
        </is>
      </c>
      <c r="C26" s="45" t="inlineStr">
        <is>
          <t>PF levanta hipótese de sócio de fato; ele nega</t>
        </is>
      </c>
      <c r="D26" s="45" t="inlineStr">
        <is>
          <t>Alegado ou contestado</t>
        </is>
      </c>
      <c r="E26" s="45">
        <f>INDEX(Nodes!$B$2:$B$91,MATCH(A26,Nodes!$A$2:$A$91,0))</f>
        <v/>
      </c>
      <c r="F26" s="45">
        <f>INDEX(Nodes!$B$2:$B$91,MATCH(B26,Nodes!$A$2:$A$91,0))</f>
        <v/>
      </c>
    </row>
    <row r="27" ht="15" customHeight="1" s="25">
      <c r="A27" s="45" t="inlineStr">
        <is>
          <t>willer</t>
        </is>
      </c>
      <c r="B27" s="45" t="inlineStr">
        <is>
          <t>flavio</t>
        </is>
      </c>
      <c r="C27" s="45" t="inlineStr">
        <is>
          <t>Amigo; viagens juntos; PF vê algo além da amizade</t>
        </is>
      </c>
      <c r="D27" s="45" t="inlineStr">
        <is>
          <t>Alegado ou contestado</t>
        </is>
      </c>
      <c r="E27" s="45">
        <f>INDEX(Nodes!$B$2:$B$91,MATCH(A27,Nodes!$A$2:$A$91,0))</f>
        <v/>
      </c>
      <c r="F27" s="45">
        <f>INDEX(Nodes!$B$2:$B$91,MATCH(B27,Nodes!$A$2:$A$91,0))</f>
        <v/>
      </c>
    </row>
    <row r="28" ht="15" customHeight="1" s="25">
      <c r="A28" s="45" t="inlineStr">
        <is>
          <t>cpi</t>
        </is>
      </c>
      <c r="B28" s="45" t="inlineStr">
        <is>
          <t>willer</t>
        </is>
      </c>
      <c r="C28" s="45" t="inlineStr">
        <is>
          <t>Citado na Covaxin; quebra de sigilo cancelada</t>
        </is>
      </c>
      <c r="D28" s="45" t="inlineStr">
        <is>
          <t>Documentado</t>
        </is>
      </c>
      <c r="E28" s="45">
        <f>INDEX(Nodes!$B$2:$B$91,MATCH(A28,Nodes!$A$2:$A$91,0))</f>
        <v/>
      </c>
      <c r="F28" s="45">
        <f>INDEX(Nodes!$B$2:$B$91,MATCH(B28,Nodes!$A$2:$A$91,0))</f>
        <v/>
      </c>
    </row>
    <row r="29" ht="15" customHeight="1" s="25">
      <c r="A29" s="45" t="inlineStr">
        <is>
          <t>renan</t>
        </is>
      </c>
      <c r="B29" s="45" t="inlineStr">
        <is>
          <t>cpi</t>
        </is>
      </c>
      <c r="C29" s="45" t="inlineStr">
        <is>
          <t>Relator</t>
        </is>
      </c>
      <c r="D29" s="45" t="inlineStr">
        <is>
          <t>Documentado</t>
        </is>
      </c>
      <c r="E29" s="45">
        <f>INDEX(Nodes!$B$2:$B$91,MATCH(A29,Nodes!$A$2:$A$91,0))</f>
        <v/>
      </c>
      <c r="F29" s="45">
        <f>INDEX(Nodes!$B$2:$B$91,MATCH(B29,Nodes!$A$2:$A$91,0))</f>
        <v/>
      </c>
    </row>
    <row r="30" ht="15" customHeight="1" s="25">
      <c r="A30" s="45" t="inlineStr">
        <is>
          <t>cpi</t>
        </is>
      </c>
      <c r="B30" s="45" t="inlineStr">
        <is>
          <t>flavio</t>
        </is>
      </c>
      <c r="C30" s="45" t="inlineStr">
        <is>
          <t>Reagiu contra a quebra do sigilo</t>
        </is>
      </c>
      <c r="D30" s="45" t="inlineStr">
        <is>
          <t>Documentado</t>
        </is>
      </c>
      <c r="E30" s="45">
        <f>INDEX(Nodes!$B$2:$B$91,MATCH(A30,Nodes!$A$2:$A$91,0))</f>
        <v/>
      </c>
      <c r="F30" s="45">
        <f>INDEX(Nodes!$B$2:$B$91,MATCH(B30,Nodes!$A$2:$A$91,0))</f>
        <v/>
      </c>
    </row>
    <row r="31" ht="15" customHeight="1" s="25">
      <c r="A31" s="45" t="inlineStr">
        <is>
          <t>willer</t>
        </is>
      </c>
      <c r="B31" s="45" t="inlineStr">
        <is>
          <t>wassef</t>
        </is>
      </c>
      <c r="C31" s="45" t="inlineStr">
        <is>
          <t>Trio “WWF” com Flávio</t>
        </is>
      </c>
      <c r="D31" s="45" t="inlineStr">
        <is>
          <t>Documentado</t>
        </is>
      </c>
      <c r="E31" s="45">
        <f>INDEX(Nodes!$B$2:$B$91,MATCH(A31,Nodes!$A$2:$A$91,0))</f>
        <v/>
      </c>
      <c r="F31" s="45">
        <f>INDEX(Nodes!$B$2:$B$91,MATCH(B31,Nodes!$A$2:$A$91,0))</f>
        <v/>
      </c>
    </row>
    <row r="32" ht="15" customHeight="1" s="25">
      <c r="A32" s="45" t="inlineStr">
        <is>
          <t>wassef</t>
        </is>
      </c>
      <c r="B32" s="45" t="inlineStr">
        <is>
          <t>flavio</t>
        </is>
      </c>
      <c r="C32" s="45" t="inlineStr">
        <is>
          <t>Advogado da família; trio “WWF”</t>
        </is>
      </c>
      <c r="D32" s="45" t="inlineStr">
        <is>
          <t>Documentado</t>
        </is>
      </c>
      <c r="E32" s="45">
        <f>INDEX(Nodes!$B$2:$B$91,MATCH(A32,Nodes!$A$2:$A$91,0))</f>
        <v/>
      </c>
      <c r="F32" s="45">
        <f>INDEX(Nodes!$B$2:$B$91,MATCH(B32,Nodes!$A$2:$A$91,0))</f>
        <v/>
      </c>
    </row>
    <row r="33" ht="15" customHeight="1" s="25">
      <c r="A33" s="45" t="inlineStr">
        <is>
          <t>willer</t>
        </is>
      </c>
      <c r="B33" s="45" t="inlineStr">
        <is>
          <t>nunes</t>
        </is>
      </c>
      <c r="C33" s="45" t="inlineStr">
        <is>
          <t>Teria respaldado a indicação ao STF (2020)</t>
        </is>
      </c>
      <c r="D33" s="45" t="inlineStr">
        <is>
          <t>Alegado ou contestado</t>
        </is>
      </c>
      <c r="E33" s="45">
        <f>INDEX(Nodes!$B$2:$B$91,MATCH(A33,Nodes!$A$2:$A$91,0))</f>
        <v/>
      </c>
      <c r="F33" s="45">
        <f>INDEX(Nodes!$B$2:$B$91,MATCH(B33,Nodes!$A$2:$A$91,0))</f>
        <v/>
      </c>
    </row>
    <row r="34" ht="15" customHeight="1" s="25">
      <c r="A34" s="45" t="inlineStr">
        <is>
          <t>wassef</t>
        </is>
      </c>
      <c r="B34" s="45" t="inlineStr">
        <is>
          <t>nunes</t>
        </is>
      </c>
      <c r="C34" s="45" t="inlineStr">
        <is>
          <t>Teria respaldado a indicação ao STF (2020)</t>
        </is>
      </c>
      <c r="D34" s="45" t="inlineStr">
        <is>
          <t>Alegado ou contestado</t>
        </is>
      </c>
      <c r="E34" s="45">
        <f>INDEX(Nodes!$B$2:$B$91,MATCH(A34,Nodes!$A$2:$A$91,0))</f>
        <v/>
      </c>
      <c r="F34" s="45">
        <f>INDEX(Nodes!$B$2:$B$91,MATCH(B34,Nodes!$A$2:$A$91,0))</f>
        <v/>
      </c>
    </row>
    <row r="35" ht="23.25" customHeight="1" s="25">
      <c r="A35" s="45" t="inlineStr">
        <is>
          <t>flavio</t>
        </is>
      </c>
      <c r="B35" s="45" t="inlineStr">
        <is>
          <t>nunes</t>
        </is>
      </c>
      <c r="C35" s="45" t="inlineStr">
        <is>
          <t>Teria sugerido o nome ao presidente (Folha, 2020); Nunes nega participação do trio</t>
        </is>
      </c>
      <c r="D35" s="45" t="inlineStr">
        <is>
          <t>Alegado ou contestado</t>
        </is>
      </c>
      <c r="E35" s="45">
        <f>INDEX(Nodes!$B$2:$B$91,MATCH(A35,Nodes!$A$2:$A$91,0))</f>
        <v/>
      </c>
      <c r="F35" s="45">
        <f>INDEX(Nodes!$B$2:$B$91,MATCH(B35,Nodes!$A$2:$A$91,0))</f>
        <v/>
      </c>
    </row>
    <row r="36" ht="15" customHeight="1" s="25">
      <c r="A36" s="45" t="inlineStr">
        <is>
          <t>jair</t>
        </is>
      </c>
      <c r="B36" s="45" t="inlineStr">
        <is>
          <t>nunes</t>
        </is>
      </c>
      <c r="C36" s="45" t="inlineStr">
        <is>
          <t>Indicou ao STF em 2020</t>
        </is>
      </c>
      <c r="D36" s="45" t="inlineStr">
        <is>
          <t>Documentado</t>
        </is>
      </c>
      <c r="E36" s="45">
        <f>INDEX(Nodes!$B$2:$B$91,MATCH(A36,Nodes!$A$2:$A$91,0))</f>
        <v/>
      </c>
      <c r="F36" s="45">
        <f>INDEX(Nodes!$B$2:$B$91,MATCH(B36,Nodes!$A$2:$A$91,0))</f>
        <v/>
      </c>
    </row>
    <row r="37" ht="15" customHeight="1" s="25">
      <c r="A37" s="45" t="inlineStr">
        <is>
          <t>willer</t>
        </is>
      </c>
      <c r="B37" s="45" t="inlineStr">
        <is>
          <t>angra</t>
        </is>
      </c>
      <c r="C37" s="45" t="inlineStr">
        <is>
          <t>Mansão ficou com a empresa dele (WT)</t>
        </is>
      </c>
      <c r="D37" s="45" t="inlineStr">
        <is>
          <t>Documentado</t>
        </is>
      </c>
      <c r="E37" s="45">
        <f>INDEX(Nodes!$B$2:$B$91,MATCH(A37,Nodes!$A$2:$A$91,0))</f>
        <v/>
      </c>
      <c r="F37" s="45">
        <f>INDEX(Nodes!$B$2:$B$91,MATCH(B37,Nodes!$A$2:$A$91,0))</f>
        <v/>
      </c>
    </row>
    <row r="38" ht="15" customHeight="1" s="25">
      <c r="A38" s="45" t="inlineStr">
        <is>
          <t>alcazar</t>
        </is>
      </c>
      <c r="B38" s="45" t="inlineStr">
        <is>
          <t>jato</t>
        </is>
      </c>
      <c r="C38" s="45" t="inlineStr">
        <is>
          <t>Cotista</t>
        </is>
      </c>
      <c r="D38" s="45" t="inlineStr">
        <is>
          <t>Documentado</t>
        </is>
      </c>
      <c r="E38" s="45">
        <f>INDEX(Nodes!$B$2:$B$91,MATCH(A38,Nodes!$A$2:$A$91,0))</f>
        <v/>
      </c>
      <c r="F38" s="45">
        <f>INDEX(Nodes!$B$2:$B$91,MATCH(B38,Nodes!$A$2:$A$91,0))</f>
        <v/>
      </c>
    </row>
    <row r="39" ht="15" customHeight="1" s="25">
      <c r="A39" s="45" t="inlineStr">
        <is>
          <t>primeu</t>
        </is>
      </c>
      <c r="B39" s="45" t="inlineStr">
        <is>
          <t>jato</t>
        </is>
      </c>
      <c r="C39" s="45" t="inlineStr">
        <is>
          <t>Cotista</t>
        </is>
      </c>
      <c r="D39" s="45" t="inlineStr">
        <is>
          <t>Documentado</t>
        </is>
      </c>
      <c r="E39" s="45">
        <f>INDEX(Nodes!$B$2:$B$91,MATCH(A39,Nodes!$A$2:$A$91,0))</f>
        <v/>
      </c>
      <c r="F39" s="45">
        <f>INDEX(Nodes!$B$2:$B$91,MATCH(B39,Nodes!$A$2:$A$91,0))</f>
        <v/>
      </c>
    </row>
    <row r="40" ht="15" customHeight="1" s="25">
      <c r="A40" s="45" t="inlineStr">
        <is>
          <t>flavio</t>
        </is>
      </c>
      <c r="B40" s="45" t="inlineStr">
        <is>
          <t>jato</t>
        </is>
      </c>
      <c r="C40" s="45" t="inlineStr">
        <is>
          <t>Voou em jan/2025</t>
        </is>
      </c>
      <c r="D40" s="45" t="inlineStr">
        <is>
          <t>Documentado</t>
        </is>
      </c>
      <c r="E40" s="45">
        <f>INDEX(Nodes!$B$2:$B$91,MATCH(A40,Nodes!$A$2:$A$91,0))</f>
        <v/>
      </c>
      <c r="F40" s="45">
        <f>INDEX(Nodes!$B$2:$B$91,MATCH(B40,Nodes!$A$2:$A$91,0))</f>
        <v/>
      </c>
    </row>
    <row r="41" ht="15" customHeight="1" s="25">
      <c r="A41" s="45" t="inlineStr">
        <is>
          <t>vorcaro</t>
        </is>
      </c>
      <c r="B41" s="45" t="inlineStr">
        <is>
          <t>jato</t>
        </is>
      </c>
      <c r="C41" s="45" t="inlineStr">
        <is>
          <t>Sócio da Prime U, cotista do jato (ligação indireta)</t>
        </is>
      </c>
      <c r="D41" s="45" t="inlineStr">
        <is>
          <t>Documentado</t>
        </is>
      </c>
      <c r="E41" s="45">
        <f>INDEX(Nodes!$B$2:$B$91,MATCH(A41,Nodes!$A$2:$A$91,0))</f>
        <v/>
      </c>
      <c r="F41" s="45">
        <f>INDEX(Nodes!$B$2:$B$91,MATCH(B41,Nodes!$A$2:$A$91,0))</f>
        <v/>
      </c>
    </row>
    <row r="42" ht="15" customHeight="1" s="25">
      <c r="A42" s="45" t="inlineStr">
        <is>
          <t>willer</t>
        </is>
      </c>
      <c r="B42" s="45" t="inlineStr">
        <is>
          <t>jato</t>
        </is>
      </c>
      <c r="C42" s="45" t="inlineStr">
        <is>
          <t>Voou junto</t>
        </is>
      </c>
      <c r="D42" s="45" t="inlineStr">
        <is>
          <t>Documentado</t>
        </is>
      </c>
      <c r="E42" s="45">
        <f>INDEX(Nodes!$B$2:$B$91,MATCH(A42,Nodes!$A$2:$A$91,0))</f>
        <v/>
      </c>
      <c r="F42" s="45">
        <f>INDEX(Nodes!$B$2:$B$91,MATCH(B42,Nodes!$A$2:$A$91,0))</f>
        <v/>
      </c>
    </row>
    <row r="43" ht="15" customHeight="1" s="25">
      <c r="A43" s="45" t="inlineStr">
        <is>
          <t>fam</t>
        </is>
      </c>
      <c r="B43" s="45" t="inlineStr">
        <is>
          <t>jato</t>
        </is>
      </c>
      <c r="C43" s="45" t="inlineStr">
        <is>
          <t>Voou em jan/2025</t>
        </is>
      </c>
      <c r="D43" s="45" t="inlineStr">
        <is>
          <t>Documentado</t>
        </is>
      </c>
      <c r="E43" s="45">
        <f>INDEX(Nodes!$B$2:$B$91,MATCH(A43,Nodes!$A$2:$A$91,0))</f>
        <v/>
      </c>
      <c r="F43" s="45">
        <f>INDEX(Nodes!$B$2:$B$91,MATCH(B43,Nodes!$A$2:$A$91,0))</f>
        <v/>
      </c>
    </row>
    <row r="44" ht="15" customHeight="1" s="25">
      <c r="A44" s="45" t="inlineStr">
        <is>
          <t>flavio</t>
        </is>
      </c>
      <c r="B44" s="45" t="inlineStr">
        <is>
          <t>fam</t>
        </is>
      </c>
      <c r="C44" s="45" t="inlineStr">
        <is>
          <t>Família</t>
        </is>
      </c>
      <c r="D44" s="45" t="inlineStr">
        <is>
          <t>Documentado</t>
        </is>
      </c>
      <c r="E44" s="45">
        <f>INDEX(Nodes!$B$2:$B$91,MATCH(A44,Nodes!$A$2:$A$91,0))</f>
        <v/>
      </c>
      <c r="F44" s="45">
        <f>INDEX(Nodes!$B$2:$B$91,MATCH(B44,Nodes!$A$2:$A$91,0))</f>
        <v/>
      </c>
    </row>
    <row r="45" ht="15" customHeight="1" s="25">
      <c r="A45" s="45" t="inlineStr">
        <is>
          <t>vorcaro</t>
        </is>
      </c>
      <c r="B45" s="45" t="inlineStr">
        <is>
          <t>primeu</t>
        </is>
      </c>
      <c r="C45" s="45" t="inlineStr">
        <is>
          <t>Sócio</t>
        </is>
      </c>
      <c r="D45" s="45" t="inlineStr">
        <is>
          <t>Documentado</t>
        </is>
      </c>
      <c r="E45" s="45">
        <f>INDEX(Nodes!$B$2:$B$91,MATCH(A45,Nodes!$A$2:$A$91,0))</f>
        <v/>
      </c>
      <c r="F45" s="45">
        <f>INDEX(Nodes!$B$2:$B$91,MATCH(B45,Nodes!$A$2:$A$91,0))</f>
        <v/>
      </c>
    </row>
    <row r="46" ht="15" customHeight="1" s="25">
      <c r="A46" s="45" t="inlineStr">
        <is>
          <t>primeu</t>
        </is>
      </c>
      <c r="B46" s="45" t="inlineStr">
        <is>
          <t>mulheres</t>
        </is>
      </c>
      <c r="C46" s="45" t="inlineStr">
        <is>
          <t>Passagens e hotéis delas faturados à Prime U</t>
        </is>
      </c>
      <c r="D46" s="45" t="inlineStr">
        <is>
          <t>Documentado</t>
        </is>
      </c>
      <c r="E46" s="45">
        <f>INDEX(Nodes!$B$2:$B$91,MATCH(A46,Nodes!$A$2:$A$91,0))</f>
        <v/>
      </c>
      <c r="F46" s="45">
        <f>INDEX(Nodes!$B$2:$B$91,MATCH(B46,Nodes!$A$2:$A$91,0))</f>
        <v/>
      </c>
    </row>
    <row r="47" ht="15" customHeight="1" s="25">
      <c r="A47" s="45" t="inlineStr">
        <is>
          <t>primeu</t>
        </is>
      </c>
      <c r="B47" s="45" t="inlineStr">
        <is>
          <t>angra</t>
        </is>
      </c>
      <c r="C47" s="45" t="inlineStr">
        <is>
          <t>Administrava a mansão</t>
        </is>
      </c>
      <c r="D47" s="45" t="inlineStr">
        <is>
          <t>Documentado</t>
        </is>
      </c>
      <c r="E47" s="45">
        <f>INDEX(Nodes!$B$2:$B$91,MATCH(A47,Nodes!$A$2:$A$91,0))</f>
        <v/>
      </c>
      <c r="F47" s="45">
        <f>INDEX(Nodes!$B$2:$B$91,MATCH(B47,Nodes!$A$2:$A$91,0))</f>
        <v/>
      </c>
    </row>
    <row r="48" ht="15" customHeight="1" s="25">
      <c r="A48" s="45" t="inlineStr">
        <is>
          <t>vorcaro</t>
        </is>
      </c>
      <c r="B48" s="45" t="inlineStr">
        <is>
          <t>luri</t>
        </is>
      </c>
      <c r="C48" s="45" t="inlineStr">
        <is>
          <t>Negociou comprar metade</t>
        </is>
      </c>
      <c r="D48" s="45" t="inlineStr">
        <is>
          <t>Documentado</t>
        </is>
      </c>
      <c r="E48" s="45">
        <f>INDEX(Nodes!$B$2:$B$91,MATCH(A48,Nodes!$A$2:$A$91,0))</f>
        <v/>
      </c>
      <c r="F48" s="45">
        <f>INDEX(Nodes!$B$2:$B$91,MATCH(B48,Nodes!$A$2:$A$91,0))</f>
        <v/>
      </c>
    </row>
    <row r="49" ht="15" customHeight="1" s="25">
      <c r="A49" s="45" t="inlineStr">
        <is>
          <t>vorcaro</t>
        </is>
      </c>
      <c r="B49" s="45" t="inlineStr">
        <is>
          <t>triplex</t>
        </is>
      </c>
      <c r="C49" s="45" t="inlineStr">
        <is>
          <t>Festas no triplex</t>
        </is>
      </c>
      <c r="D49" s="45" t="inlineStr">
        <is>
          <t>Documentado</t>
        </is>
      </c>
      <c r="E49" s="45">
        <f>INDEX(Nodes!$B$2:$B$91,MATCH(A49,Nodes!$A$2:$A$91,0))</f>
        <v/>
      </c>
      <c r="F49" s="45">
        <f>INDEX(Nodes!$B$2:$B$91,MATCH(B49,Nodes!$A$2:$A$91,0))</f>
        <v/>
      </c>
    </row>
    <row r="50" ht="15" customHeight="1" s="25">
      <c r="A50" s="45" t="inlineStr">
        <is>
          <t>vorcaro</t>
        </is>
      </c>
      <c r="B50" s="45" t="inlineStr">
        <is>
          <t>master</t>
        </is>
      </c>
      <c r="C50" s="45" t="inlineStr">
        <is>
          <t>Dono</t>
        </is>
      </c>
      <c r="D50" s="45" t="inlineStr">
        <is>
          <t>Documentado</t>
        </is>
      </c>
      <c r="E50" s="45">
        <f>INDEX(Nodes!$B$2:$B$91,MATCH(A50,Nodes!$A$2:$A$91,0))</f>
        <v/>
      </c>
      <c r="F50" s="45">
        <f>INDEX(Nodes!$B$2:$B$91,MATCH(B50,Nodes!$A$2:$A$91,0))</f>
        <v/>
      </c>
    </row>
    <row r="51" ht="15" customHeight="1" s="25">
      <c r="A51" s="45" t="inlineStr">
        <is>
          <t>vorcaro</t>
        </is>
      </c>
      <c r="B51" s="45" t="inlineStr">
        <is>
          <t>zetel</t>
        </is>
      </c>
      <c r="C51" s="45" t="inlineStr">
        <is>
          <t>Cunhado</t>
        </is>
      </c>
      <c r="D51" s="45" t="inlineStr">
        <is>
          <t>Documentado</t>
        </is>
      </c>
      <c r="E51" s="45">
        <f>INDEX(Nodes!$B$2:$B$91,MATCH(A51,Nodes!$A$2:$A$91,0))</f>
        <v/>
      </c>
      <c r="F51" s="45">
        <f>INDEX(Nodes!$B$2:$B$91,MATCH(B51,Nodes!$A$2:$A$91,0))</f>
        <v/>
      </c>
    </row>
    <row r="52" ht="15" customHeight="1" s="25">
      <c r="A52" s="45" t="inlineStr">
        <is>
          <t>zetel</t>
        </is>
      </c>
      <c r="B52" s="45" t="inlineStr">
        <is>
          <t>aptosp</t>
        </is>
      </c>
      <c r="C52" s="45" t="inlineStr">
        <is>
          <t>Vendeu à WT por R$ 2 mi a menos</t>
        </is>
      </c>
      <c r="D52" s="45" t="inlineStr">
        <is>
          <t>Documentado</t>
        </is>
      </c>
      <c r="E52" s="45">
        <f>INDEX(Nodes!$B$2:$B$91,MATCH(A52,Nodes!$A$2:$A$91,0))</f>
        <v/>
      </c>
      <c r="F52" s="45">
        <f>INDEX(Nodes!$B$2:$B$91,MATCH(B52,Nodes!$A$2:$A$91,0))</f>
        <v/>
      </c>
    </row>
    <row r="53" ht="15" customHeight="1" s="25">
      <c r="A53" s="45" t="inlineStr">
        <is>
          <t>wt</t>
        </is>
      </c>
      <c r="B53" s="45" t="inlineStr">
        <is>
          <t>aptosp</t>
        </is>
      </c>
      <c r="C53" s="45" t="inlineStr">
        <is>
          <t>Compradora</t>
        </is>
      </c>
      <c r="D53" s="45" t="inlineStr">
        <is>
          <t>Documentado</t>
        </is>
      </c>
      <c r="E53" s="45">
        <f>INDEX(Nodes!$B$2:$B$91,MATCH(A53,Nodes!$A$2:$A$91,0))</f>
        <v/>
      </c>
      <c r="F53" s="45">
        <f>INDEX(Nodes!$B$2:$B$91,MATCH(B53,Nodes!$A$2:$A$91,0))</f>
        <v/>
      </c>
    </row>
    <row r="54" ht="15" customHeight="1" s="25">
      <c r="A54" s="45" t="inlineStr">
        <is>
          <t>wt</t>
        </is>
      </c>
      <c r="B54" s="45" t="inlineStr">
        <is>
          <t>angra</t>
        </is>
      </c>
      <c r="C54" s="45" t="inlineStr">
        <is>
          <t>Dona</t>
        </is>
      </c>
      <c r="D54" s="45" t="inlineStr">
        <is>
          <t>Documentado</t>
        </is>
      </c>
      <c r="E54" s="45">
        <f>INDEX(Nodes!$B$2:$B$91,MATCH(A54,Nodes!$A$2:$A$91,0))</f>
        <v/>
      </c>
      <c r="F54" s="45">
        <f>INDEX(Nodes!$B$2:$B$91,MATCH(B54,Nodes!$A$2:$A$91,0))</f>
        <v/>
      </c>
    </row>
    <row r="55" ht="15" customHeight="1" s="25">
      <c r="A55" s="45" t="inlineStr">
        <is>
          <t>angra</t>
        </is>
      </c>
      <c r="B55" s="45" t="inlineStr">
        <is>
          <t>richarlison</t>
        </is>
      </c>
      <c r="C55" s="45" t="inlineStr">
        <is>
          <t>Investiu ~R$ 10 mi e perdeu a casa na Justiça</t>
        </is>
      </c>
      <c r="D55" s="45" t="inlineStr">
        <is>
          <t>Documentado</t>
        </is>
      </c>
      <c r="E55" s="45">
        <f>INDEX(Nodes!$B$2:$B$91,MATCH(A55,Nodes!$A$2:$A$91,0))</f>
        <v/>
      </c>
      <c r="F55" s="45">
        <f>INDEX(Nodes!$B$2:$B$91,MATCH(B55,Nodes!$A$2:$A$91,0))</f>
        <v/>
      </c>
    </row>
    <row r="56" ht="15" customHeight="1" s="25">
      <c r="A56" s="45" t="inlineStr">
        <is>
          <t>angra</t>
        </is>
      </c>
      <c r="B56" s="45" t="inlineStr">
        <is>
          <t>dono</t>
        </is>
      </c>
      <c r="C56" s="45" t="inlineStr">
        <is>
          <t>Antigo dono; ouviu Flávio chamar Willer de sócio</t>
        </is>
      </c>
      <c r="D56" s="45" t="inlineStr">
        <is>
          <t>Documentado</t>
        </is>
      </c>
      <c r="E56" s="45">
        <f>INDEX(Nodes!$B$2:$B$91,MATCH(A56,Nodes!$A$2:$A$91,0))</f>
        <v/>
      </c>
      <c r="F56" s="45">
        <f>INDEX(Nodes!$B$2:$B$91,MATCH(B56,Nodes!$A$2:$A$91,0))</f>
        <v/>
      </c>
    </row>
    <row r="57" ht="15" customHeight="1" s="25">
      <c r="A57" s="45" t="inlineStr">
        <is>
          <t>flavio</t>
        </is>
      </c>
      <c r="B57" s="45" t="inlineStr">
        <is>
          <t>angra</t>
        </is>
      </c>
      <c r="C57" s="45" t="inlineStr">
        <is>
          <t>Aniversário da filha na mansão</t>
        </is>
      </c>
      <c r="D57" s="45" t="inlineStr">
        <is>
          <t>Documentado</t>
        </is>
      </c>
      <c r="E57" s="45">
        <f>INDEX(Nodes!$B$2:$B$91,MATCH(A57,Nodes!$A$2:$A$91,0))</f>
        <v/>
      </c>
      <c r="F57" s="45">
        <f>INDEX(Nodes!$B$2:$B$91,MATCH(B57,Nodes!$A$2:$A$91,0))</f>
        <v/>
      </c>
    </row>
    <row r="58" ht="15" customHeight="1" s="25">
      <c r="A58" s="45" t="inlineStr">
        <is>
          <t>flavio</t>
        </is>
      </c>
      <c r="B58" s="45" t="inlineStr">
        <is>
          <t>aptosp</t>
        </is>
      </c>
      <c r="C58" s="45" t="inlineStr">
        <is>
          <t>Usou na campanha</t>
        </is>
      </c>
      <c r="D58" s="45" t="inlineStr">
        <is>
          <t>Documentado</t>
        </is>
      </c>
      <c r="E58" s="45">
        <f>INDEX(Nodes!$B$2:$B$91,MATCH(A58,Nodes!$A$2:$A$91,0))</f>
        <v/>
      </c>
      <c r="F58" s="45">
        <f>INDEX(Nodes!$B$2:$B$91,MATCH(B58,Nodes!$A$2:$A$91,0))</f>
        <v/>
      </c>
    </row>
    <row r="59" ht="15" customHeight="1" s="25">
      <c r="A59" s="45" t="inlineStr">
        <is>
          <t>vorcaro</t>
        </is>
      </c>
      <c r="B59" s="45" t="inlineStr">
        <is>
          <t>flavio</t>
        </is>
      </c>
      <c r="C59" s="45" t="inlineStr">
        <is>
          <t>Mensagem na véspera da prisão: “Irmão, estou e estarei contigo sempre”</t>
        </is>
      </c>
      <c r="D59" s="45" t="inlineStr">
        <is>
          <t>Documentado</t>
        </is>
      </c>
      <c r="E59" s="45">
        <f>INDEX(Nodes!$B$2:$B$91,MATCH(A59,Nodes!$A$2:$A$91,0))</f>
        <v/>
      </c>
      <c r="F59" s="45">
        <f>INDEX(Nodes!$B$2:$B$91,MATCH(B59,Nodes!$A$2:$A$91,0))</f>
        <v/>
      </c>
    </row>
    <row r="60" ht="23.25" customHeight="1" s="25">
      <c r="A60" s="45" t="inlineStr">
        <is>
          <t>vorcaro</t>
        </is>
      </c>
      <c r="B60" s="45" t="inlineStr">
        <is>
          <t>flavio</t>
        </is>
      </c>
      <c r="C60" s="45" t="inlineStr">
        <is>
          <t>~US$ 24 mi negociados para o filme; Flávio cobrava parcelas por áudio e é investigado</t>
        </is>
      </c>
      <c r="D60" s="45" t="inlineStr">
        <is>
          <t>Alegado ou contestado</t>
        </is>
      </c>
      <c r="E60" s="45">
        <f>INDEX(Nodes!$B$2:$B$91,MATCH(A60,Nodes!$A$2:$A$91,0))</f>
        <v/>
      </c>
      <c r="F60" s="45">
        <f>INDEX(Nodes!$B$2:$B$91,MATCH(B60,Nodes!$A$2:$A$91,0))</f>
        <v/>
      </c>
    </row>
    <row r="61" ht="15" customHeight="1" s="25">
      <c r="A61" s="45" t="inlineStr">
        <is>
          <t>ong</t>
        </is>
      </c>
      <c r="B61" s="45" t="inlineStr">
        <is>
          <t>flavio</t>
        </is>
      </c>
      <c r="C61" s="45" t="inlineStr">
        <is>
          <t>Dinheiro do filme sobre o pai</t>
        </is>
      </c>
      <c r="D61" s="45" t="inlineStr">
        <is>
          <t>Alegado ou contestado</t>
        </is>
      </c>
      <c r="E61" s="45">
        <f>INDEX(Nodes!$B$2:$B$91,MATCH(A61,Nodes!$A$2:$A$91,0))</f>
        <v/>
      </c>
      <c r="F61" s="45">
        <f>INDEX(Nodes!$B$2:$B$91,MATCH(B61,Nodes!$A$2:$A$91,0))</f>
        <v/>
      </c>
    </row>
    <row r="62" ht="15" customHeight="1" s="25">
      <c r="A62" s="45" t="inlineStr">
        <is>
          <t>ong</t>
        </is>
      </c>
      <c r="B62" s="45" t="inlineStr">
        <is>
          <t>vorcaro</t>
        </is>
      </c>
      <c r="C62" s="45" t="inlineStr">
        <is>
          <t>Negociação de ~US$ 24 mi</t>
        </is>
      </c>
      <c r="D62" s="45" t="inlineStr">
        <is>
          <t>Alegado ou contestado</t>
        </is>
      </c>
      <c r="E62" s="45">
        <f>INDEX(Nodes!$B$2:$B$91,MATCH(A62,Nodes!$A$2:$A$91,0))</f>
        <v/>
      </c>
      <c r="F62" s="45">
        <f>INDEX(Nodes!$B$2:$B$91,MATCH(B62,Nodes!$A$2:$A$91,0))</f>
        <v/>
      </c>
    </row>
    <row r="63" ht="15" customHeight="1" s="25">
      <c r="A63" s="45" t="inlineStr">
        <is>
          <t>ong</t>
        </is>
      </c>
      <c r="B63" s="45" t="inlineStr">
        <is>
          <t>eletricista</t>
        </is>
      </c>
      <c r="C63" s="45" t="inlineStr">
        <is>
          <t>Tesoureiro de fachada</t>
        </is>
      </c>
      <c r="D63" s="45" t="inlineStr">
        <is>
          <t>Documentado</t>
        </is>
      </c>
      <c r="E63" s="45">
        <f>INDEX(Nodes!$B$2:$B$91,MATCH(A63,Nodes!$A$2:$A$91,0))</f>
        <v/>
      </c>
      <c r="F63" s="45">
        <f>INDEX(Nodes!$B$2:$B$91,MATCH(B63,Nodes!$A$2:$A$91,0))</f>
        <v/>
      </c>
    </row>
    <row r="64" ht="23.25" customHeight="1" s="25">
      <c r="A64" s="45" t="inlineStr">
        <is>
          <t>triplex</t>
        </is>
      </c>
      <c r="B64" s="45" t="inlineStr">
        <is>
          <t>nunes</t>
        </is>
      </c>
      <c r="C64" s="45" t="inlineStr">
        <is>
          <t>Segundo a Piauí, frequentava as festas com o filho; ele nega irregularidades</t>
        </is>
      </c>
      <c r="D64" s="45" t="inlineStr">
        <is>
          <t>Alegado ou contestado</t>
        </is>
      </c>
      <c r="E64" s="45">
        <f>INDEX(Nodes!$B$2:$B$91,MATCH(A64,Nodes!$A$2:$A$91,0))</f>
        <v/>
      </c>
      <c r="F64" s="45">
        <f>INDEX(Nodes!$B$2:$B$91,MATCH(B64,Nodes!$A$2:$A$91,0))</f>
        <v/>
      </c>
    </row>
    <row r="65" ht="15" customHeight="1" s="25">
      <c r="A65" s="45" t="inlineStr">
        <is>
          <t>triplex</t>
        </is>
      </c>
      <c r="B65" s="45" t="inlineStr">
        <is>
          <t>mulheres</t>
        </is>
      </c>
      <c r="C65" s="45" t="inlineStr">
        <is>
          <t>Mulheres nas festas</t>
        </is>
      </c>
      <c r="D65" s="45" t="inlineStr">
        <is>
          <t>Alegado ou contestado</t>
        </is>
      </c>
      <c r="E65" s="45">
        <f>INDEX(Nodes!$B$2:$B$91,MATCH(A65,Nodes!$A$2:$A$91,0))</f>
        <v/>
      </c>
      <c r="F65" s="45">
        <f>INDEX(Nodes!$B$2:$B$91,MATCH(B65,Nodes!$A$2:$A$91,0))</f>
        <v/>
      </c>
    </row>
    <row r="66" ht="15" customHeight="1" s="25">
      <c r="A66" s="45" t="inlineStr">
        <is>
          <t>luri</t>
        </is>
      </c>
      <c r="B66" s="45" t="inlineStr">
        <is>
          <t>mulheres</t>
        </is>
      </c>
      <c r="C66" s="45" t="inlineStr">
        <is>
          <t>Recrutava</t>
        </is>
      </c>
      <c r="D66" s="45" t="inlineStr">
        <is>
          <t>Alegado ou contestado</t>
        </is>
      </c>
      <c r="E66" s="45">
        <f>INDEX(Nodes!$B$2:$B$91,MATCH(A66,Nodes!$A$2:$A$91,0))</f>
        <v/>
      </c>
      <c r="F66" s="45">
        <f>INDEX(Nodes!$B$2:$B$91,MATCH(B66,Nodes!$A$2:$A$91,0))</f>
        <v/>
      </c>
    </row>
    <row r="67" ht="15" customHeight="1" s="25">
      <c r="A67" s="45" t="inlineStr">
        <is>
          <t>promoter</t>
        </is>
      </c>
      <c r="B67" s="45" t="inlineStr">
        <is>
          <t>mulheres</t>
        </is>
      </c>
      <c r="C67" s="45" t="inlineStr">
        <is>
          <t>Levava as mulheres</t>
        </is>
      </c>
      <c r="D67" s="45" t="inlineStr">
        <is>
          <t>Alegado ou contestado</t>
        </is>
      </c>
      <c r="E67" s="45">
        <f>INDEX(Nodes!$B$2:$B$91,MATCH(A67,Nodes!$A$2:$A$91,0))</f>
        <v/>
      </c>
      <c r="F67" s="45">
        <f>INDEX(Nodes!$B$2:$B$91,MATCH(B67,Nodes!$A$2:$A$91,0))</f>
        <v/>
      </c>
    </row>
    <row r="68" ht="15" customHeight="1" s="25">
      <c r="A68" s="45" t="inlineStr">
        <is>
          <t>promoter</t>
        </is>
      </c>
      <c r="B68" s="45" t="inlineStr">
        <is>
          <t>vorcaro</t>
        </is>
      </c>
      <c r="C68" s="45" t="inlineStr">
        <is>
          <t>Pago pelo banqueiro (valor mensal impreciso na transcrição)</t>
        </is>
      </c>
      <c r="D68" s="45" t="inlineStr">
        <is>
          <t>Alegado ou contestado</t>
        </is>
      </c>
      <c r="E68" s="45">
        <f>INDEX(Nodes!$B$2:$B$91,MATCH(A68,Nodes!$A$2:$A$91,0))</f>
        <v/>
      </c>
      <c r="F68" s="45">
        <f>INDEX(Nodes!$B$2:$B$91,MATCH(B68,Nodes!$A$2:$A$91,0))</f>
        <v/>
      </c>
    </row>
    <row r="69" ht="15" customHeight="1" s="25">
      <c r="A69" s="45" t="inlineStr">
        <is>
          <t>mordomo</t>
        </is>
      </c>
      <c r="B69" s="45" t="inlineStr">
        <is>
          <t>triplex</t>
        </is>
      </c>
      <c r="C69" s="45" t="inlineStr">
        <is>
          <t>Trabalhava no triplex</t>
        </is>
      </c>
      <c r="D69" s="45" t="inlineStr">
        <is>
          <t>Documentado</t>
        </is>
      </c>
      <c r="E69" s="45">
        <f>INDEX(Nodes!$B$2:$B$91,MATCH(A69,Nodes!$A$2:$A$91,0))</f>
        <v/>
      </c>
      <c r="F69" s="45">
        <f>INDEX(Nodes!$B$2:$B$91,MATCH(B69,Nodes!$A$2:$A$91,0))</f>
        <v/>
      </c>
    </row>
    <row r="70" ht="15" customHeight="1" s="25">
      <c r="A70" s="45" t="inlineStr">
        <is>
          <t>mordomo</t>
        </is>
      </c>
      <c r="B70" s="45" t="inlineStr">
        <is>
          <t>vorcaro</t>
        </is>
      </c>
      <c r="C70" s="45" t="inlineStr">
        <is>
          <t>Mandou mensagens sobre a festa de fev/2025</t>
        </is>
      </c>
      <c r="D70" s="45" t="inlineStr">
        <is>
          <t>Alegado ou contestado</t>
        </is>
      </c>
      <c r="E70" s="45">
        <f>INDEX(Nodes!$B$2:$B$91,MATCH(A70,Nodes!$A$2:$A$91,0))</f>
        <v/>
      </c>
      <c r="F70" s="45">
        <f>INDEX(Nodes!$B$2:$B$91,MATCH(B70,Nodes!$A$2:$A$91,0))</f>
        <v/>
      </c>
    </row>
    <row r="71" ht="15" customHeight="1" s="25">
      <c r="A71" s="45" t="inlineStr">
        <is>
          <t>mordomo</t>
        </is>
      </c>
      <c r="B71" s="45" t="inlineStr">
        <is>
          <t>nunes</t>
        </is>
      </c>
      <c r="C71" s="45" t="inlineStr">
        <is>
          <t>Relatou “ministro com cinco meninas”</t>
        </is>
      </c>
      <c r="D71" s="45" t="inlineStr">
        <is>
          <t>Alegado ou contestado</t>
        </is>
      </c>
      <c r="E71" s="45">
        <f>INDEX(Nodes!$B$2:$B$91,MATCH(A71,Nodes!$A$2:$A$91,0))</f>
        <v/>
      </c>
      <c r="F71" s="45">
        <f>INDEX(Nodes!$B$2:$B$91,MATCH(B71,Nodes!$A$2:$A$91,0))</f>
        <v/>
      </c>
    </row>
    <row r="72" ht="15" customHeight="1" s="25">
      <c r="A72" s="45" t="inlineStr">
        <is>
          <t>dirjur</t>
        </is>
      </c>
      <c r="B72" s="45" t="inlineStr">
        <is>
          <t>master</t>
        </is>
      </c>
      <c r="C72" s="45" t="inlineStr">
        <is>
          <t>Diretor do banco</t>
        </is>
      </c>
      <c r="D72" s="45" t="inlineStr">
        <is>
          <t>Documentado</t>
        </is>
      </c>
      <c r="E72" s="45">
        <f>INDEX(Nodes!$B$2:$B$91,MATCH(A72,Nodes!$A$2:$A$91,0))</f>
        <v/>
      </c>
      <c r="F72" s="45">
        <f>INDEX(Nodes!$B$2:$B$91,MATCH(B72,Nodes!$A$2:$A$91,0))</f>
        <v/>
      </c>
    </row>
    <row r="73" ht="15" customHeight="1" s="25">
      <c r="A73" s="45" t="inlineStr">
        <is>
          <t>dirjur</t>
        </is>
      </c>
      <c r="B73" s="45" t="inlineStr">
        <is>
          <t>vorcaro</t>
        </is>
      </c>
      <c r="C73" s="45" t="inlineStr">
        <is>
          <t>“Dominado aqui” no dia do voto de desempate</t>
        </is>
      </c>
      <c r="D73" s="45" t="inlineStr">
        <is>
          <t>Alegado ou contestado</t>
        </is>
      </c>
      <c r="E73" s="45">
        <f>INDEX(Nodes!$B$2:$B$91,MATCH(A73,Nodes!$A$2:$A$91,0))</f>
        <v/>
      </c>
      <c r="F73" s="45">
        <f>INDEX(Nodes!$B$2:$B$91,MATCH(B73,Nodes!$A$2:$A$91,0))</f>
        <v/>
      </c>
    </row>
    <row r="74" ht="23.25" customHeight="1" s="25">
      <c r="A74" s="45" t="inlineStr">
        <is>
          <t>dirjur</t>
        </is>
      </c>
      <c r="B74" s="45" t="inlineStr">
        <is>
          <t>kevin</t>
        </is>
      </c>
      <c r="C74" s="45" t="inlineStr">
        <is>
          <t>Perguntou ao Vorcaro se mantinha o pagamento mensal e mandou o contato do Kevin (valor ilegível na transcrição)</t>
        </is>
      </c>
      <c r="D74" s="45" t="inlineStr">
        <is>
          <t>Alegado ou contestado</t>
        </is>
      </c>
      <c r="E74" s="45">
        <f>INDEX(Nodes!$B$2:$B$91,MATCH(A74,Nodes!$A$2:$A$91,0))</f>
        <v/>
      </c>
      <c r="F74" s="45">
        <f>INDEX(Nodes!$B$2:$B$91,MATCH(B74,Nodes!$A$2:$A$91,0))</f>
        <v/>
      </c>
    </row>
    <row r="75" ht="15" customHeight="1" s="25">
      <c r="A75" s="45" t="inlineStr">
        <is>
          <t>master</t>
        </is>
      </c>
      <c r="B75" s="45" t="inlineStr">
        <is>
          <t>consult</t>
        </is>
      </c>
      <c r="C75" s="45" t="inlineStr">
        <is>
          <t>Pagou R$ 6,6 mi</t>
        </is>
      </c>
      <c r="D75" s="45" t="inlineStr">
        <is>
          <t>Documentado</t>
        </is>
      </c>
      <c r="E75" s="45">
        <f>INDEX(Nodes!$B$2:$B$91,MATCH(A75,Nodes!$A$2:$A$91,0))</f>
        <v/>
      </c>
      <c r="F75" s="45">
        <f>INDEX(Nodes!$B$2:$B$91,MATCH(B75,Nodes!$A$2:$A$91,0))</f>
        <v/>
      </c>
    </row>
    <row r="76" ht="15" customHeight="1" s="25">
      <c r="A76" s="45" t="inlineStr">
        <is>
          <t>consult</t>
        </is>
      </c>
      <c r="B76" s="45" t="inlineStr">
        <is>
          <t>kevin</t>
        </is>
      </c>
      <c r="C76" s="45" t="inlineStr">
        <is>
          <t>Repassou ~R$ 300 mil</t>
        </is>
      </c>
      <c r="D76" s="45" t="inlineStr">
        <is>
          <t>Documentado</t>
        </is>
      </c>
      <c r="E76" s="45">
        <f>INDEX(Nodes!$B$2:$B$91,MATCH(A76,Nodes!$A$2:$A$91,0))</f>
        <v/>
      </c>
      <c r="F76" s="45">
        <f>INDEX(Nodes!$B$2:$B$91,MATCH(B76,Nodes!$A$2:$A$91,0))</f>
        <v/>
      </c>
    </row>
    <row r="77" ht="15" customHeight="1" s="25">
      <c r="A77" s="45" t="inlineStr">
        <is>
          <t>consult</t>
        </is>
      </c>
      <c r="B77" s="45" t="inlineStr">
        <is>
          <t>nunes</t>
        </is>
      </c>
      <c r="C77" s="45" t="inlineStr">
        <is>
          <t>Dono é amigo do ministro</t>
        </is>
      </c>
      <c r="D77" s="45" t="inlineStr">
        <is>
          <t>Documentado</t>
        </is>
      </c>
      <c r="E77" s="45">
        <f>INDEX(Nodes!$B$2:$B$91,MATCH(A77,Nodes!$A$2:$A$91,0))</f>
        <v/>
      </c>
      <c r="F77" s="45">
        <f>INDEX(Nodes!$B$2:$B$91,MATCH(B77,Nodes!$A$2:$A$91,0))</f>
        <v/>
      </c>
    </row>
    <row r="78" ht="15" customHeight="1" s="25">
      <c r="A78" s="45" t="inlineStr">
        <is>
          <t>kevin</t>
        </is>
      </c>
      <c r="B78" s="45" t="inlineStr">
        <is>
          <t>nunes</t>
        </is>
      </c>
      <c r="C78" s="45" t="inlineStr">
        <is>
          <t>Filho</t>
        </is>
      </c>
      <c r="D78" s="45" t="inlineStr">
        <is>
          <t>Documentado</t>
        </is>
      </c>
      <c r="E78" s="45">
        <f>INDEX(Nodes!$B$2:$B$91,MATCH(A78,Nodes!$A$2:$A$91,0))</f>
        <v/>
      </c>
      <c r="F78" s="45">
        <f>INDEX(Nodes!$B$2:$B$91,MATCH(B78,Nodes!$A$2:$A$91,0))</f>
        <v/>
      </c>
    </row>
    <row r="79" ht="15" customHeight="1" s="25">
      <c r="A79" s="45" t="inlineStr">
        <is>
          <t>nunes</t>
        </is>
      </c>
      <c r="B79" s="45" t="inlineStr">
        <is>
          <t>coaf</t>
        </is>
      </c>
      <c r="C79" s="45" t="inlineStr">
        <is>
          <t>Votou a favor de Flávio; provas anuladas</t>
        </is>
      </c>
      <c r="D79" s="45" t="inlineStr">
        <is>
          <t>Documentado</t>
        </is>
      </c>
      <c r="E79" s="45">
        <f>INDEX(Nodes!$B$2:$B$91,MATCH(A79,Nodes!$A$2:$A$91,0))</f>
        <v/>
      </c>
      <c r="F79" s="45">
        <f>INDEX(Nodes!$B$2:$B$91,MATCH(B79,Nodes!$A$2:$A$91,0))</f>
        <v/>
      </c>
    </row>
    <row r="80" ht="15" customHeight="1" s="25">
      <c r="A80" s="45" t="inlineStr">
        <is>
          <t>coaf</t>
        </is>
      </c>
      <c r="B80" s="45" t="inlineStr">
        <is>
          <t>flavio</t>
        </is>
      </c>
      <c r="C80" s="45" t="inlineStr">
        <is>
          <t>Investigação da rachadinha</t>
        </is>
      </c>
      <c r="D80" s="45" t="inlineStr">
        <is>
          <t>Documentado</t>
        </is>
      </c>
      <c r="E80" s="45">
        <f>INDEX(Nodes!$B$2:$B$91,MATCH(A80,Nodes!$A$2:$A$91,0))</f>
        <v/>
      </c>
      <c r="F80" s="45">
        <f>INDEX(Nodes!$B$2:$B$91,MATCH(B80,Nodes!$A$2:$A$91,0))</f>
        <v/>
      </c>
    </row>
    <row r="81" ht="15" customHeight="1" s="25">
      <c r="A81" s="45" t="inlineStr">
        <is>
          <t>coaf</t>
        </is>
      </c>
      <c r="B81" s="45" t="inlineStr">
        <is>
          <t>queiroz</t>
        </is>
      </c>
      <c r="C81" s="45" t="inlineStr">
        <is>
          <t>Operador do esquema</t>
        </is>
      </c>
      <c r="D81" s="45" t="inlineStr">
        <is>
          <t>Documentado</t>
        </is>
      </c>
      <c r="E81" s="45">
        <f>INDEX(Nodes!$B$2:$B$91,MATCH(A81,Nodes!$A$2:$A$91,0))</f>
        <v/>
      </c>
      <c r="F81" s="45">
        <f>INDEX(Nodes!$B$2:$B$91,MATCH(B81,Nodes!$A$2:$A$91,0))</f>
        <v/>
      </c>
    </row>
    <row r="82" ht="15" customHeight="1" s="25">
      <c r="A82" s="45" t="inlineStr">
        <is>
          <t>queiroz</t>
        </is>
      </c>
      <c r="B82" s="45" t="inlineStr">
        <is>
          <t>atibaia</t>
        </is>
      </c>
      <c r="C82" s="45" t="inlineStr">
        <is>
          <t>Achado escondido lá</t>
        </is>
      </c>
      <c r="D82" s="45" t="inlineStr">
        <is>
          <t>Documentado</t>
        </is>
      </c>
      <c r="E82" s="45">
        <f>INDEX(Nodes!$B$2:$B$91,MATCH(A82,Nodes!$A$2:$A$91,0))</f>
        <v/>
      </c>
      <c r="F82" s="45">
        <f>INDEX(Nodes!$B$2:$B$91,MATCH(B82,Nodes!$A$2:$A$91,0))</f>
        <v/>
      </c>
    </row>
    <row r="83" ht="15" customHeight="1" s="25">
      <c r="A83" s="45" t="inlineStr">
        <is>
          <t>wassef</t>
        </is>
      </c>
      <c r="B83" s="45" t="inlineStr">
        <is>
          <t>atibaia</t>
        </is>
      </c>
      <c r="C83" s="45" t="inlineStr">
        <is>
          <t>Casa dele</t>
        </is>
      </c>
      <c r="D83" s="45" t="inlineStr">
        <is>
          <t>Documentado</t>
        </is>
      </c>
      <c r="E83" s="45">
        <f>INDEX(Nodes!$B$2:$B$91,MATCH(A83,Nodes!$A$2:$A$91,0))</f>
        <v/>
      </c>
      <c r="F83" s="45">
        <f>INDEX(Nodes!$B$2:$B$91,MATCH(B83,Nodes!$A$2:$A$91,0))</f>
        <v/>
      </c>
    </row>
    <row r="84" ht="15" customHeight="1" s="25">
      <c r="A84" s="45" t="inlineStr">
        <is>
          <t>jair</t>
        </is>
      </c>
      <c r="B84" s="45" t="inlineStr">
        <is>
          <t>flavio</t>
        </is>
      </c>
      <c r="C84" s="45" t="inlineStr">
        <is>
          <t>Pai; Flávio promete anistia ou indulto</t>
        </is>
      </c>
      <c r="D84" s="45" t="inlineStr">
        <is>
          <t>Documentado</t>
        </is>
      </c>
      <c r="E84" s="45">
        <f>INDEX(Nodes!$B$2:$B$91,MATCH(A84,Nodes!$A$2:$A$91,0))</f>
        <v/>
      </c>
      <c r="F84" s="45">
        <f>INDEX(Nodes!$B$2:$B$91,MATCH(B84,Nodes!$A$2:$A$91,0))</f>
        <v/>
      </c>
    </row>
    <row r="85" ht="15" customHeight="1" s="25">
      <c r="A85" s="45" t="inlineStr">
        <is>
          <t>jair</t>
        </is>
      </c>
      <c r="B85" s="45" t="inlineStr">
        <is>
          <t>wassef</t>
        </is>
      </c>
      <c r="C85" s="45" t="inlineStr">
        <is>
          <t>Advogado da família</t>
        </is>
      </c>
      <c r="D85" s="45" t="inlineStr">
        <is>
          <t>Documentado</t>
        </is>
      </c>
      <c r="E85" s="45">
        <f>INDEX(Nodes!$B$2:$B$91,MATCH(A85,Nodes!$A$2:$A$91,0))</f>
        <v/>
      </c>
      <c r="F85" s="45">
        <f>INDEX(Nodes!$B$2:$B$91,MATCH(B85,Nodes!$A$2:$A$91,0))</f>
        <v/>
      </c>
    </row>
    <row r="86" ht="15" customHeight="1" s="25">
      <c r="A86" s="45" t="inlineStr">
        <is>
          <t>jair</t>
        </is>
      </c>
      <c r="B86" s="45" t="inlineStr">
        <is>
          <t>abin</t>
        </is>
      </c>
      <c r="C86" s="45" t="inlineStr">
        <is>
          <t>Abin trabalhou para defender o filho</t>
        </is>
      </c>
      <c r="D86" s="45" t="inlineStr">
        <is>
          <t>Documentado</t>
        </is>
      </c>
      <c r="E86" s="45">
        <f>INDEX(Nodes!$B$2:$B$91,MATCH(A86,Nodes!$A$2:$A$91,0))</f>
        <v/>
      </c>
      <c r="F86" s="45">
        <f>INDEX(Nodes!$B$2:$B$91,MATCH(B86,Nodes!$A$2:$A$91,0))</f>
        <v/>
      </c>
    </row>
    <row r="87" ht="15" customHeight="1" s="25">
      <c r="A87" s="45" t="inlineStr">
        <is>
          <t>abin</t>
        </is>
      </c>
      <c r="B87" s="45" t="inlineStr">
        <is>
          <t>ramagem</t>
        </is>
      </c>
      <c r="C87" s="45" t="inlineStr">
        <is>
          <t>Chefiada por ele</t>
        </is>
      </c>
      <c r="D87" s="45" t="inlineStr">
        <is>
          <t>Documentado</t>
        </is>
      </c>
      <c r="E87" s="45">
        <f>INDEX(Nodes!$B$2:$B$91,MATCH(A87,Nodes!$A$2:$A$91,0))</f>
        <v/>
      </c>
      <c r="F87" s="45">
        <f>INDEX(Nodes!$B$2:$B$91,MATCH(B87,Nodes!$A$2:$A$91,0))</f>
        <v/>
      </c>
    </row>
    <row r="88" ht="15" customHeight="1" s="25">
      <c r="A88" s="45" t="inlineStr">
        <is>
          <t>abin</t>
        </is>
      </c>
      <c r="B88" s="45" t="inlineStr">
        <is>
          <t>flavio</t>
        </is>
      </c>
      <c r="C88" s="45" t="inlineStr">
        <is>
          <t>Relatórios para “defender FB”</t>
        </is>
      </c>
      <c r="D88" s="45" t="inlineStr">
        <is>
          <t>Documentado</t>
        </is>
      </c>
      <c r="E88" s="45">
        <f>INDEX(Nodes!$B$2:$B$91,MATCH(A88,Nodes!$A$2:$A$91,0))</f>
        <v/>
      </c>
      <c r="F88" s="45">
        <f>INDEX(Nodes!$B$2:$B$91,MATCH(B88,Nodes!$A$2:$A$91,0))</f>
        <v/>
      </c>
    </row>
    <row r="89" ht="15" customHeight="1" s="25">
      <c r="A89" s="45" t="inlineStr">
        <is>
          <t>heleno</t>
        </is>
      </c>
      <c r="B89" s="45" t="inlineStr">
        <is>
          <t>jair</t>
        </is>
      </c>
      <c r="C89" s="45" t="inlineStr">
        <is>
          <t>Reunião no Planalto (2020)</t>
        </is>
      </c>
      <c r="D89" s="45" t="inlineStr">
        <is>
          <t>Documentado</t>
        </is>
      </c>
      <c r="E89" s="45">
        <f>INDEX(Nodes!$B$2:$B$91,MATCH(A89,Nodes!$A$2:$A$91,0))</f>
        <v/>
      </c>
      <c r="F89" s="45">
        <f>INDEX(Nodes!$B$2:$B$91,MATCH(B89,Nodes!$A$2:$A$91,0))</f>
        <v/>
      </c>
    </row>
    <row r="90" ht="15" customHeight="1" s="25">
      <c r="A90" s="45" t="inlineStr">
        <is>
          <t>ramagem</t>
        </is>
      </c>
      <c r="B90" s="45" t="inlineStr">
        <is>
          <t>jair</t>
        </is>
      </c>
      <c r="C90" s="45" t="inlineStr">
        <is>
          <t>Reunião no Planalto (2020)</t>
        </is>
      </c>
      <c r="D90" s="45" t="inlineStr">
        <is>
          <t>Documentado</t>
        </is>
      </c>
      <c r="E90" s="45">
        <f>INDEX(Nodes!$B$2:$B$91,MATCH(A90,Nodes!$A$2:$A$91,0))</f>
        <v/>
      </c>
      <c r="F90" s="45">
        <f>INDEX(Nodes!$B$2:$B$91,MATCH(B90,Nodes!$A$2:$A$91,0))</f>
        <v/>
      </c>
    </row>
    <row r="91" ht="15" customHeight="1" s="25">
      <c r="A91" s="45" t="inlineStr">
        <is>
          <t>ramagem</t>
        </is>
      </c>
      <c r="B91" s="45" t="inlineStr">
        <is>
          <t>flavio</t>
        </is>
      </c>
      <c r="C91" s="45" t="inlineStr">
        <is>
          <t>Diz que volta ao Brasil se Flávio ganhar</t>
        </is>
      </c>
      <c r="D91" s="45" t="inlineStr">
        <is>
          <t>Documentado</t>
        </is>
      </c>
      <c r="E91" s="45">
        <f>INDEX(Nodes!$B$2:$B$91,MATCH(A91,Nodes!$A$2:$A$91,0))</f>
        <v/>
      </c>
      <c r="F91" s="45">
        <f>INDEX(Nodes!$B$2:$B$91,MATCH(B91,Nodes!$A$2:$A$91,0))</f>
        <v/>
      </c>
    </row>
    <row r="92" ht="15" customHeight="1" s="25">
      <c r="A92" s="45" t="inlineStr">
        <is>
          <t>receita</t>
        </is>
      </c>
      <c r="B92" s="45" t="inlineStr">
        <is>
          <t>flavio</t>
        </is>
      </c>
      <c r="C92" s="45" t="inlineStr">
        <is>
          <t>Chefe foi à casa dele</t>
        </is>
      </c>
      <c r="D92" s="45" t="inlineStr">
        <is>
          <t>Documentado</t>
        </is>
      </c>
      <c r="E92" s="45">
        <f>INDEX(Nodes!$B$2:$B$91,MATCH(A92,Nodes!$A$2:$A$91,0))</f>
        <v/>
      </c>
      <c r="F92" s="45">
        <f>INDEX(Nodes!$B$2:$B$91,MATCH(B92,Nodes!$A$2:$A$91,0))</f>
        <v/>
      </c>
    </row>
    <row r="93" ht="15" customHeight="1" s="25">
      <c r="A93" s="45" t="inlineStr">
        <is>
          <t>jair</t>
        </is>
      </c>
      <c r="B93" s="45" t="inlineStr">
        <is>
          <t>receita</t>
        </is>
      </c>
      <c r="C93" s="45" t="inlineStr">
        <is>
          <t>Reunião sobre a Receita</t>
        </is>
      </c>
      <c r="D93" s="45" t="inlineStr">
        <is>
          <t>Documentado</t>
        </is>
      </c>
      <c r="E93" s="45">
        <f>INDEX(Nodes!$B$2:$B$91,MATCH(A93,Nodes!$A$2:$A$91,0))</f>
        <v/>
      </c>
      <c r="F93" s="45">
        <f>INDEX(Nodes!$B$2:$B$91,MATCH(B93,Nodes!$A$2:$A$91,0))</f>
        <v/>
      </c>
    </row>
    <row r="94" ht="15" customHeight="1" s="25">
      <c r="A94" s="45" t="inlineStr">
        <is>
          <t>jair</t>
        </is>
      </c>
      <c r="B94" s="45" t="inlineStr">
        <is>
          <t>pf</t>
        </is>
      </c>
      <c r="C94" s="45" t="inlineStr">
        <is>
          <t>Tentou trocar o comando no Rio</t>
        </is>
      </c>
      <c r="D94" s="45" t="inlineStr">
        <is>
          <t>Documentado</t>
        </is>
      </c>
      <c r="E94" s="45">
        <f>INDEX(Nodes!$B$2:$B$91,MATCH(A94,Nodes!$A$2:$A$91,0))</f>
        <v/>
      </c>
      <c r="F94" s="45">
        <f>INDEX(Nodes!$B$2:$B$91,MATCH(B94,Nodes!$A$2:$A$91,0))</f>
        <v/>
      </c>
    </row>
    <row r="95" ht="15" customHeight="1" s="25">
      <c r="A95" s="45" t="inlineStr">
        <is>
          <t>moro</t>
        </is>
      </c>
      <c r="B95" s="45" t="inlineStr">
        <is>
          <t>jair</t>
        </is>
      </c>
      <c r="C95" s="45" t="inlineStr">
        <is>
          <t>Saiu denunciando interferência na PF</t>
        </is>
      </c>
      <c r="D95" s="45" t="inlineStr">
        <is>
          <t>Documentado</t>
        </is>
      </c>
      <c r="E95" s="45">
        <f>INDEX(Nodes!$B$2:$B$91,MATCH(A95,Nodes!$A$2:$A$91,0))</f>
        <v/>
      </c>
      <c r="F95" s="45">
        <f>INDEX(Nodes!$B$2:$B$91,MATCH(B95,Nodes!$A$2:$A$91,0))</f>
        <v/>
      </c>
    </row>
    <row r="96" ht="15" customHeight="1" s="25">
      <c r="A96" s="45" t="inlineStr">
        <is>
          <t>pf</t>
        </is>
      </c>
      <c r="B96" s="45" t="inlineStr">
        <is>
          <t>willer</t>
        </is>
      </c>
      <c r="C96" s="45" t="inlineStr">
        <is>
          <t>Investiga</t>
        </is>
      </c>
      <c r="D96" s="45" t="inlineStr">
        <is>
          <t>Documentado</t>
        </is>
      </c>
      <c r="E96" s="45">
        <f>INDEX(Nodes!$B$2:$B$91,MATCH(A96,Nodes!$A$2:$A$91,0))</f>
        <v/>
      </c>
      <c r="F96" s="45">
        <f>INDEX(Nodes!$B$2:$B$91,MATCH(B96,Nodes!$A$2:$A$91,0))</f>
        <v/>
      </c>
    </row>
    <row r="97" ht="15" customHeight="1" s="25">
      <c r="A97" s="45" t="inlineStr">
        <is>
          <t>flavio</t>
        </is>
      </c>
      <c r="B97" s="45" t="inlineStr">
        <is>
          <t>pf</t>
        </is>
      </c>
      <c r="C97" s="45" t="inlineStr">
        <is>
          <t>Se eleito, indicaria o diretor</t>
        </is>
      </c>
      <c r="D97" s="45" t="inlineStr">
        <is>
          <t>Alegado ou contestado</t>
        </is>
      </c>
      <c r="E97" s="45">
        <f>INDEX(Nodes!$B$2:$B$91,MATCH(A97,Nodes!$A$2:$A$91,0))</f>
        <v/>
      </c>
      <c r="F97" s="45">
        <f>INDEX(Nodes!$B$2:$B$91,MATCH(B97,Nodes!$A$2:$A$91,0))</f>
        <v/>
      </c>
    </row>
    <row r="98" ht="15" customHeight="1" s="25">
      <c r="A98" s="45" t="inlineStr">
        <is>
          <t>flavio</t>
        </is>
      </c>
      <c r="B98" s="45" t="inlineStr">
        <is>
          <t>pgr</t>
        </is>
      </c>
      <c r="C98" s="45" t="inlineStr">
        <is>
          <t>Se eleito, indicaria o procurador-geral</t>
        </is>
      </c>
      <c r="D98" s="45" t="inlineStr">
        <is>
          <t>Alegado ou contestado</t>
        </is>
      </c>
      <c r="E98" s="45">
        <f>INDEX(Nodes!$B$2:$B$91,MATCH(A98,Nodes!$A$2:$A$91,0))</f>
        <v/>
      </c>
      <c r="F98" s="45">
        <f>INDEX(Nodes!$B$2:$B$91,MATCH(B98,Nodes!$A$2:$A$91,0))</f>
        <v/>
      </c>
    </row>
    <row r="99" ht="15" customHeight="1" s="25">
      <c r="A99" s="45" t="inlineStr">
        <is>
          <t>pgr</t>
        </is>
      </c>
      <c r="B99" s="45" t="inlineStr">
        <is>
          <t>vorcaro</t>
        </is>
      </c>
      <c r="C99" s="45" t="inlineStr">
        <is>
          <t>Decide se denuncia</t>
        </is>
      </c>
      <c r="D99" s="45" t="inlineStr">
        <is>
          <t>Documentado</t>
        </is>
      </c>
      <c r="E99" s="45">
        <f>INDEX(Nodes!$B$2:$B$91,MATCH(A99,Nodes!$A$2:$A$91,0))</f>
        <v/>
      </c>
      <c r="F99" s="45">
        <f>INDEX(Nodes!$B$2:$B$91,MATCH(B99,Nodes!$A$2:$A$91,0))</f>
        <v/>
      </c>
    </row>
    <row r="100" ht="23.25" customHeight="1" s="25">
      <c r="A100" s="45" t="inlineStr">
        <is>
          <t>willer</t>
        </is>
      </c>
      <c r="B100" s="45" t="inlineStr">
        <is>
          <t>vorcaro</t>
        </is>
      </c>
      <c r="C100" s="45" t="inlineStr">
        <is>
          <t>Parecem sócios via jato, mansão e apartamento; Willer diz que nunca o conheceu</t>
        </is>
      </c>
      <c r="D100" s="45" t="inlineStr">
        <is>
          <t>Alegado ou contestado</t>
        </is>
      </c>
      <c r="E100" s="45">
        <f>INDEX(Nodes!$B$2:$B$91,MATCH(A100,Nodes!$A$2:$A$91,0))</f>
        <v/>
      </c>
      <c r="F100" s="45">
        <f>INDEX(Nodes!$B$2:$B$91,MATCH(B100,Nodes!$A$2:$A$91,0))</f>
        <v/>
      </c>
    </row>
    <row r="101" ht="15" customHeight="1" s="25">
      <c r="A101" s="45" t="inlineStr">
        <is>
          <t>willer</t>
        </is>
      </c>
      <c r="B101" s="45" t="inlineStr">
        <is>
          <t>wt</t>
        </is>
      </c>
      <c r="C101" s="45" t="inlineStr">
        <is>
          <t>Empresa dele, segundo o vídeo</t>
        </is>
      </c>
      <c r="D101" s="45" t="inlineStr">
        <is>
          <t>Documentado</t>
        </is>
      </c>
      <c r="E101" s="45">
        <f>INDEX(Nodes!$B$2:$B$91,MATCH(A101,Nodes!$A$2:$A$91,0))</f>
        <v/>
      </c>
      <c r="F101" s="45">
        <f>INDEX(Nodes!$B$2:$B$91,MATCH(B101,Nodes!$A$2:$A$91,0))</f>
        <v/>
      </c>
    </row>
    <row r="102" ht="15" customHeight="1" s="25">
      <c r="A102" s="45" t="inlineStr">
        <is>
          <t>flavio</t>
        </is>
      </c>
      <c r="B102" s="45" t="inlineStr">
        <is>
          <t>escf</t>
        </is>
      </c>
      <c r="C102" s="45" t="inlineStr">
        <is>
          <t>Escritório de advocacia dele</t>
        </is>
      </c>
      <c r="D102" s="45" t="inlineStr">
        <is>
          <t>Documentado</t>
        </is>
      </c>
      <c r="E102" s="45">
        <f>INDEX(Nodes!$B$2:$B$91,MATCH(A102,Nodes!$A$2:$A$91,0))</f>
        <v/>
      </c>
      <c r="F102" s="45">
        <f>INDEX(Nodes!$B$2:$B$91,MATCH(B102,Nodes!$A$2:$A$91,0))</f>
        <v/>
      </c>
    </row>
    <row r="103" ht="15" customHeight="1" s="25">
      <c r="A103" s="45" t="inlineStr">
        <is>
          <t>renan</t>
        </is>
      </c>
      <c r="B103" s="45" t="inlineStr">
        <is>
          <t>willer</t>
        </is>
      </c>
      <c r="C103" s="45" t="inlineStr">
        <is>
          <t>Pediu a quebra de sigilo</t>
        </is>
      </c>
      <c r="D103" s="45" t="inlineStr">
        <is>
          <t>Documentado</t>
        </is>
      </c>
      <c r="E103" s="45">
        <f>INDEX(Nodes!$B$2:$B$91,MATCH(A103,Nodes!$A$2:$A$91,0))</f>
        <v/>
      </c>
      <c r="F103" s="45">
        <f>INDEX(Nodes!$B$2:$B$91,MATCH(B103,Nodes!$A$2:$A$91,0))</f>
        <v/>
      </c>
    </row>
    <row r="104" ht="15" customHeight="1" s="25">
      <c r="A104" s="45" t="inlineStr">
        <is>
          <t>queiroz</t>
        </is>
      </c>
      <c r="B104" s="45" t="inlineStr">
        <is>
          <t>flavio</t>
        </is>
      </c>
      <c r="C104" s="45" t="inlineStr">
        <is>
          <t>Ex-assessor; operador da rachadinha no gabinete dele</t>
        </is>
      </c>
      <c r="D104" s="45" t="inlineStr">
        <is>
          <t>Documentado</t>
        </is>
      </c>
      <c r="E104" s="45">
        <f>INDEX(Nodes!$B$2:$B$91,MATCH(A104,Nodes!$A$2:$A$91,0))</f>
        <v/>
      </c>
      <c r="F104" s="45">
        <f>INDEX(Nodes!$B$2:$B$91,MATCH(B104,Nodes!$A$2:$A$91,0))</f>
        <v/>
      </c>
    </row>
    <row r="105" ht="15" customHeight="1" s="25">
      <c r="A105" s="45" t="inlineStr">
        <is>
          <t>dono</t>
        </is>
      </c>
      <c r="B105" s="45" t="inlineStr">
        <is>
          <t>flavio</t>
        </is>
      </c>
      <c r="C105" s="45" t="inlineStr">
        <is>
          <t>Testemunha: Flávio apresentou Willer como sócio (2020)</t>
        </is>
      </c>
      <c r="D105" s="45" t="inlineStr">
        <is>
          <t>Alegado ou contestado</t>
        </is>
      </c>
      <c r="E105" s="45">
        <f>INDEX(Nodes!$B$2:$B$91,MATCH(A105,Nodes!$A$2:$A$91,0))</f>
        <v/>
      </c>
      <c r="F105" s="45">
        <f>INDEX(Nodes!$B$2:$B$91,MATCH(B105,Nodes!$A$2:$A$91,0))</f>
        <v/>
      </c>
    </row>
    <row r="106" ht="15" customHeight="1" s="25">
      <c r="A106" s="45" t="inlineStr">
        <is>
          <t>dono</t>
        </is>
      </c>
      <c r="B106" s="45" t="inlineStr">
        <is>
          <t>willer</t>
        </is>
      </c>
      <c r="C106" s="45" t="inlineStr">
        <is>
          <t>Testemunha: Flávio apresentou Willer como sócio (2020)</t>
        </is>
      </c>
      <c r="D106" s="45" t="inlineStr">
        <is>
          <t>Alegado ou contestado</t>
        </is>
      </c>
      <c r="E106" s="45">
        <f>INDEX(Nodes!$B$2:$B$91,MATCH(A106,Nodes!$A$2:$A$91,0))</f>
        <v/>
      </c>
      <c r="F106" s="45">
        <f>INDEX(Nodes!$B$2:$B$91,MATCH(B106,Nodes!$A$2:$A$91,0))</f>
        <v/>
      </c>
    </row>
    <row r="107" ht="15" customHeight="1" s="25">
      <c r="A107" s="45" t="inlineStr">
        <is>
          <t>richarlison</t>
        </is>
      </c>
      <c r="B107" s="45" t="inlineStr">
        <is>
          <t>flavio</t>
        </is>
      </c>
      <c r="C107" s="45" t="inlineStr">
        <is>
          <t>Diz que Flávio e Willer pegaram posse da casa em 24h sem pagar</t>
        </is>
      </c>
      <c r="D107" s="45" t="inlineStr">
        <is>
          <t>Alegado ou contestado</t>
        </is>
      </c>
      <c r="E107" s="45">
        <f>INDEX(Nodes!$B$2:$B$91,MATCH(A107,Nodes!$A$2:$A$91,0))</f>
        <v/>
      </c>
      <c r="F107" s="45">
        <f>INDEX(Nodes!$B$2:$B$91,MATCH(B107,Nodes!$A$2:$A$91,0))</f>
        <v/>
      </c>
    </row>
    <row r="108" ht="15" customHeight="1" s="25">
      <c r="A108" s="45" t="inlineStr">
        <is>
          <t>richarlison</t>
        </is>
      </c>
      <c r="B108" s="45" t="inlineStr">
        <is>
          <t>willer</t>
        </is>
      </c>
      <c r="C108" s="45" t="inlineStr">
        <is>
          <t>Diz que Flávio e Willer pegaram posse da casa em 24h sem pagar</t>
        </is>
      </c>
      <c r="D108" s="45" t="inlineStr">
        <is>
          <t>Alegado ou contestado</t>
        </is>
      </c>
      <c r="E108" s="45">
        <f>INDEX(Nodes!$B$2:$B$91,MATCH(A108,Nodes!$A$2:$A$91,0))</f>
        <v/>
      </c>
      <c r="F108" s="45">
        <f>INDEX(Nodes!$B$2:$B$91,MATCH(B108,Nodes!$A$2:$A$91,0))</f>
        <v/>
      </c>
    </row>
    <row r="109" ht="15" customHeight="1" s="25">
      <c r="A109" s="45" t="inlineStr">
        <is>
          <t>kevin</t>
        </is>
      </c>
      <c r="B109" s="45" t="inlineStr">
        <is>
          <t>triplex</t>
        </is>
      </c>
      <c r="C109" s="45" t="inlineStr">
        <is>
          <t>Segundo a Piauí, ia às festas com o pai</t>
        </is>
      </c>
      <c r="D109" s="45" t="inlineStr">
        <is>
          <t>Alegado ou contestado</t>
        </is>
      </c>
      <c r="E109" s="45">
        <f>INDEX(Nodes!$B$2:$B$91,MATCH(A109,Nodes!$A$2:$A$91,0))</f>
        <v/>
      </c>
      <c r="F109" s="45">
        <f>INDEX(Nodes!$B$2:$B$91,MATCH(B109,Nodes!$A$2:$A$91,0))</f>
        <v/>
      </c>
    </row>
    <row r="110" ht="15" customHeight="1" s="25">
      <c r="A110" s="45" t="inlineStr">
        <is>
          <t>nunes</t>
        </is>
      </c>
      <c r="B110" s="45" t="inlineStr">
        <is>
          <t>master</t>
        </is>
      </c>
      <c r="C110" s="45" t="inlineStr">
        <is>
          <t>Voto de desempate em julgamento de interesse do Master</t>
        </is>
      </c>
      <c r="D110" s="45" t="inlineStr">
        <is>
          <t>Alegado ou contestado</t>
        </is>
      </c>
      <c r="E110" s="45">
        <f>INDEX(Nodes!$B$2:$B$91,MATCH(A110,Nodes!$A$2:$A$91,0))</f>
        <v/>
      </c>
      <c r="F110" s="45">
        <f>INDEX(Nodes!$B$2:$B$91,MATCH(B110,Nodes!$A$2:$A$91,0))</f>
        <v/>
      </c>
    </row>
    <row r="111" ht="23.25" customHeight="1" s="25">
      <c r="A111" s="45" t="inlineStr">
        <is>
          <t>vorcaro</t>
        </is>
      </c>
      <c r="B111" s="45" t="inlineStr">
        <is>
          <t>nunes</t>
        </is>
      </c>
      <c r="C111" s="45" t="inlineStr">
        <is>
          <t>Mensagens apontam presença nas festas; Nunes diz nunca ter trocado mensagens com ele</t>
        </is>
      </c>
      <c r="D111" s="45" t="inlineStr">
        <is>
          <t>Alegado ou contestado</t>
        </is>
      </c>
      <c r="E111" s="45">
        <f>INDEX(Nodes!$B$2:$B$91,MATCH(A111,Nodes!$A$2:$A$91,0))</f>
        <v/>
      </c>
      <c r="F111" s="45">
        <f>INDEX(Nodes!$B$2:$B$91,MATCH(B111,Nodes!$A$2:$A$91,0))</f>
        <v/>
      </c>
    </row>
    <row r="112" ht="15" customHeight="1" s="25">
      <c r="A112" s="45" t="inlineStr">
        <is>
          <t>advflavio</t>
        </is>
      </c>
      <c r="B112" s="45" t="inlineStr">
        <is>
          <t>jair</t>
        </is>
      </c>
      <c r="C112" s="45" t="inlineStr">
        <is>
          <t>Reunião no Planalto (2020) sobre derrubar a investigação</t>
        </is>
      </c>
      <c r="D112" s="45" t="inlineStr">
        <is>
          <t>Documentado</t>
        </is>
      </c>
      <c r="E112" s="45">
        <f>INDEX(Nodes!$B$2:$B$91,MATCH(A112,Nodes!$A$2:$A$91,0))</f>
        <v/>
      </c>
      <c r="F112" s="45">
        <f>INDEX(Nodes!$B$2:$B$91,MATCH(B112,Nodes!$A$2:$A$91,0))</f>
        <v/>
      </c>
    </row>
    <row r="113" ht="15" customHeight="1" s="25">
      <c r="A113" s="45" t="inlineStr">
        <is>
          <t>advflavio</t>
        </is>
      </c>
      <c r="B113" s="45" t="inlineStr">
        <is>
          <t>flavio</t>
        </is>
      </c>
      <c r="C113" s="45" t="inlineStr">
        <is>
          <t>Advogadas dele</t>
        </is>
      </c>
      <c r="D113" s="45" t="inlineStr">
        <is>
          <t>Documentado</t>
        </is>
      </c>
      <c r="E113" s="45">
        <f>INDEX(Nodes!$B$2:$B$91,MATCH(A113,Nodes!$A$2:$A$91,0))</f>
        <v/>
      </c>
      <c r="F113" s="45">
        <f>INDEX(Nodes!$B$2:$B$91,MATCH(B113,Nodes!$A$2:$A$91,0))</f>
        <v/>
      </c>
    </row>
    <row r="114" ht="15" customHeight="1" s="25">
      <c r="A114" s="45" t="inlineStr">
        <is>
          <t>ciro</t>
        </is>
      </c>
      <c r="B114" s="45" t="inlineStr">
        <is>
          <t>nunes</t>
        </is>
      </c>
      <c r="C114" s="45" t="inlineStr">
        <is>
          <t>Teria influenciado a escolha para o STF</t>
        </is>
      </c>
      <c r="D114" s="45" t="inlineStr">
        <is>
          <t>Alegado ou contestado</t>
        </is>
      </c>
      <c r="E114" s="45">
        <f>INDEX(Nodes!$B$2:$B$91,MATCH(A114,Nodes!$A$2:$A$91,0))</f>
        <v/>
      </c>
      <c r="F114" s="45">
        <f>INDEX(Nodes!$B$2:$B$91,MATCH(B114,Nodes!$A$2:$A$91,0))</f>
        <v/>
      </c>
    </row>
    <row r="115" ht="15" customHeight="1" s="25">
      <c r="A115" s="45" t="inlineStr">
        <is>
          <t>ciro</t>
        </is>
      </c>
      <c r="B115" s="45" t="inlineStr">
        <is>
          <t>flavio</t>
        </is>
      </c>
      <c r="C115" s="45" t="inlineStr">
        <is>
          <t>Teria influenciado a escolha de Nunes junto com ele</t>
        </is>
      </c>
      <c r="D115" s="45" t="inlineStr">
        <is>
          <t>Alegado ou contestado</t>
        </is>
      </c>
      <c r="E115" s="45">
        <f>INDEX(Nodes!$B$2:$B$91,MATCH(A115,Nodes!$A$2:$A$91,0))</f>
        <v/>
      </c>
      <c r="F115" s="45">
        <f>INDEX(Nodes!$B$2:$B$91,MATCH(B115,Nodes!$A$2:$A$91,0))</f>
        <v/>
      </c>
    </row>
    <row r="116" ht="15" customHeight="1" s="25">
      <c r="A116" s="45" t="inlineStr">
        <is>
          <t>stf</t>
        </is>
      </c>
      <c r="B116" s="45" t="inlineStr">
        <is>
          <t>nunes</t>
        </is>
      </c>
      <c r="C116" s="45" t="inlineStr">
        <is>
          <t>Ministro</t>
        </is>
      </c>
      <c r="D116" s="45" t="inlineStr">
        <is>
          <t>Documentado</t>
        </is>
      </c>
      <c r="E116" s="45">
        <f>INDEX(Nodes!$B$2:$B$91,MATCH(A116,Nodes!$A$2:$A$91,0))</f>
        <v/>
      </c>
      <c r="F116" s="45">
        <f>INDEX(Nodes!$B$2:$B$91,MATCH(B116,Nodes!$A$2:$A$91,0))</f>
        <v/>
      </c>
    </row>
    <row r="117" ht="15" customHeight="1" s="25">
      <c r="A117" s="45" t="inlineStr">
        <is>
          <t>stf</t>
        </is>
      </c>
      <c r="B117" s="45" t="inlineStr">
        <is>
          <t>lulinha</t>
        </is>
      </c>
      <c r="C117" s="45" t="inlineStr">
        <is>
          <t>3 inquéritos abertos no governo do pai</t>
        </is>
      </c>
      <c r="D117" s="45" t="inlineStr">
        <is>
          <t>Documentado</t>
        </is>
      </c>
      <c r="E117" s="45">
        <f>INDEX(Nodes!$B$2:$B$91,MATCH(A117,Nodes!$A$2:$A$91,0))</f>
        <v/>
      </c>
      <c r="F117" s="45">
        <f>INDEX(Nodes!$B$2:$B$91,MATCH(B117,Nodes!$A$2:$A$91,0))</f>
        <v/>
      </c>
    </row>
    <row r="118" ht="15" customHeight="1" s="25">
      <c r="A118" s="45" t="inlineStr">
        <is>
          <t>stf</t>
        </is>
      </c>
      <c r="B118" s="45" t="inlineStr">
        <is>
          <t>flavio</t>
        </is>
      </c>
      <c r="C118" s="45" t="inlineStr">
        <is>
          <t>Investigado no Supremo pelo dinheiro do filme</t>
        </is>
      </c>
      <c r="D118" s="45" t="inlineStr">
        <is>
          <t>Documentado</t>
        </is>
      </c>
      <c r="E118" s="45">
        <f>INDEX(Nodes!$B$2:$B$91,MATCH(A118,Nodes!$A$2:$A$91,0))</f>
        <v/>
      </c>
      <c r="F118" s="45">
        <f>INDEX(Nodes!$B$2:$B$91,MATCH(B118,Nodes!$A$2:$A$91,0))</f>
        <v/>
      </c>
    </row>
    <row r="119" ht="15" customHeight="1" s="25">
      <c r="A119" s="45" t="inlineStr">
        <is>
          <t>stf</t>
        </is>
      </c>
      <c r="B119" s="45" t="inlineStr">
        <is>
          <t>coaf</t>
        </is>
      </c>
      <c r="C119" s="45" t="inlineStr">
        <is>
          <t>Anulou os relatórios (nov/2021)</t>
        </is>
      </c>
      <c r="D119" s="45" t="inlineStr">
        <is>
          <t>Documentado</t>
        </is>
      </c>
      <c r="E119" s="45">
        <f>INDEX(Nodes!$B$2:$B$91,MATCH(A119,Nodes!$A$2:$A$91,0))</f>
        <v/>
      </c>
      <c r="F119" s="45">
        <f>INDEX(Nodes!$B$2:$B$91,MATCH(B119,Nodes!$A$2:$A$91,0))</f>
        <v/>
      </c>
    </row>
    <row r="120" ht="15" customHeight="1" s="25">
      <c r="A120" s="45" t="inlineStr">
        <is>
          <t>tse</t>
        </is>
      </c>
      <c r="B120" s="45" t="inlineStr">
        <is>
          <t>nunes</t>
        </is>
      </c>
      <c r="C120" s="45" t="inlineStr">
        <is>
          <t>Preside</t>
        </is>
      </c>
      <c r="D120" s="45" t="inlineStr">
        <is>
          <t>Documentado</t>
        </is>
      </c>
      <c r="E120" s="45">
        <f>INDEX(Nodes!$B$2:$B$91,MATCH(A120,Nodes!$A$2:$A$91,0))</f>
        <v/>
      </c>
      <c r="F120" s="45">
        <f>INDEX(Nodes!$B$2:$B$91,MATCH(B120,Nodes!$A$2:$A$91,0))</f>
        <v/>
      </c>
    </row>
    <row r="121">
      <c r="A121" s="45" t="inlineStr">
        <is>
          <t>vorcaro</t>
        </is>
      </c>
      <c r="B121" s="45" t="inlineStr">
        <is>
          <t>flavio</t>
        </is>
      </c>
      <c r="C121" s="45" t="inlineStr">
        <is>
          <t>Visitas: um dia após a soltura e na véspera do anúncio da candidatura</t>
        </is>
      </c>
      <c r="D121" s="45" t="inlineStr">
        <is>
          <t>Alegado ou contestado</t>
        </is>
      </c>
      <c r="E121" s="45">
        <f>INDEX(Nodes!$B$2:$B$91,MATCH(A121,Nodes!$A$2:$A$91,0))</f>
        <v/>
      </c>
      <c r="F121" s="45">
        <f>INDEX(Nodes!$B$2:$B$91,MATCH(B121,Nodes!$A$2:$A$91,0))</f>
        <v/>
      </c>
    </row>
    <row r="122">
      <c r="A122" s="45" t="inlineStr">
        <is>
          <t>vorcaro</t>
        </is>
      </c>
      <c r="B122" s="45" t="inlineStr">
        <is>
          <t>flavio</t>
        </is>
      </c>
      <c r="C122" s="45" t="inlineStr">
        <is>
          <t>Feriado de 1º de maio de 2025 na Flórida, dias após repasse ao filme (Piauí)</t>
        </is>
      </c>
      <c r="D122" s="45" t="inlineStr">
        <is>
          <t>Alegado ou contestado</t>
        </is>
      </c>
      <c r="E122" s="45">
        <f>INDEX(Nodes!$B$2:$B$91,MATCH(A122,Nodes!$A$2:$A$91,0))</f>
        <v/>
      </c>
      <c r="F122" s="45">
        <f>INDEX(Nodes!$B$2:$B$91,MATCH(B122,Nodes!$A$2:$A$91,0))</f>
        <v/>
      </c>
    </row>
    <row r="123">
      <c r="A123" s="45" t="inlineStr">
        <is>
          <t>vorcaro</t>
        </is>
      </c>
      <c r="B123" s="45" t="inlineStr">
        <is>
          <t>flavio</t>
        </is>
      </c>
      <c r="C123" s="45" t="inlineStr">
        <is>
          <t>Ao menos 11 meses de contato no celular do banqueiro (Piauí); o Estadão fala em 3 meses e 6 encontros</t>
        </is>
      </c>
      <c r="D123" s="45" t="inlineStr">
        <is>
          <t>Alegado ou contestado</t>
        </is>
      </c>
      <c r="E123" s="45">
        <f>INDEX(Nodes!$B$2:$B$91,MATCH(A123,Nodes!$A$2:$A$91,0))</f>
        <v/>
      </c>
      <c r="F123" s="45">
        <f>INDEX(Nodes!$B$2:$B$91,MATCH(B123,Nodes!$A$2:$A$91,0))</f>
        <v/>
      </c>
    </row>
    <row r="124">
      <c r="A124" s="45" t="inlineStr">
        <is>
          <t>brb</t>
        </is>
      </c>
      <c r="B124" s="45" t="inlineStr">
        <is>
          <t>flavio</t>
        </is>
      </c>
      <c r="C124" s="45" t="inlineStr">
        <is>
          <t>Empréstimo de R$ 3,1 mi a 3,71% a.a., abaixo da média do banco; PF investiga. Ele diz que a Justiça já atestou a regularidade e que o empréstimo está quitado</t>
        </is>
      </c>
      <c r="D124" s="45" t="inlineStr">
        <is>
          <t>Alegado ou contestado</t>
        </is>
      </c>
      <c r="E124" s="45">
        <f>INDEX(Nodes!$B$2:$B$91,MATCH(A124,Nodes!$A$2:$A$91,0))</f>
        <v/>
      </c>
      <c r="F124" s="45">
        <f>INDEX(Nodes!$B$2:$B$91,MATCH(B124,Nodes!$A$2:$A$91,0))</f>
        <v/>
      </c>
    </row>
    <row r="125">
      <c r="A125" s="45" t="inlineStr">
        <is>
          <t>brb</t>
        </is>
      </c>
      <c r="B125" s="45" t="inlineStr">
        <is>
          <t>mansaobsb</t>
        </is>
      </c>
      <c r="C125" s="45" t="inlineStr">
        <is>
          <t>Financiou a compra</t>
        </is>
      </c>
      <c r="D125" s="45" t="inlineStr">
        <is>
          <t>Documentado</t>
        </is>
      </c>
      <c r="E125" s="45">
        <f>INDEX(Nodes!$B$2:$B$91,MATCH(A125,Nodes!$A$2:$A$91,0))</f>
        <v/>
      </c>
      <c r="F125" s="45">
        <f>INDEX(Nodes!$B$2:$B$91,MATCH(B125,Nodes!$A$2:$A$91,0))</f>
        <v/>
      </c>
    </row>
    <row r="126">
      <c r="A126" s="45" t="inlineStr">
        <is>
          <t>flavio</t>
        </is>
      </c>
      <c r="B126" s="45" t="inlineStr">
        <is>
          <t>mansaobsb</t>
        </is>
      </c>
      <c r="C126" s="45" t="inlineStr">
        <is>
          <t>Comprou em 2021 por R$ 6 mi</t>
        </is>
      </c>
      <c r="D126" s="45" t="inlineStr">
        <is>
          <t>Documentado</t>
        </is>
      </c>
      <c r="E126" s="45">
        <f>INDEX(Nodes!$B$2:$B$91,MATCH(A126,Nodes!$A$2:$A$91,0))</f>
        <v/>
      </c>
      <c r="F126" s="45">
        <f>INDEX(Nodes!$B$2:$B$91,MATCH(B126,Nodes!$A$2:$A$91,0))</f>
        <v/>
      </c>
    </row>
    <row r="127">
      <c r="A127" s="45" t="inlineStr">
        <is>
          <t>zetel</t>
        </is>
      </c>
      <c r="B127" s="45" t="inlineStr">
        <is>
          <t>jair</t>
        </is>
      </c>
      <c r="C127" s="45" t="inlineStr">
        <is>
          <t>Doou R$ 3 mi à campanha de 2022, 2º maior doador depois do PL (CNN/TSE)</t>
        </is>
      </c>
      <c r="D127" s="45" t="inlineStr">
        <is>
          <t>Documentado</t>
        </is>
      </c>
      <c r="E127" s="45">
        <f>INDEX(Nodes!$B$2:$B$91,MATCH(A127,Nodes!$A$2:$A$91,0))</f>
        <v/>
      </c>
      <c r="F127" s="45">
        <f>INDEX(Nodes!$B$2:$B$91,MATCH(B127,Nodes!$A$2:$A$91,0))</f>
        <v/>
      </c>
    </row>
    <row r="128">
      <c r="A128" s="45" t="inlineStr">
        <is>
          <t>zetel</t>
        </is>
      </c>
      <c r="B128" s="45" t="inlineStr">
        <is>
          <t>tarcisio</t>
        </is>
      </c>
      <c r="C128" s="45" t="inlineStr">
        <is>
          <t>Doou R$ 2 mi à campanha de 2022, a maior doação de pessoa física (CNN/TSE)</t>
        </is>
      </c>
      <c r="D128" s="45" t="inlineStr">
        <is>
          <t>Documentado</t>
        </is>
      </c>
      <c r="E128" s="45">
        <f>INDEX(Nodes!$B$2:$B$91,MATCH(A128,Nodes!$A$2:$A$91,0))</f>
        <v/>
      </c>
      <c r="F128" s="45">
        <f>INDEX(Nodes!$B$2:$B$91,MATCH(B128,Nodes!$A$2:$A$91,0))</f>
        <v/>
      </c>
    </row>
    <row r="129">
      <c r="A129" s="45" t="inlineStr">
        <is>
          <t>master</t>
        </is>
      </c>
      <c r="B129" s="45" t="inlineStr">
        <is>
          <t>nunes</t>
        </is>
      </c>
      <c r="C129" s="45" t="inlineStr">
        <is>
          <t>Contrato da “Turma do KN” de até R$ 427 mi, condicionado a êxito (CNN); ele nega agir pelo banco</t>
        </is>
      </c>
      <c r="D129" s="45" t="inlineStr">
        <is>
          <t>Alegado ou contestado</t>
        </is>
      </c>
      <c r="E129" s="45">
        <f>INDEX(Nodes!$B$2:$B$91,MATCH(A129,Nodes!$A$2:$A$91,0))</f>
        <v/>
      </c>
      <c r="F129" s="45">
        <f>INDEX(Nodes!$B$2:$B$91,MATCH(B129,Nodes!$A$2:$A$91,0))</f>
        <v/>
      </c>
    </row>
    <row r="130">
      <c r="A130" s="45" t="inlineStr">
        <is>
          <t>vorcaro</t>
        </is>
      </c>
      <c r="B130" s="45" t="inlineStr">
        <is>
          <t>kevin</t>
        </is>
      </c>
      <c r="C130" s="45" t="inlineStr">
        <is>
          <t>Diálogos citam suposta mesada de R$ 500 mil (CNN); Nunes nega que o filho tenha servido ao Master</t>
        </is>
      </c>
      <c r="D130" s="45" t="inlineStr">
        <is>
          <t>Alegado ou contestado</t>
        </is>
      </c>
      <c r="E130" s="45">
        <f>INDEX(Nodes!$B$2:$B$91,MATCH(A130,Nodes!$A$2:$A$91,0))</f>
        <v/>
      </c>
      <c r="F130" s="45">
        <f>INDEX(Nodes!$B$2:$B$91,MATCH(B130,Nodes!$A$2:$A$91,0))</f>
        <v/>
      </c>
    </row>
    <row r="131">
      <c r="A131" s="45" t="inlineStr">
        <is>
          <t>zetel</t>
        </is>
      </c>
      <c r="B131" s="45" t="inlineStr">
        <is>
          <t>nunes</t>
        </is>
      </c>
      <c r="C131" s="45" t="inlineStr">
        <is>
          <t>Reportagem cita encontro com garota de programa em apartamento de Zettel; ministro nega irregularidades</t>
        </is>
      </c>
      <c r="D131" s="45" t="inlineStr">
        <is>
          <t>Alegado ou contestado</t>
        </is>
      </c>
      <c r="E131" s="45">
        <f>INDEX(Nodes!$B$2:$B$91,MATCH(A131,Nodes!$A$2:$A$91,0))</f>
        <v/>
      </c>
      <c r="F131" s="45">
        <f>INDEX(Nodes!$B$2:$B$91,MATCH(B131,Nodes!$A$2:$A$91,0))</f>
        <v/>
      </c>
    </row>
    <row r="132">
      <c r="A132" s="45" t="inlineStr">
        <is>
          <t>jair</t>
        </is>
      </c>
      <c r="B132" s="45" t="inlineStr">
        <is>
          <t>mendonca</t>
        </is>
      </c>
      <c r="C132" s="45" t="inlineStr">
        <is>
          <t>Indicou ao STF</t>
        </is>
      </c>
      <c r="D132" s="45" t="inlineStr">
        <is>
          <t>Documentado</t>
        </is>
      </c>
      <c r="E132" s="45">
        <f>INDEX(Nodes!$B$2:$B$91,MATCH(A132,Nodes!$A$2:$A$91,0))</f>
        <v/>
      </c>
      <c r="F132" s="45">
        <f>INDEX(Nodes!$B$2:$B$91,MATCH(B132,Nodes!$A$2:$A$91,0))</f>
        <v/>
      </c>
    </row>
    <row r="133">
      <c r="A133" s="45" t="inlineStr">
        <is>
          <t>cirorocha</t>
        </is>
      </c>
      <c r="B133" s="45" t="inlineStr">
        <is>
          <t>vorcaro</t>
        </is>
      </c>
      <c r="C133" s="45" t="inlineStr">
        <is>
          <t>Advogado dele</t>
        </is>
      </c>
      <c r="D133" s="45" t="inlineStr">
        <is>
          <t>Documentado</t>
        </is>
      </c>
      <c r="E133" s="45">
        <f>INDEX(Nodes!$B$2:$B$91,MATCH(A133,Nodes!$A$2:$A$91,0))</f>
        <v/>
      </c>
      <c r="F133" s="45">
        <f>INDEX(Nodes!$B$2:$B$91,MATCH(B133,Nodes!$A$2:$A$91,0))</f>
        <v/>
      </c>
    </row>
    <row r="134">
      <c r="A134" s="45" t="inlineStr">
        <is>
          <t>cirorocha</t>
        </is>
      </c>
      <c r="B134" s="45" t="inlineStr">
        <is>
          <t>mendonca</t>
        </is>
      </c>
      <c r="C134" s="45" t="inlineStr">
        <is>
          <t>Levou o ministro a alfaiataria e articulou reunião com Vorcaro (mensagens)</t>
        </is>
      </c>
      <c r="D134" s="45" t="inlineStr">
        <is>
          <t>Alegado ou contestado</t>
        </is>
      </c>
      <c r="E134" s="45">
        <f>INDEX(Nodes!$B$2:$B$91,MATCH(A134,Nodes!$A$2:$A$91,0))</f>
        <v/>
      </c>
      <c r="F134" s="45">
        <f>INDEX(Nodes!$B$2:$B$91,MATCH(B134,Nodes!$A$2:$A$91,0))</f>
        <v/>
      </c>
    </row>
    <row r="135">
      <c r="A135" s="45" t="inlineStr">
        <is>
          <t>mendonca</t>
        </is>
      </c>
      <c r="B135" s="45" t="inlineStr">
        <is>
          <t>vorcaro</t>
        </is>
      </c>
      <c r="C135" s="45" t="inlineStr">
        <is>
          <t>Reunião reservada de 2 h em 14/03/2025, fora da agenda, no ITER (mensagens); não há prova de que tenha agido pelo Master</t>
        </is>
      </c>
      <c r="D135" s="45" t="inlineStr">
        <is>
          <t>Alegado ou contestado</t>
        </is>
      </c>
      <c r="E135" s="45">
        <f>INDEX(Nodes!$B$2:$B$91,MATCH(A135,Nodes!$A$2:$A$91,0))</f>
        <v/>
      </c>
      <c r="F135" s="45">
        <f>INDEX(Nodes!$B$2:$B$91,MATCH(B135,Nodes!$A$2:$A$91,0))</f>
        <v/>
      </c>
    </row>
    <row r="136">
      <c r="A136" s="45" t="inlineStr">
        <is>
          <t>mendonca</t>
        </is>
      </c>
      <c r="B136" s="45" t="inlineStr">
        <is>
          <t>vorcaro</t>
        </is>
      </c>
      <c r="C136" s="45" t="inlineStr">
        <is>
          <t>Gabinete ouviu Vorcaro em 27/08/2026 sem a PF; recomendou sigilo do celular dele</t>
        </is>
      </c>
      <c r="D136" s="45" t="inlineStr">
        <is>
          <t>Alegado ou contestado</t>
        </is>
      </c>
      <c r="E136" s="45">
        <f>INDEX(Nodes!$B$2:$B$91,MATCH(A136,Nodes!$A$2:$A$91,0))</f>
        <v/>
      </c>
      <c r="F136" s="45">
        <f>INDEX(Nodes!$B$2:$B$91,MATCH(B136,Nodes!$A$2:$A$91,0))</f>
        <v/>
      </c>
    </row>
    <row r="137">
      <c r="A137" s="45" t="inlineStr">
        <is>
          <t>bianco</t>
        </is>
      </c>
      <c r="B137" s="45" t="inlineStr">
        <is>
          <t>mendonca</t>
        </is>
      </c>
      <c r="C137" s="45" t="inlineStr">
        <is>
          <t>Convidado para a reunião com Vorcaro (fev/2025)</t>
        </is>
      </c>
      <c r="D137" s="45" t="inlineStr">
        <is>
          <t>Alegado ou contestado</t>
        </is>
      </c>
      <c r="E137" s="45">
        <f>INDEX(Nodes!$B$2:$B$91,MATCH(A137,Nodes!$A$2:$A$91,0))</f>
        <v/>
      </c>
      <c r="F137" s="45">
        <f>INDEX(Nodes!$B$2:$B$91,MATCH(B137,Nodes!$A$2:$A$91,0))</f>
        <v/>
      </c>
    </row>
    <row r="138">
      <c r="A138" s="45" t="inlineStr">
        <is>
          <t>cezinha</t>
        </is>
      </c>
      <c r="B138" s="45" t="inlineStr">
        <is>
          <t>mendonca</t>
        </is>
      </c>
      <c r="C138" s="45" t="inlineStr">
        <is>
          <t>Ajudou a articular a reunião com Vorcaro de mar/2025 (mensagens)</t>
        </is>
      </c>
      <c r="D138" s="45" t="inlineStr">
        <is>
          <t>Alegado ou contestado</t>
        </is>
      </c>
      <c r="E138" s="45">
        <f>INDEX(Nodes!$B$2:$B$91,MATCH(A138,Nodes!$A$2:$A$91,0))</f>
        <v/>
      </c>
      <c r="F138" s="45">
        <f>INDEX(Nodes!$B$2:$B$91,MATCH(B138,Nodes!$A$2:$A$91,0))</f>
        <v/>
      </c>
    </row>
    <row r="139">
      <c r="A139" s="45" t="inlineStr">
        <is>
          <t>tarcisio</t>
        </is>
      </c>
      <c r="B139" s="45" t="inlineStr">
        <is>
          <t>cezinha</t>
        </is>
      </c>
      <c r="C139" s="45" t="inlineStr">
        <is>
          <t>Financiou 24% da campanha do deputado</t>
        </is>
      </c>
      <c r="D139" s="45" t="inlineStr">
        <is>
          <t>Documentado</t>
        </is>
      </c>
      <c r="E139" s="45">
        <f>INDEX(Nodes!$B$2:$B$91,MATCH(A139,Nodes!$A$2:$A$91,0))</f>
        <v/>
      </c>
      <c r="F139" s="45">
        <f>INDEX(Nodes!$B$2:$B$91,MATCH(B139,Nodes!$A$2:$A$91,0))</f>
        <v/>
      </c>
    </row>
    <row r="140">
      <c r="A140" s="45" t="inlineStr">
        <is>
          <t>mendonca</t>
        </is>
      </c>
      <c r="B140" s="45" t="inlineStr">
        <is>
          <t>iter</t>
        </is>
      </c>
      <c r="C140" s="45" t="inlineStr">
        <is>
          <t>Fundador</t>
        </is>
      </c>
      <c r="D140" s="45" t="inlineStr">
        <is>
          <t>Documentado</t>
        </is>
      </c>
      <c r="E140" s="45">
        <f>INDEX(Nodes!$B$2:$B$91,MATCH(A140,Nodes!$A$2:$A$91,0))</f>
        <v/>
      </c>
      <c r="F140" s="45">
        <f>INDEX(Nodes!$B$2:$B$91,MATCH(B140,Nodes!$A$2:$A$91,0))</f>
        <v/>
      </c>
    </row>
    <row r="141">
      <c r="A141" s="45" t="inlineStr">
        <is>
          <t>vorcaro</t>
        </is>
      </c>
      <c r="B141" s="45" t="inlineStr">
        <is>
          <t>iter</t>
        </is>
      </c>
      <c r="C141" s="45" t="inlineStr">
        <is>
          <t>Empresa de sócio dele aportou R$ 5,2 mi (jan/2026); Vorcaro foi a coquetéis do instituto</t>
        </is>
      </c>
      <c r="D141" s="45" t="inlineStr">
        <is>
          <t>Alegado ou contestado</t>
        </is>
      </c>
      <c r="E141" s="45">
        <f>INDEX(Nodes!$B$2:$B$91,MATCH(A141,Nodes!$A$2:$A$91,0))</f>
        <v/>
      </c>
      <c r="F141" s="45">
        <f>INDEX(Nodes!$B$2:$B$91,MATCH(B141,Nodes!$A$2:$A$91,0))</f>
        <v/>
      </c>
    </row>
    <row r="142">
      <c r="A142" s="45" t="inlineStr">
        <is>
          <t>mendonca</t>
        </is>
      </c>
      <c r="B142" s="45" t="inlineStr">
        <is>
          <t>master</t>
        </is>
      </c>
      <c r="C142" s="45" t="inlineStr">
        <is>
          <t>Relator do caso Master no STF (sorteado em fev/2026)</t>
        </is>
      </c>
      <c r="D142" s="45" t="inlineStr">
        <is>
          <t>Documentado</t>
        </is>
      </c>
      <c r="E142" s="45">
        <f>INDEX(Nodes!$B$2:$B$91,MATCH(A142,Nodes!$A$2:$A$91,0))</f>
        <v/>
      </c>
      <c r="F142" s="45">
        <f>INDEX(Nodes!$B$2:$B$91,MATCH(B142,Nodes!$A$2:$A$91,0))</f>
        <v/>
      </c>
    </row>
    <row r="143">
      <c r="A143" s="45" t="inlineStr">
        <is>
          <t>mendonca</t>
        </is>
      </c>
      <c r="B143" s="45" t="inlineStr">
        <is>
          <t>pf</t>
        </is>
      </c>
      <c r="C143" s="45" t="inlineStr">
        <is>
          <t>Afastou o diretor-geral sem ouvir a PGR (08/09/2026), alegando monitoramento ilegal; AGU vê usurpação de competência</t>
        </is>
      </c>
      <c r="D143" s="45" t="inlineStr">
        <is>
          <t>Documentado</t>
        </is>
      </c>
      <c r="E143" s="45">
        <f>INDEX(Nodes!$B$2:$B$91,MATCH(A143,Nodes!$A$2:$A$91,0))</f>
        <v/>
      </c>
      <c r="F143" s="45">
        <f>INDEX(Nodes!$B$2:$B$91,MATCH(B143,Nodes!$A$2:$A$91,0))</f>
        <v/>
      </c>
    </row>
    <row r="144">
      <c r="A144" s="45" t="inlineStr">
        <is>
          <t>mendonca</t>
        </is>
      </c>
      <c r="B144" s="45" t="inlineStr">
        <is>
          <t>careca</t>
        </is>
      </c>
      <c r="C144" s="45" t="inlineStr">
        <is>
          <t>Revogou a prisão do filho dele (09/09/2026)</t>
        </is>
      </c>
      <c r="D144" s="45" t="inlineStr">
        <is>
          <t>Documentado</t>
        </is>
      </c>
      <c r="E144" s="45">
        <f>INDEX(Nodes!$B$2:$B$91,MATCH(A144,Nodes!$A$2:$A$91,0))</f>
        <v/>
      </c>
      <c r="F144" s="45">
        <f>INDEX(Nodes!$B$2:$B$91,MATCH(B144,Nodes!$A$2:$A$91,0))</f>
        <v/>
      </c>
    </row>
    <row r="145">
      <c r="A145" s="45" t="inlineStr">
        <is>
          <t>pf</t>
        </is>
      </c>
      <c r="B145" s="45" t="inlineStr">
        <is>
          <t>mendonca</t>
        </is>
      </c>
      <c r="C145" s="45" t="inlineStr">
        <is>
          <t>Relatório aponta diferença de até 8x nos prazos de decisão e demora para rastrear o dinheiro</t>
        </is>
      </c>
      <c r="D145" s="45" t="inlineStr">
        <is>
          <t>Alegado ou contestado</t>
        </is>
      </c>
      <c r="E145" s="45">
        <f>INDEX(Nodes!$B$2:$B$91,MATCH(A145,Nodes!$A$2:$A$91,0))</f>
        <v/>
      </c>
      <c r="F145" s="45">
        <f>INDEX(Nodes!$B$2:$B$91,MATCH(B145,Nodes!$A$2:$A$91,0))</f>
        <v/>
      </c>
    </row>
    <row r="146">
      <c r="A146" s="45" t="inlineStr">
        <is>
          <t>mendonca</t>
        </is>
      </c>
      <c r="B146" s="45" t="inlineStr">
        <is>
          <t>moraes</t>
        </is>
      </c>
      <c r="C146" s="45" t="inlineStr">
        <is>
          <t>PF: pressionou por Moraes; PGR diz que o investigou antes do aval do plenário</t>
        </is>
      </c>
      <c r="D146" s="45" t="inlineStr">
        <is>
          <t>Alegado ou contestado</t>
        </is>
      </c>
      <c r="E146" s="45">
        <f>INDEX(Nodes!$B$2:$B$91,MATCH(A146,Nodes!$A$2:$A$91,0))</f>
        <v/>
      </c>
      <c r="F146" s="45">
        <f>INDEX(Nodes!$B$2:$B$91,MATCH(B146,Nodes!$A$2:$A$91,0))</f>
        <v/>
      </c>
    </row>
    <row r="147">
      <c r="A147" s="45" t="inlineStr">
        <is>
          <t>mendonca</t>
        </is>
      </c>
      <c r="B147" s="45" t="inlineStr">
        <is>
          <t>nunes</t>
        </is>
      </c>
      <c r="C147" s="45" t="inlineStr">
        <is>
          <t>PF: teria poupado Nunes e Toffoli</t>
        </is>
      </c>
      <c r="D147" s="45" t="inlineStr">
        <is>
          <t>Alegado ou contestado</t>
        </is>
      </c>
      <c r="E147" s="45">
        <f>INDEX(Nodes!$B$2:$B$91,MATCH(A147,Nodes!$A$2:$A$91,0))</f>
        <v/>
      </c>
      <c r="F147" s="45">
        <f>INDEX(Nodes!$B$2:$B$91,MATCH(B147,Nodes!$A$2:$A$91,0))</f>
        <v/>
      </c>
    </row>
    <row r="148">
      <c r="A148" s="45" t="inlineStr">
        <is>
          <t>tarcisio</t>
        </is>
      </c>
      <c r="B148" s="45" t="inlineStr">
        <is>
          <t>iter</t>
        </is>
      </c>
      <c r="C148" s="45" t="inlineStr">
        <is>
          <t>Governo de SP contratou o instituto (R$ 1,6 mi, sem licitação)</t>
        </is>
      </c>
      <c r="D148" s="45" t="inlineStr">
        <is>
          <t>Documentado</t>
        </is>
      </c>
      <c r="E148" s="45">
        <f>INDEX(Nodes!$B$2:$B$91,MATCH(A148,Nodes!$A$2:$A$91,0))</f>
        <v/>
      </c>
      <c r="F148" s="45">
        <f>INDEX(Nodes!$B$2:$B$91,MATCH(B148,Nodes!$A$2:$A$91,0))</f>
        <v/>
      </c>
    </row>
    <row r="149">
      <c r="A149" s="45" t="inlineStr">
        <is>
          <t>rnunes</t>
        </is>
      </c>
      <c r="B149" s="45" t="inlineStr">
        <is>
          <t>iter</t>
        </is>
      </c>
      <c r="C149" s="45" t="inlineStr">
        <is>
          <t>Prefeitura de SP contratou o instituto (R$ 380 mil)</t>
        </is>
      </c>
      <c r="D149" s="45" t="inlineStr">
        <is>
          <t>Documentado</t>
        </is>
      </c>
      <c r="E149" s="45">
        <f>INDEX(Nodes!$B$2:$B$91,MATCH(A149,Nodes!$A$2:$A$91,0))</f>
        <v/>
      </c>
      <c r="F149" s="45">
        <f>INDEX(Nodes!$B$2:$B$91,MATCH(B149,Nodes!$A$2:$A$91,0))</f>
        <v/>
      </c>
    </row>
    <row r="150">
      <c r="A150" s="45" t="inlineStr">
        <is>
          <t>rnunes</t>
        </is>
      </c>
      <c r="B150" s="45" t="inlineStr">
        <is>
          <t>mendonca</t>
        </is>
      </c>
      <c r="C150" s="45" t="inlineStr">
        <is>
          <t>Promoveu o irmão do ministro após voto favorável à Prefeitura</t>
        </is>
      </c>
      <c r="D150" s="45" t="inlineStr">
        <is>
          <t>Alegado ou contestado</t>
        </is>
      </c>
      <c r="E150" s="45">
        <f>INDEX(Nodes!$B$2:$B$91,MATCH(A150,Nodes!$A$2:$A$91,0))</f>
        <v/>
      </c>
      <c r="F150" s="45">
        <f>INDEX(Nodes!$B$2:$B$91,MATCH(B150,Nodes!$A$2:$A$91,0))</f>
        <v/>
      </c>
    </row>
    <row r="151">
      <c r="A151" s="45" t="inlineStr">
        <is>
          <t>castro</t>
        </is>
      </c>
      <c r="B151" s="45" t="inlineStr">
        <is>
          <t>iter</t>
        </is>
      </c>
      <c r="C151" s="45" t="inlineStr">
        <is>
          <t>Governo do RJ contratou o instituto (R$ 518 mil)</t>
        </is>
      </c>
      <c r="D151" s="45" t="inlineStr">
        <is>
          <t>Documentado</t>
        </is>
      </c>
      <c r="E151" s="45">
        <f>INDEX(Nodes!$B$2:$B$91,MATCH(A151,Nodes!$A$2:$A$91,0))</f>
        <v/>
      </c>
      <c r="F151" s="45">
        <f>INDEX(Nodes!$B$2:$B$91,MATCH(B151,Nodes!$A$2:$A$91,0))</f>
        <v/>
      </c>
    </row>
    <row r="152">
      <c r="A152" s="45" t="inlineStr">
        <is>
          <t>mendonca</t>
        </is>
      </c>
      <c r="B152" s="45" t="inlineStr">
        <is>
          <t>castro</t>
        </is>
      </c>
      <c r="C152" s="45" t="inlineStr">
        <is>
          <t>Votou a favor dele 4 vezes enquanto o instituto tinha contratos no Rio</t>
        </is>
      </c>
      <c r="D152" s="45" t="inlineStr">
        <is>
          <t>Alegado ou contestado</t>
        </is>
      </c>
      <c r="E152" s="45">
        <f>INDEX(Nodes!$B$2:$B$91,MATCH(A152,Nodes!$A$2:$A$91,0))</f>
        <v/>
      </c>
      <c r="F152" s="45">
        <f>INDEX(Nodes!$B$2:$B$91,MATCH(B152,Nodes!$A$2:$A$91,0))</f>
        <v/>
      </c>
    </row>
    <row r="153">
      <c r="A153" s="45" t="inlineStr">
        <is>
          <t>vorcaro</t>
        </is>
      </c>
      <c r="B153" s="45" t="inlineStr">
        <is>
          <t>ciro</t>
        </is>
      </c>
      <c r="C153" s="45" t="inlineStr">
        <is>
          <t>PF: pagamentos mensais de R$ 300 mil a 500 mil e viagens pagas, incluindo Courchevel (~R$ 2 mi); ele nega ilicitude</t>
        </is>
      </c>
      <c r="D153" s="45" t="inlineStr">
        <is>
          <t>Alegado ou contestado</t>
        </is>
      </c>
      <c r="E153" s="45">
        <f>INDEX(Nodes!$B$2:$B$91,MATCH(A153,Nodes!$A$2:$A$91,0))</f>
        <v/>
      </c>
      <c r="F153" s="45">
        <f>INDEX(Nodes!$B$2:$B$91,MATCH(B153,Nodes!$A$2:$A$91,0))</f>
        <v/>
      </c>
    </row>
    <row r="154">
      <c r="A154" s="45" t="inlineStr">
        <is>
          <t>ciro</t>
        </is>
      </c>
      <c r="B154" s="45" t="inlineStr">
        <is>
          <t>master</t>
        </is>
      </c>
      <c r="C154" s="45" t="inlineStr">
        <is>
          <t>Autor da “Emenda Master” (garantia do FGC de R$ 250 mil para R$ 1 mi)</t>
        </is>
      </c>
      <c r="D154" s="45" t="inlineStr">
        <is>
          <t>Documentado</t>
        </is>
      </c>
      <c r="E154" s="45">
        <f>INDEX(Nodes!$B$2:$B$91,MATCH(A154,Nodes!$A$2:$A$91,0))</f>
        <v/>
      </c>
      <c r="F154" s="45">
        <f>INDEX(Nodes!$B$2:$B$91,MATCH(B154,Nodes!$A$2:$A$91,0))</f>
        <v/>
      </c>
    </row>
    <row r="155">
      <c r="A155" s="45" t="inlineStr">
        <is>
          <t>pf</t>
        </is>
      </c>
      <c r="B155" s="45" t="inlineStr">
        <is>
          <t>ciro</t>
        </is>
      </c>
      <c r="C155" s="45" t="inlineStr">
        <is>
          <t>Alvo da 5ª fase da Operação Compliance Zero</t>
        </is>
      </c>
      <c r="D155" s="45" t="inlineStr">
        <is>
          <t>Documentado</t>
        </is>
      </c>
      <c r="E155" s="45">
        <f>INDEX(Nodes!$B$2:$B$91,MATCH(A155,Nodes!$A$2:$A$91,0))</f>
        <v/>
      </c>
      <c r="F155" s="45">
        <f>INDEX(Nodes!$B$2:$B$91,MATCH(B155,Nodes!$A$2:$A$91,0))</f>
        <v/>
      </c>
    </row>
    <row r="156">
      <c r="A156" s="45" t="inlineStr">
        <is>
          <t>jair</t>
        </is>
      </c>
      <c r="B156" s="45" t="inlineStr">
        <is>
          <t>faria</t>
        </is>
      </c>
      <c r="C156" s="45" t="inlineStr">
        <is>
          <t>Ex-ministro das Comunicações</t>
        </is>
      </c>
      <c r="D156" s="45" t="inlineStr">
        <is>
          <t>Documentado</t>
        </is>
      </c>
      <c r="E156" s="45">
        <f>INDEX(Nodes!$B$2:$B$91,MATCH(A156,Nodes!$A$2:$A$91,0))</f>
        <v/>
      </c>
      <c r="F156" s="45">
        <f>INDEX(Nodes!$B$2:$B$91,MATCH(B156,Nodes!$A$2:$A$91,0))</f>
        <v/>
      </c>
    </row>
    <row r="157">
      <c r="A157" s="45" t="inlineStr">
        <is>
          <t>faria</t>
        </is>
      </c>
      <c r="B157" s="45" t="inlineStr">
        <is>
          <t>vorcaro</t>
        </is>
      </c>
      <c r="C157" s="45" t="inlineStr">
        <is>
          <t>PF: articulador dele em Brasília; Vorcaro pagou R$ 67,5 mi por projeto eólico de Faria, que defende o valor</t>
        </is>
      </c>
      <c r="D157" s="45" t="inlineStr">
        <is>
          <t>Alegado ou contestado</t>
        </is>
      </c>
      <c r="E157" s="45">
        <f>INDEX(Nodes!$B$2:$B$91,MATCH(A157,Nodes!$A$2:$A$91,0))</f>
        <v/>
      </c>
      <c r="F157" s="45">
        <f>INDEX(Nodes!$B$2:$B$91,MATCH(B157,Nodes!$A$2:$A$91,0))</f>
        <v/>
      </c>
    </row>
    <row r="158">
      <c r="A158" s="45" t="inlineStr">
        <is>
          <t>faria</t>
        </is>
      </c>
      <c r="B158" s="45" t="inlineStr">
        <is>
          <t>moraes</t>
        </is>
      </c>
      <c r="C158" s="45" t="inlineStr">
        <is>
          <t>PF: intermediou contatos entre Vorcaro e Moraes</t>
        </is>
      </c>
      <c r="D158" s="45" t="inlineStr">
        <is>
          <t>Alegado ou contestado</t>
        </is>
      </c>
      <c r="E158" s="45">
        <f>INDEX(Nodes!$B$2:$B$91,MATCH(A158,Nodes!$A$2:$A$91,0))</f>
        <v/>
      </c>
      <c r="F158" s="45">
        <f>INDEX(Nodes!$B$2:$B$91,MATCH(B158,Nodes!$A$2:$A$91,0))</f>
        <v/>
      </c>
    </row>
    <row r="159">
      <c r="A159" s="45" t="inlineStr">
        <is>
          <t>motta</t>
        </is>
      </c>
      <c r="B159" s="45" t="inlineStr">
        <is>
          <t>vorcaro</t>
        </is>
      </c>
      <c r="C159" s="45" t="inlineStr">
        <is>
          <t>Grupo de mensagens com Vorcaro, Ciro e Faria para organizar encontros</t>
        </is>
      </c>
      <c r="D159" s="45" t="inlineStr">
        <is>
          <t>Alegado ou contestado</t>
        </is>
      </c>
      <c r="E159" s="45">
        <f>INDEX(Nodes!$B$2:$B$91,MATCH(A159,Nodes!$A$2:$A$91,0))</f>
        <v/>
      </c>
      <c r="F159" s="45">
        <f>INDEX(Nodes!$B$2:$B$91,MATCH(B159,Nodes!$A$2:$A$91,0))</f>
        <v/>
      </c>
    </row>
    <row r="160">
      <c r="A160" s="45" t="inlineStr">
        <is>
          <t>jair</t>
        </is>
      </c>
      <c r="B160" s="45" t="inlineStr">
        <is>
          <t>frias</t>
        </is>
      </c>
      <c r="C160" s="45" t="inlineStr">
        <is>
          <t>Ex-secretário especial de Cultura</t>
        </is>
      </c>
      <c r="D160" s="45" t="inlineStr">
        <is>
          <t>Documentado</t>
        </is>
      </c>
      <c r="E160" s="45">
        <f>INDEX(Nodes!$B$2:$B$91,MATCH(A160,Nodes!$A$2:$A$91,0))</f>
        <v/>
      </c>
      <c r="F160" s="45">
        <f>INDEX(Nodes!$B$2:$B$91,MATCH(B160,Nodes!$A$2:$A$91,0))</f>
        <v/>
      </c>
    </row>
    <row r="161">
      <c r="A161" s="45" t="inlineStr">
        <is>
          <t>frias</t>
        </is>
      </c>
      <c r="B161" s="45" t="inlineStr">
        <is>
          <t>ong</t>
        </is>
      </c>
      <c r="C161" s="45" t="inlineStr">
        <is>
          <t>Produtor-executivo de Dark Horse</t>
        </is>
      </c>
      <c r="D161" s="45" t="inlineStr">
        <is>
          <t>Documentado</t>
        </is>
      </c>
      <c r="E161" s="45">
        <f>INDEX(Nodes!$B$2:$B$91,MATCH(A161,Nodes!$A$2:$A$91,0))</f>
        <v/>
      </c>
      <c r="F161" s="45">
        <f>INDEX(Nodes!$B$2:$B$91,MATCH(B161,Nodes!$A$2:$A$91,0))</f>
        <v/>
      </c>
    </row>
    <row r="162">
      <c r="A162" s="45" t="inlineStr">
        <is>
          <t>frias</t>
        </is>
      </c>
      <c r="B162" s="45" t="inlineStr">
        <is>
          <t>vorcaro</t>
        </is>
      </c>
      <c r="C162" s="45" t="inlineStr">
        <is>
          <t>Áudio agradece o financiamento do filme: “meu irmão”</t>
        </is>
      </c>
      <c r="D162" s="45" t="inlineStr">
        <is>
          <t>Alegado ou contestado</t>
        </is>
      </c>
      <c r="E162" s="45">
        <f>INDEX(Nodes!$B$2:$B$91,MATCH(A162,Nodes!$A$2:$A$91,0))</f>
        <v/>
      </c>
      <c r="F162" s="45">
        <f>INDEX(Nodes!$B$2:$B$91,MATCH(B162,Nodes!$A$2:$A$91,0))</f>
        <v/>
      </c>
    </row>
    <row r="163">
      <c r="A163" s="45" t="inlineStr">
        <is>
          <t>primeu</t>
        </is>
      </c>
      <c r="B163" s="45" t="inlineStr">
        <is>
          <t>marcal</t>
        </is>
      </c>
      <c r="C163" s="45" t="inlineStr">
        <is>
          <t>Pagou voo SP–EUA de R$ 1,17 mi (2025); Marçal confirmou o uso (Valor)</t>
        </is>
      </c>
      <c r="D163" s="45" t="inlineStr">
        <is>
          <t>Documentado</t>
        </is>
      </c>
      <c r="E163" s="45">
        <f>INDEX(Nodes!$B$2:$B$91,MATCH(A163,Nodes!$A$2:$A$91,0))</f>
        <v/>
      </c>
      <c r="F163" s="45">
        <f>INDEX(Nodes!$B$2:$B$91,MATCH(B163,Nodes!$A$2:$A$91,0))</f>
        <v/>
      </c>
    </row>
    <row r="164">
      <c r="A164" s="45" t="inlineStr">
        <is>
          <t>vorcaro</t>
        </is>
      </c>
      <c r="B164" s="45" t="inlineStr">
        <is>
          <t>govlula</t>
        </is>
      </c>
      <c r="C164" s="45" t="inlineStr">
        <is>
          <t>Mensagens: via Haddad como opositor e pediu ajuda para “bloquear” Gleisi e Mercadante</t>
        </is>
      </c>
      <c r="D164" s="45" t="inlineStr">
        <is>
          <t>Alegado ou contestado</t>
        </is>
      </c>
      <c r="E164" s="45">
        <f>INDEX(Nodes!$B$2:$B$91,MATCH(A164,Nodes!$A$2:$A$91,0))</f>
        <v/>
      </c>
      <c r="F164" s="45">
        <f>INDEX(Nodes!$B$2:$B$91,MATCH(B164,Nodes!$A$2:$A$91,0))</f>
        <v/>
      </c>
    </row>
    <row r="165">
      <c r="A165" s="45" t="inlineStr">
        <is>
          <t>gaspar</t>
        </is>
      </c>
      <c r="B165" s="45" t="inlineStr">
        <is>
          <t>flavio</t>
        </is>
      </c>
      <c r="C165" s="45" t="inlineStr">
        <is>
          <t>Vice na chapa</t>
        </is>
      </c>
      <c r="D165" s="45" t="inlineStr">
        <is>
          <t>Documentado</t>
        </is>
      </c>
      <c r="E165" s="45">
        <f>INDEX(Nodes!$B$2:$B$91,MATCH(A165,Nodes!$A$2:$A$91,0))</f>
        <v/>
      </c>
      <c r="F165" s="45">
        <f>INDEX(Nodes!$B$2:$B$91,MATCH(B165,Nodes!$A$2:$A$91,0))</f>
        <v/>
      </c>
    </row>
    <row r="166">
      <c r="A166" s="45" t="inlineStr">
        <is>
          <t>jbcarvalho</t>
        </is>
      </c>
      <c r="B166" s="45" t="inlineStr">
        <is>
          <t>flavio</t>
        </is>
      </c>
      <c r="C166" s="45" t="inlineStr">
        <is>
          <t>Flávio foi batizado na Comunidade das Nações, igreja dele, em jan/2024 (Folha)</t>
        </is>
      </c>
      <c r="D166" s="45" t="inlineStr">
        <is>
          <t>Documentado</t>
        </is>
      </c>
      <c r="E166" s="45">
        <f>INDEX(Nodes!$B$2:$B$91,MATCH(A166,Nodes!$A$2:$A$91,0))</f>
        <v/>
      </c>
      <c r="F166" s="45">
        <f>INDEX(Nodes!$B$2:$B$91,MATCH(B166,Nodes!$A$2:$A$91,0))</f>
        <v/>
      </c>
    </row>
    <row r="167">
      <c r="A167" s="45" t="inlineStr">
        <is>
          <t>kopenhagen</t>
        </is>
      </c>
      <c r="B167" s="45" t="inlineStr">
        <is>
          <t>flavio</t>
        </is>
      </c>
      <c r="C167" s="45" t="inlineStr">
        <is>
          <t>Franquia dele; MP suspeitou de lavagem (1.512 depósitos em espécie)</t>
        </is>
      </c>
      <c r="D167" s="45" t="inlineStr">
        <is>
          <t>Alegado ou contestado</t>
        </is>
      </c>
      <c r="E167" s="45">
        <f>INDEX(Nodes!$B$2:$B$91,MATCH(A167,Nodes!$A$2:$A$91,0))</f>
        <v/>
      </c>
      <c r="F167" s="45">
        <f>INDEX(Nodes!$B$2:$B$91,MATCH(B167,Nodes!$A$2:$A$91,0))</f>
        <v/>
      </c>
    </row>
    <row r="168">
      <c r="A168" s="45" t="inlineStr">
        <is>
          <t>flavio</t>
        </is>
      </c>
      <c r="B168" s="45" t="inlineStr">
        <is>
          <t>nunes</t>
        </is>
      </c>
      <c r="C168" s="45" t="inlineStr">
        <is>
          <t>Ex-sócio cita lobby dele com Nunes em favor de cliente; sem comprovação independente (PlatôBR)</t>
        </is>
      </c>
      <c r="D168" s="45" t="inlineStr">
        <is>
          <t>Alegado ou contestado</t>
        </is>
      </c>
      <c r="E168" s="45">
        <f>INDEX(Nodes!$B$2:$B$91,MATCH(A168,Nodes!$A$2:$A$91,0))</f>
        <v/>
      </c>
      <c r="F168" s="45">
        <f>INDEX(Nodes!$B$2:$B$91,MATCH(B168,Nodes!$A$2:$A$91,0))</f>
        <v/>
      </c>
    </row>
    <row r="169">
      <c r="A169" s="45" t="inlineStr">
        <is>
          <t>adriano</t>
        </is>
      </c>
      <c r="B169" s="45" t="inlineStr">
        <is>
          <t>flavio</t>
        </is>
      </c>
      <c r="C169" s="45" t="inlineStr">
        <is>
          <t>Mãe e mulher empregadas no gabinete; homenageado por Flávio em 2003 e 2005</t>
        </is>
      </c>
      <c r="D169" s="45" t="inlineStr">
        <is>
          <t>Documentado</t>
        </is>
      </c>
      <c r="E169" s="45">
        <f>INDEX(Nodes!$B$2:$B$91,MATCH(A169,Nodes!$A$2:$A$91,0))</f>
        <v/>
      </c>
      <c r="F169" s="45">
        <f>INDEX(Nodes!$B$2:$B$91,MATCH(B169,Nodes!$A$2:$A$91,0))</f>
        <v/>
      </c>
    </row>
    <row r="170">
      <c r="A170" s="45" t="inlineStr">
        <is>
          <t>adriano</t>
        </is>
      </c>
      <c r="B170" s="45" t="inlineStr">
        <is>
          <t>coaf</t>
        </is>
      </c>
      <c r="C170" s="45" t="inlineStr">
        <is>
          <t>MP-RJ: mãe e mulher eram “assessoras fantasmas” e devolviam salário (310 desvios)</t>
        </is>
      </c>
      <c r="D170" s="45" t="inlineStr">
        <is>
          <t>Alegado ou contestado</t>
        </is>
      </c>
      <c r="E170" s="45">
        <f>INDEX(Nodes!$B$2:$B$91,MATCH(A170,Nodes!$A$2:$A$91,0))</f>
        <v/>
      </c>
      <c r="F170" s="45">
        <f>INDEX(Nodes!$B$2:$B$91,MATCH(B170,Nodes!$A$2:$A$91,0))</f>
        <v/>
      </c>
    </row>
    <row r="171">
      <c r="A171" s="45" t="inlineStr">
        <is>
          <t>coaf</t>
        </is>
      </c>
      <c r="B171" s="45" t="inlineStr">
        <is>
          <t>adriano</t>
        </is>
      </c>
      <c r="C171" s="45" t="inlineStr">
        <is>
          <t>Dinheiro da rachadinha teria financiado prédios da milícia (Intercept)</t>
        </is>
      </c>
      <c r="D171" s="45" t="inlineStr">
        <is>
          <t>Alegado ou contestado</t>
        </is>
      </c>
      <c r="E171" s="45">
        <f>INDEX(Nodes!$B$2:$B$91,MATCH(A171,Nodes!$A$2:$A$91,0))</f>
        <v/>
      </c>
      <c r="F171" s="45">
        <f>INDEX(Nodes!$B$2:$B$91,MATCH(B171,Nodes!$A$2:$A$91,0))</f>
        <v/>
      </c>
    </row>
    <row r="172">
      <c r="A172" s="45" t="inlineStr">
        <is>
          <t>flavio</t>
        </is>
      </c>
      <c r="B172" s="45" t="inlineStr">
        <is>
          <t>ronald</t>
        </is>
      </c>
      <c r="C172" s="45" t="inlineStr">
        <is>
          <t>Homenageou em 2004</t>
        </is>
      </c>
      <c r="D172" s="45" t="inlineStr">
        <is>
          <t>Documentado</t>
        </is>
      </c>
      <c r="E172" s="45">
        <f>INDEX(Nodes!$B$2:$B$91,MATCH(A172,Nodes!$A$2:$A$91,0))</f>
        <v/>
      </c>
      <c r="F172" s="45">
        <f>INDEX(Nodes!$B$2:$B$91,MATCH(B172,Nodes!$A$2:$A$91,0))</f>
        <v/>
      </c>
    </row>
    <row r="173">
      <c r="A173" s="45" t="inlineStr">
        <is>
          <t>flavio</t>
        </is>
      </c>
      <c r="B173" s="45" t="inlineStr">
        <is>
          <t>orelha</t>
        </is>
      </c>
      <c r="C173" s="45" t="inlineStr">
        <is>
          <t>Homenageou</t>
        </is>
      </c>
      <c r="D173" s="45" t="inlineStr">
        <is>
          <t>Documentado</t>
        </is>
      </c>
      <c r="E173" s="45">
        <f>INDEX(Nodes!$B$2:$B$91,MATCH(A173,Nodes!$A$2:$A$91,0))</f>
        <v/>
      </c>
      <c r="F173" s="45">
        <f>INDEX(Nodes!$B$2:$B$91,MATCH(B173,Nodes!$A$2:$A$91,0))</f>
        <v/>
      </c>
    </row>
    <row r="174">
      <c r="A174" s="45" t="inlineStr">
        <is>
          <t>adriano</t>
        </is>
      </c>
      <c r="B174" s="45" t="inlineStr">
        <is>
          <t>orelha</t>
        </is>
      </c>
      <c r="C174" s="45" t="inlineStr">
        <is>
          <t>Ligados</t>
        </is>
      </c>
      <c r="D174" s="45" t="inlineStr">
        <is>
          <t>Documentado</t>
        </is>
      </c>
      <c r="E174" s="45">
        <f>INDEX(Nodes!$B$2:$B$91,MATCH(A174,Nodes!$A$2:$A$91,0))</f>
        <v/>
      </c>
      <c r="F174" s="45">
        <f>INDEX(Nodes!$B$2:$B$91,MATCH(B174,Nodes!$A$2:$A$91,0))</f>
        <v/>
      </c>
    </row>
    <row r="175">
      <c r="A175" s="45" t="inlineStr">
        <is>
          <t>flavio</t>
        </is>
      </c>
      <c r="B175" s="45" t="inlineStr">
        <is>
          <t>pms16</t>
        </is>
      </c>
      <c r="C175" s="45" t="inlineStr">
        <is>
          <t>Condecorou</t>
        </is>
      </c>
      <c r="D175" s="45" t="inlineStr">
        <is>
          <t>Documentado</t>
        </is>
      </c>
      <c r="E175" s="45">
        <f>INDEX(Nodes!$B$2:$B$91,MATCH(A175,Nodes!$A$2:$A$91,0))</f>
        <v/>
      </c>
      <c r="F175" s="45">
        <f>INDEX(Nodes!$B$2:$B$91,MATCH(B175,Nodes!$A$2:$A$91,0))</f>
        <v/>
      </c>
    </row>
    <row r="176">
      <c r="A176" s="45" t="inlineStr">
        <is>
          <t>carlos</t>
        </is>
      </c>
      <c r="B176" s="45" t="inlineStr">
        <is>
          <t>pms16</t>
        </is>
      </c>
      <c r="C176" s="45" t="inlineStr">
        <is>
          <t>Condecorou</t>
        </is>
      </c>
      <c r="D176" s="45" t="inlineStr">
        <is>
          <t>Documentado</t>
        </is>
      </c>
      <c r="E176" s="45">
        <f>INDEX(Nodes!$B$2:$B$91,MATCH(A176,Nodes!$A$2:$A$91,0))</f>
        <v/>
      </c>
      <c r="F176" s="45">
        <f>INDEX(Nodes!$B$2:$B$91,MATCH(B176,Nodes!$A$2:$A$91,0))</f>
        <v/>
      </c>
    </row>
    <row r="177">
      <c r="A177" s="45" t="inlineStr">
        <is>
          <t>flavio</t>
        </is>
      </c>
      <c r="B177" s="45" t="inlineStr">
        <is>
          <t>ongbrazao</t>
        </is>
      </c>
      <c r="C177" s="45" t="inlineStr">
        <is>
          <t>Emenda de R$ 199 mil (nov/2023); PF apura. Ele diz que não cabe ao parlamentar auditar o uso</t>
        </is>
      </c>
      <c r="D177" s="45" t="inlineStr">
        <is>
          <t>Alegado ou contestado</t>
        </is>
      </c>
      <c r="E177" s="45">
        <f>INDEX(Nodes!$B$2:$B$91,MATCH(A177,Nodes!$A$2:$A$91,0))</f>
        <v/>
      </c>
      <c r="F177" s="45">
        <f>INDEX(Nodes!$B$2:$B$91,MATCH(B177,Nodes!$A$2:$A$91,0))</f>
        <v/>
      </c>
    </row>
    <row r="178">
      <c r="A178" s="45" t="inlineStr">
        <is>
          <t>peixe</t>
        </is>
      </c>
      <c r="B178" s="45" t="inlineStr">
        <is>
          <t>flavio</t>
        </is>
      </c>
      <c r="C178" s="45" t="inlineStr">
        <is>
          <t>PF: intermediou a emenda com o gabinete dele (O Globo, Estadão)</t>
        </is>
      </c>
      <c r="D178" s="45" t="inlineStr">
        <is>
          <t>Alegado ou contestado</t>
        </is>
      </c>
      <c r="E178" s="45">
        <f>INDEX(Nodes!$B$2:$B$91,MATCH(A178,Nodes!$A$2:$A$91,0))</f>
        <v/>
      </c>
      <c r="F178" s="45">
        <f>INDEX(Nodes!$B$2:$B$91,MATCH(B178,Nodes!$A$2:$A$91,0))</f>
        <v/>
      </c>
    </row>
    <row r="179">
      <c r="A179" s="45" t="inlineStr">
        <is>
          <t>peixe</t>
        </is>
      </c>
      <c r="B179" s="45" t="inlineStr">
        <is>
          <t>ongbrazao</t>
        </is>
      </c>
      <c r="C179" s="45" t="inlineStr">
        <is>
          <t>Ligado ao esquema dos irmãos Brazão</t>
        </is>
      </c>
      <c r="D179" s="45" t="inlineStr">
        <is>
          <t>Alegado ou contestado</t>
        </is>
      </c>
      <c r="E179" s="45">
        <f>INDEX(Nodes!$B$2:$B$91,MATCH(A179,Nodes!$A$2:$A$91,0))</f>
        <v/>
      </c>
      <c r="F179" s="45">
        <f>INDEX(Nodes!$B$2:$B$91,MATCH(B179,Nodes!$A$2:$A$91,0))</f>
        <v/>
      </c>
    </row>
    <row r="180">
      <c r="A180" s="45" t="inlineStr">
        <is>
          <t>flavio</t>
        </is>
      </c>
      <c r="B180" s="45" t="inlineStr">
        <is>
          <t>pmacusado</t>
        </is>
      </c>
      <c r="C180" s="45" t="inlineStr">
        <is>
          <t>Advogado dele no STJ (2024); recurso reverteu a ida a júri popular (coluna no iG)</t>
        </is>
      </c>
      <c r="D180" s="45" t="inlineStr">
        <is>
          <t>Documentado</t>
        </is>
      </c>
      <c r="E180" s="45">
        <f>INDEX(Nodes!$B$2:$B$91,MATCH(A180,Nodes!$A$2:$A$91,0))</f>
        <v/>
      </c>
      <c r="F180" s="45">
        <f>INDEX(Nodes!$B$2:$B$91,MATCH(B180,Nodes!$A$2:$A$91,0))</f>
        <v/>
      </c>
    </row>
    <row r="181">
      <c r="A181" s="45" t="inlineStr">
        <is>
          <t>willer</t>
        </is>
      </c>
      <c r="B181" s="45" t="inlineStr">
        <is>
          <t>angra</t>
        </is>
      </c>
      <c r="C181" s="45" t="inlineStr">
        <is>
          <t>Obteve a posse na Justiça na disputa com Richarlison</t>
        </is>
      </c>
      <c r="D181" s="45" t="inlineStr">
        <is>
          <t>Documentado</t>
        </is>
      </c>
      <c r="E181" s="45">
        <f>INDEX(Nodes!$B$2:$B$91,MATCH(A181,Nodes!$A$2:$A$91,0))</f>
        <v/>
      </c>
      <c r="F181" s="45">
        <f>INDEX(Nodes!$B$2:$B$91,MATCH(B181,Nodes!$A$2:$A$91,0))</f>
        <v/>
      </c>
    </row>
    <row r="182">
      <c r="A182" s="45" t="inlineStr">
        <is>
          <t>jair</t>
        </is>
      </c>
      <c r="B182" s="45" t="inlineStr">
        <is>
          <t>angra</t>
        </is>
      </c>
      <c r="C182" s="45" t="inlineStr">
        <is>
          <t>Governo dele liberou em um dia a transferência do imóvel (ICL)</t>
        </is>
      </c>
      <c r="D182" s="45" t="inlineStr">
        <is>
          <t>Alegado ou contestado</t>
        </is>
      </c>
      <c r="E182" s="45">
        <f>INDEX(Nodes!$B$2:$B$91,MATCH(A182,Nodes!$A$2:$A$91,0))</f>
        <v/>
      </c>
      <c r="F182" s="45">
        <f>INDEX(Nodes!$B$2:$B$91,MATCH(B182,Nodes!$A$2:$A$91,0))</f>
        <v/>
      </c>
    </row>
    <row r="183">
      <c r="A183" s="45" t="inlineStr">
        <is>
          <t>willer</t>
        </is>
      </c>
      <c r="B183" s="45" t="inlineStr">
        <is>
          <t>cathedral</t>
        </is>
      </c>
      <c r="C183" s="45" t="inlineStr">
        <is>
          <t>Criou em jan/2023; sócio com Jorge Barbosa Dias</t>
        </is>
      </c>
      <c r="D183" s="45" t="inlineStr">
        <is>
          <t>Documentado</t>
        </is>
      </c>
      <c r="E183" s="45">
        <f>INDEX(Nodes!$B$2:$B$91,MATCH(A183,Nodes!$A$2:$A$91,0))</f>
        <v/>
      </c>
      <c r="F183" s="45">
        <f>INDEX(Nodes!$B$2:$B$91,MATCH(B183,Nodes!$A$2:$A$91,0))</f>
        <v/>
      </c>
    </row>
    <row r="184">
      <c r="A184" s="45" t="inlineStr">
        <is>
          <t>cathedral</t>
        </is>
      </c>
      <c r="B184" s="45" t="inlineStr">
        <is>
          <t>bestbet</t>
        </is>
      </c>
      <c r="C184" s="45" t="inlineStr">
        <is>
          <t>Única acionista da Rede Loto (nome fantasia Best Bet)</t>
        </is>
      </c>
      <c r="D184" s="45" t="inlineStr">
        <is>
          <t>Documentado</t>
        </is>
      </c>
      <c r="E184" s="45">
        <f>INDEX(Nodes!$B$2:$B$91,MATCH(A184,Nodes!$A$2:$A$91,0))</f>
        <v/>
      </c>
      <c r="F184" s="45">
        <f>INDEX(Nodes!$B$2:$B$91,MATCH(B184,Nodes!$A$2:$A$91,0))</f>
        <v/>
      </c>
    </row>
    <row r="185">
      <c r="A185" s="45" t="inlineStr">
        <is>
          <t>cathedral</t>
        </is>
      </c>
      <c r="B185" s="45" t="inlineStr">
        <is>
          <t>alcazar</t>
        </is>
      </c>
      <c r="C185" s="45" t="inlineStr">
        <is>
          <t>Mesmo dono, administrador e endereço no Funchal; auditor ouvido pela piauí vê possível financiamento</t>
        </is>
      </c>
      <c r="D185" s="45" t="inlineStr">
        <is>
          <t>Alegado ou contestado</t>
        </is>
      </c>
      <c r="E185" s="45">
        <f>INDEX(Nodes!$B$2:$B$91,MATCH(A185,Nodes!$A$2:$A$91,0))</f>
        <v/>
      </c>
      <c r="F185" s="45">
        <f>INDEX(Nodes!$B$2:$B$91,MATCH(B185,Nodes!$A$2:$A$91,0))</f>
        <v/>
      </c>
    </row>
    <row r="186">
      <c r="A186" s="45" t="inlineStr">
        <is>
          <t>flavio</t>
        </is>
      </c>
      <c r="B186" s="45" t="inlineStr">
        <is>
          <t>bestbet</t>
        </is>
      </c>
      <c r="C186" s="45" t="inlineStr">
        <is>
          <t>piauí/PF: possível sócio oculto, via acesso à conta da Alcazar; ele e Willer negam</t>
        </is>
      </c>
      <c r="D186" s="45" t="inlineStr">
        <is>
          <t>Alegado ou contestado</t>
        </is>
      </c>
      <c r="E186" s="45">
        <f>INDEX(Nodes!$B$2:$B$91,MATCH(A186,Nodes!$A$2:$A$91,0))</f>
        <v/>
      </c>
      <c r="F186" s="45">
        <f>INDEX(Nodes!$B$2:$B$91,MATCH(B186,Nodes!$A$2:$A$91,0))</f>
        <v/>
      </c>
    </row>
    <row r="187">
      <c r="A187" s="45" t="inlineStr">
        <is>
          <t>loterj</t>
        </is>
      </c>
      <c r="B187" s="45" t="inlineStr">
        <is>
          <t>bestbet</t>
        </is>
      </c>
      <c r="C187" s="45" t="inlineStr">
        <is>
          <t>Licença de mai/2023</t>
        </is>
      </c>
      <c r="D187" s="45" t="inlineStr">
        <is>
          <t>Documentado</t>
        </is>
      </c>
      <c r="E187" s="45">
        <f>INDEX(Nodes!$B$2:$B$91,MATCH(A187,Nodes!$A$2:$A$91,0))</f>
        <v/>
      </c>
      <c r="F187" s="45">
        <f>INDEX(Nodes!$B$2:$B$91,MATCH(B187,Nodes!$A$2:$A$91,0))</f>
        <v/>
      </c>
    </row>
    <row r="188">
      <c r="A188" s="45" t="inlineStr">
        <is>
          <t>cancado</t>
        </is>
      </c>
      <c r="B188" s="45" t="inlineStr">
        <is>
          <t>bestbet</t>
        </is>
      </c>
      <c r="C188" s="45" t="inlineStr">
        <is>
          <t>Assinou a licença como presidente da Loterj</t>
        </is>
      </c>
      <c r="D188" s="45" t="inlineStr">
        <is>
          <t>Documentado</t>
        </is>
      </c>
      <c r="E188" s="45">
        <f>INDEX(Nodes!$B$2:$B$91,MATCH(A188,Nodes!$A$2:$A$91,0))</f>
        <v/>
      </c>
      <c r="F188" s="45">
        <f>INDEX(Nodes!$B$2:$B$91,MATCH(B188,Nodes!$A$2:$A$91,0))</f>
        <v/>
      </c>
    </row>
    <row r="189">
      <c r="A189" s="45" t="inlineStr">
        <is>
          <t>flavio</t>
        </is>
      </c>
      <c r="B189" s="45" t="inlineStr">
        <is>
          <t>cancado</t>
        </is>
      </c>
      <c r="C189" s="45" t="inlineStr">
        <is>
          <t>Teria indicado à presidência da Loterj (Folha)</t>
        </is>
      </c>
      <c r="D189" s="45" t="inlineStr">
        <is>
          <t>Alegado ou contestado</t>
        </is>
      </c>
      <c r="E189" s="45">
        <f>INDEX(Nodes!$B$2:$B$91,MATCH(A189,Nodes!$A$2:$A$91,0))</f>
        <v/>
      </c>
      <c r="F189" s="45">
        <f>INDEX(Nodes!$B$2:$B$91,MATCH(B189,Nodes!$A$2:$A$91,0))</f>
        <v/>
      </c>
    </row>
    <row r="190">
      <c r="A190" s="45" t="inlineStr">
        <is>
          <t>castro</t>
        </is>
      </c>
      <c r="B190" s="45" t="inlineStr">
        <is>
          <t>loterj</t>
        </is>
      </c>
      <c r="C190" s="45" t="inlineStr">
        <is>
          <t>Loteria do governo dele; contratos de 2023</t>
        </is>
      </c>
      <c r="D190" s="45" t="inlineStr">
        <is>
          <t>Documentado</t>
        </is>
      </c>
      <c r="E190" s="45">
        <f>INDEX(Nodes!$B$2:$B$91,MATCH(A190,Nodes!$A$2:$A$91,0))</f>
        <v/>
      </c>
      <c r="F190" s="45">
        <f>INDEX(Nodes!$B$2:$B$91,MATCH(B190,Nodes!$A$2:$A$91,0))</f>
        <v/>
      </c>
    </row>
    <row r="191">
      <c r="A191" s="45" t="inlineStr">
        <is>
          <t>cathedral</t>
        </is>
      </c>
      <c r="B191" s="45" t="inlineStr">
        <is>
          <t>flavio</t>
        </is>
      </c>
      <c r="C191" s="45" t="inlineStr">
        <is>
          <t>PF: canhotos de voos Lisboa–Nice e Cascais–Nice–Paris (2025) em nome da empresa; a defesa diz que Willer pagou e que eram passeios entre famílias</t>
        </is>
      </c>
      <c r="D191" s="45" t="inlineStr">
        <is>
          <t>Alegado ou contestado</t>
        </is>
      </c>
      <c r="E191" s="45">
        <f>INDEX(Nodes!$B$2:$B$91,MATCH(A191,Nodes!$A$2:$A$91,0))</f>
        <v/>
      </c>
      <c r="F191" s="45">
        <f>INDEX(Nodes!$B$2:$B$91,MATCH(B191,Nodes!$A$2:$A$91,0))</f>
        <v/>
      </c>
    </row>
    <row r="192">
      <c r="A192" s="45" t="inlineStr">
        <is>
          <t>willer</t>
        </is>
      </c>
      <c r="B192" s="45" t="inlineStr">
        <is>
          <t>riopag</t>
        </is>
      </c>
      <c r="C192" s="45" t="inlineStr">
        <is>
          <t>E-mail achado pela PF: se apresentou como sócio; antes negava, depois admitiu participação indireta (O Globo)</t>
        </is>
      </c>
      <c r="D192" s="45" t="inlineStr">
        <is>
          <t>Documentado</t>
        </is>
      </c>
      <c r="E192" s="45">
        <f>INDEX(Nodes!$B$2:$B$91,MATCH(A192,Nodes!$A$2:$A$91,0))</f>
        <v/>
      </c>
      <c r="F192" s="45">
        <f>INDEX(Nodes!$B$2:$B$91,MATCH(B192,Nodes!$A$2:$A$91,0))</f>
        <v/>
      </c>
    </row>
    <row r="193">
      <c r="A193" s="45" t="inlineStr">
        <is>
          <t>loterj</t>
        </is>
      </c>
      <c r="B193" s="45" t="inlineStr">
        <is>
          <t>riopag</t>
        </is>
      </c>
      <c r="C193" s="45" t="inlineStr">
        <is>
          <t>Contratou em 2023; o estado rescindiu em set/2026 e cobra R$ 9,4 mi (liminar suspendeu); a empresa contesta</t>
        </is>
      </c>
      <c r="D193" s="45" t="inlineStr">
        <is>
          <t>Documentado</t>
        </is>
      </c>
      <c r="E193" s="45">
        <f>INDEX(Nodes!$B$2:$B$91,MATCH(A193,Nodes!$A$2:$A$91,0))</f>
        <v/>
      </c>
      <c r="F193" s="45">
        <f>INDEX(Nodes!$B$2:$B$91,MATCH(B193,Nodes!$A$2:$A$91,0))</f>
        <v/>
      </c>
    </row>
    <row r="194">
      <c r="A194" s="45" t="inlineStr">
        <is>
          <t>willer</t>
        </is>
      </c>
      <c r="B194" s="45" t="inlineStr">
        <is>
          <t>hangar</t>
        </is>
      </c>
      <c r="C194" s="45" t="inlineStr">
        <is>
          <t>Ocupados por duas empresas de aviação dele</t>
        </is>
      </c>
      <c r="D194" s="45" t="inlineStr">
        <is>
          <t>Documentado</t>
        </is>
      </c>
      <c r="E194" s="45">
        <f>INDEX(Nodes!$B$2:$B$91,MATCH(A194,Nodes!$A$2:$A$91,0))</f>
        <v/>
      </c>
      <c r="F194" s="45">
        <f>INDEX(Nodes!$B$2:$B$91,MATCH(B194,Nodes!$A$2:$A$91,0))</f>
        <v/>
      </c>
    </row>
    <row r="195">
      <c r="A195" s="45" t="inlineStr">
        <is>
          <t>pf</t>
        </is>
      </c>
      <c r="B195" s="45" t="inlineStr">
        <is>
          <t>hangar</t>
        </is>
      </c>
      <c r="C195" s="45" t="inlineStr">
        <is>
          <t>Busca em ago/2026: sala oculta, máquina de contar e malas vazias, sem dinheiro (Estadão); Willer nega uso irregular</t>
        </is>
      </c>
      <c r="D195" s="45" t="inlineStr">
        <is>
          <t>Alegado ou contestado</t>
        </is>
      </c>
      <c r="E195" s="45">
        <f>INDEX(Nodes!$B$2:$B$91,MATCH(A195,Nodes!$A$2:$A$91,0))</f>
        <v/>
      </c>
      <c r="F195" s="45">
        <f>INDEX(Nodes!$B$2:$B$91,MATCH(B195,Nodes!$A$2:$A$91,0))</f>
        <v/>
      </c>
    </row>
    <row r="196">
      <c r="A196" s="45" t="inlineStr">
        <is>
          <t>pf</t>
        </is>
      </c>
      <c r="B196" s="45" t="inlineStr">
        <is>
          <t>weverton</t>
        </is>
      </c>
      <c r="C196" s="45" t="inlineStr">
        <is>
          <t>Operação Sem Desconto (04/08/2026), autorizada por Mendonça</t>
        </is>
      </c>
      <c r="D196" s="45" t="inlineStr">
        <is>
          <t>Documentado</t>
        </is>
      </c>
      <c r="E196" s="45">
        <f>INDEX(Nodes!$B$2:$B$91,MATCH(A196,Nodes!$A$2:$A$91,0))</f>
        <v/>
      </c>
      <c r="F196" s="45">
        <f>INDEX(Nodes!$B$2:$B$91,MATCH(B196,Nodes!$A$2:$A$91,0))</f>
        <v/>
      </c>
    </row>
    <row r="197">
      <c r="A197" s="45" t="inlineStr">
        <is>
          <t>willer</t>
        </is>
      </c>
      <c r="B197" s="45" t="inlineStr">
        <is>
          <t>weverton</t>
        </is>
      </c>
      <c r="C197" s="45" t="inlineStr">
        <is>
          <t>PF: a estrutura dele era “hub financeiro” do senador; a mulher do senador recebeu R$ 11 mi de empresas dele. Ambos negam</t>
        </is>
      </c>
      <c r="D197" s="45" t="inlineStr">
        <is>
          <t>Alegado ou contestado</t>
        </is>
      </c>
      <c r="E197" s="45">
        <f>INDEX(Nodes!$B$2:$B$91,MATCH(A197,Nodes!$A$2:$A$91,0))</f>
        <v/>
      </c>
      <c r="F197" s="45">
        <f>INDEX(Nodes!$B$2:$B$91,MATCH(B197,Nodes!$A$2:$A$91,0))</f>
        <v/>
      </c>
    </row>
    <row r="198">
      <c r="A198" s="45" t="inlineStr">
        <is>
          <t>weverton</t>
        </is>
      </c>
      <c r="B198" s="45" t="inlineStr">
        <is>
          <t>wt</t>
        </is>
      </c>
      <c r="C198" s="45" t="inlineStr">
        <is>
          <t>PF: mora em casa de R$ 6 mi registrada na WT; Willer diz que é negócio regular da imobiliária</t>
        </is>
      </c>
      <c r="D198" s="45" t="inlineStr">
        <is>
          <t>Alegado ou contestado</t>
        </is>
      </c>
      <c r="E198" s="45">
        <f>INDEX(Nodes!$B$2:$B$91,MATCH(A198,Nodes!$A$2:$A$91,0))</f>
        <v/>
      </c>
      <c r="F198" s="45">
        <f>INDEX(Nodes!$B$2:$B$91,MATCH(B198,Nodes!$A$2:$A$91,0))</f>
        <v/>
      </c>
    </row>
  </sheetData>
  <autoFilter ref="A1:F1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24" min="1" max="1"/>
  </cols>
  <sheetData>
    <row r="1" ht="15" customHeight="1" s="25">
      <c r="A1" s="46" t="inlineStr">
        <is>
          <t>Notes</t>
        </is>
      </c>
    </row>
    <row r="2" ht="15" customHeight="1" s="25">
      <c r="A2" s="45" t="inlineStr">
        <is>
          <t>Source: transcrição do vídeo do canal Revelando (fornecida pela usuária) e reportagens citadas na conversa.</t>
        </is>
      </c>
    </row>
    <row r="3" ht="23.25" customHeight="1" s="25">
      <c r="A3" s="45" t="inlineStr">
        <is>
          <t>Status “Documentado”: o vídeo apresenta como fato ou relatório da PF/imprensa. “Alegado ou contestado”: hipótese, suspeita ou algo que o citado nega.</t>
        </is>
      </c>
    </row>
    <row r="4" ht="15" customHeight="1" s="25">
      <c r="A4" s="45" t="inlineStr">
        <is>
          <t>Todas as pessoas e empresas citadas negam ou contestam irregularidades; nada aqui é condenação.</t>
        </is>
      </c>
    </row>
    <row r="5" ht="15" customHeight="1" s="25">
      <c r="A5" s="45" t="inlineStr">
        <is>
          <t>Alguns nomes vêm de transcrição automática e podem estar grafados de forma imprecisa (ex.: Willer Tomás/Tomaz, Roberta).</t>
        </is>
      </c>
    </row>
    <row r="6" ht="15" customHeight="1" s="25">
      <c r="A6" s="45" t="inlineStr">
        <is>
          <t>“Ciro Nogueira” aparece como “Círio Nogueira” na transcrição; a identificação é inferida do contexto (Folha, 2020).</t>
        </is>
      </c>
    </row>
    <row r="7" ht="15" customHeight="1" s="25">
      <c r="A7" s="45" t="inlineStr">
        <is>
          <t>Valores monetários mensais do promoter e do diretor jurídico estão ilegíveis na transcrição e foram omitidos.</t>
        </is>
      </c>
    </row>
    <row r="8" ht="23.25" customHeight="1" s="25">
      <c r="A8" s="45" t="inlineStr">
        <is>
          <t>Não incluídos por não serem nomeados no vídeo: terceiro cotista do jato, sócio do Careca no exterior, amiga que cobrou Vorcaro, e as mulheres individualmente.</t>
        </is>
      </c>
    </row>
    <row r="9" ht="15" customHeight="1" s="25">
      <c r="A9" s="45" t="inlineStr">
        <is>
          <t>Pronto para importar em ferramentas de grafos: Nodes (Id, Label) e Edges (Source, Target) seguem o padrão do Gephi/Kumu.</t>
        </is>
      </c>
    </row>
    <row r="10" ht="15" customHeight="1" s="25">
      <c r="A10" s="45" t="inlineStr">
        <is>
          <t>Degree (Nodes) e nomes (Edges) são fórmulas; recalculam se você editar as abas.</t>
        </is>
      </c>
    </row>
    <row r="11">
      <c r="A11" s="24" t="inlineStr">
        <is>
          <t>21/10/2026: importados 26 nós, 62 conexões e 4 perfis do acervo a verdade. (https://bolsomaster.site, PDF em https://bolsomaster.site/documento-original.pdf). As fontes de cada item são as do acervo e não foram reverificadas uma a uma.</t>
        </is>
      </c>
    </row>
    <row r="12">
      <c r="A12" s="24" t="inlineStr">
        <is>
          <t>Na importação, foi marcado como “Documentado” só o que é ato público ou fato noticiado sem disputa (indicação, doação registrada, homenagem, decisão judicial, contrato público). Suspeitas, mensagens, relatórios da PF sobre condutas e afirmações de ex-sócios ficaram como “Alegado ou contestado”.</t>
        </is>
      </c>
    </row>
    <row r="13">
      <c r="A13" s="24" t="inlineStr">
        <is>
          <t>Correções do próprio acervo aplicadas: honorários de até R$ 427 mi não são recebimento pessoal de Nunes; o caso do vice Alfredo Gaspar foi arquivado; números do celular de Vorcaro (Piauí × Estadão) não se somam; contratos do ITER são dois levantamentos diferentes.</t>
        </is>
      </c>
    </row>
    <row r="14">
      <c r="A14" s="24" t="inlineStr">
        <is>
          <t>Registros do acervo deixados de fora: registro-3 (comparação retórica do PDF; o próprio acervo diz que não comprova a origem do dinheiro); registro-5 (afirmação de exclusividade não verificada pelo acervo); registro-7 (comparação de valores entre casos diferentes); registro-8 (comparação de valores entre casos diferentes); registro-22 (hipótese do PDF sobre o esquema, com fonte em vídeo); registro-27 (já no mapa (Nunes preside o TSE)); registro-41 (pessoa não identificada com clareza); registro-87 (sem pessoa ou conexão específica); registro-88 (só título de reportagem); registro-91 (projeto de lei sem ligação direta com o mapa); registro-93 (post de Nikolas Ferreira sem ligação com o mapa); registro-126 (padrinho não identificado no texto).</t>
        </is>
      </c>
    </row>
    <row r="15">
      <c r="A15" s="24" t="inlineStr">
        <is>
          <t>Checagem final (21/10/2026): 111 links testados (91 abrem; 19 bloqueiam robôs, como UOL, Intercept e Folha; 1 link da CNN quebrado foi trocado por Mais Goiás). Conferidas contra a fonte 22 matérias das conexões mais sensíveis. Corrigidos: Zettel foi o 2º doador de Jair, não o maior; o advogado morto em 2024 representava a WT, não Richarlison; a posse de Willer reconhecida pelo STJ não foi confirmada; Mendonça teve uma reunião reservada confirmada (14/03/2025), não duas; o voo de Marçal foi pago pela Prime You (R$ 1,17 mi). Respostas dos citados foram adicionadas (Flávio sobre o BRB e a emenda, Ciro, Faria, Marçal, Gaspar).</t>
        </is>
      </c>
    </row>
    <row r="16">
      <c r="A16" s="24" t="inlineStr">
        <is>
          <t>22/10/2026: rodada a partir do UOL News (Dani Lima, 21/10). Entraram só itens com reportagem escrita: Best Bet/Cathedral (piauí), voos pagos pela Cathedral (Folha), Rio Pag (O Globo), sala no hangar (Estadão) e Operação Sem Desconto (Poder360, O Povo). Ficaram de fora, sem texto publicado: a festa no hangar em 2024 com Flávio e Valdemar, as tratativas da indicação de Nunes no rancho de Willer e a origem em loja de informática em Taguatinga. O comunicado de relatores da ONU sobre a Meta, no mesmo vídeo, não tem relação com o mapa.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2026-10-20T16:05:06Z</dcterms:created>
  <dcterms:modified xmlns:dcterms="http://purl.org/dc/terms/" xmlns:xsi="http://www.w3.org/2001/XMLSchema-instance" xsi:type="dcterms:W3CDTF">2026-10-22T16:04:03Z</dcterms:modified>
  <cp:revision>0</cp:revision>
</cp:coreProperties>
</file>