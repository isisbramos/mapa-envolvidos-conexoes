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'Perfis'!$A$1:$P$35</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7</v>
                </pt>
                <pt idx="3">
                  <v>8</v>
                </pt>
                <pt idx="4">
                  <v>8</v>
                </pt>
              </numCache>
            </numRef>
          </val>
        </ser>
        <gapWidth val="150"/>
        <overlap val="0"/>
        <axId val="60663680"/>
        <axId val="27512961"/>
      </barChart>
      <catAx>
        <axId val="60663680"/>
        <scaling>
          <orientation val="minMax"/>
        </scaling>
        <delete val="0"/>
        <axPos val="b"/>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7512961"/>
        <crosses val="autoZero"/>
        <auto val="1"/>
        <lblAlgn val="ctr"/>
        <lblOffset val="100"/>
        <noMultiLvlLbl val="0"/>
      </catAx>
      <valAx>
        <axId val="27512961"/>
        <scaling>
          <orientation val="minMax"/>
        </scaling>
        <delete val="0"/>
        <axPos val="l"/>
        <majorGridlines>
          <spPr>
            <a:ln xmlns:a="http://schemas.openxmlformats.org/drawingml/2006/main" w="0">
              <a:solidFill>
                <a:srgbClr val="b3b3b3"/>
              </a:solidFill>
              <a:prstDash val="solid"/>
            </a:ln>
          </spPr>
        </majorGridlines>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663680"/>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3237480</colOff>
      <row>22</row>
      <rowOff>76320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4" min="1" max="1"/>
    <col width="10" customWidth="1" style="24" min="2" max="2"/>
    <col width="110" customWidth="1" style="24" min="3" max="3"/>
  </cols>
  <sheetData>
    <row r="1" ht="17.35" customHeight="1" s="25">
      <c r="A1" s="26" t="inlineStr">
        <is>
          <t>Mapa de envolvidos: situação jurídica por estágio</t>
        </is>
      </c>
    </row>
    <row r="2" ht="15" customHeight="1" s="25">
      <c r="A2" s="27" t="inlineStr">
        <is>
          <t>Pesquisa em fontes públicas, atualizada em 21/10/2026 (revisão 3, com o acervo a verdade.). Estágio ≠ culpa: só os "Condenado" têm decisão condenatória.</t>
        </is>
      </c>
    </row>
    <row r="4" ht="15" customHeight="1" s="25">
      <c r="A4" s="28" t="inlineStr">
        <is>
          <t>Estágio</t>
        </is>
      </c>
      <c r="B4" s="28" t="inlineStr">
        <is>
          <t>Pessoas</t>
        </is>
      </c>
      <c r="C4" s="28" t="inlineStr">
        <is>
          <t>Quem</t>
        </is>
      </c>
    </row>
    <row r="5" ht="15" customHeight="1" s="25">
      <c r="A5" s="29" t="inlineStr">
        <is>
          <t>Condenado</t>
        </is>
      </c>
      <c r="B5" s="24">
        <f>COUNTIF(Perfis!$H$2:$H$35,A5)</f>
        <v/>
      </c>
      <c r="C5" s="30" t="inlineStr">
        <is>
          <t>Jair Messias Bolsonaro; Alexandre Ramagem; Augusto Heleno</t>
        </is>
      </c>
    </row>
    <row r="6" ht="15" customHeight="1" s="25">
      <c r="A6" s="31" t="inlineStr">
        <is>
          <t>Preso, sem condenação</t>
        </is>
      </c>
      <c r="B6" s="24">
        <f>COUNTIF(Perfis!$H$2:$H$35,A6)</f>
        <v/>
      </c>
      <c r="C6" s="30" t="inlineStr">
        <is>
          <t>Antônio Carlos Camilo Antunes; Alexandre Caetano dos Reis; Daniel Vorcaro; Fabiano Campos Zettel</t>
        </is>
      </c>
    </row>
    <row r="7" ht="28.35" customHeight="1" s="25">
      <c r="A7" s="32" t="inlineStr">
        <is>
          <t>Investigado / alvo (sem denúncia)</t>
        </is>
      </c>
      <c r="B7" s="24">
        <f>COUNTIF(Perfis!$H$2:$H$35,A7)</f>
        <v/>
      </c>
      <c r="C7" s="30" t="inlineStr">
        <is>
          <t>Fábio Luís Lula da Silva; Roberta Moreira Luchsinger; Willer Tomaz; Flávio Bolsonaro; Carlos Bolsonaro; Frederick Wassef; Ciro Nogueira; Mario Frias</t>
        </is>
      </c>
    </row>
    <row r="8" ht="28.35" customHeight="1" s="25">
      <c r="A8" s="33" t="inlineStr">
        <is>
          <t>Citado, sem acusação</t>
        </is>
      </c>
      <c r="B8" s="24">
        <f>COUNTIF(Perfis!$H$2:$H$35,A8)</f>
        <v/>
      </c>
      <c r="C8" s="30" t="inlineStr">
        <is>
          <t>Letícia Caetano dos Reis; Lídia Maria Figueiredo Mazelli; Renan Calheiros; Fabrício José Carlos de Queiroz; Richarlison; Kassio Nunes Marques; Kevin Marques; Sergio Fernando Moro; André Mendonça; Fábio Faria; Alfredo Gaspar</t>
        </is>
      </c>
    </row>
    <row r="9" ht="28.35" customHeight="1" s="25">
      <c r="A9" s="34" t="inlineStr">
        <is>
          <t>Não pesquisado</t>
        </is>
      </c>
      <c r="B9" s="24">
        <f>COUNTIF(Perfis!$H$2:$H$35,A9)</f>
        <v/>
      </c>
      <c r="C9" s="30" t="inlineStr">
        <is>
          <t>Mulher e filhas de Flávio; advogadas de Flávio; diretor jurídico; promoter; mordomo; mulheres das festas; eletricista; Antônio Marcos da Silva (sem fonte pública confirmada)</t>
        </is>
      </c>
    </row>
    <row r="10" ht="15" customHeight="1" s="25">
      <c r="A10" s="35" t="inlineStr">
        <is>
          <t>Total</t>
        </is>
      </c>
      <c r="B10" s="35">
        <f>SUM(B5:B9)</f>
        <v/>
      </c>
    </row>
    <row r="28" ht="15" customHeight="1" s="25">
      <c r="A28" s="35" t="inlineStr">
        <is>
          <t>Notas de método</t>
        </is>
      </c>
    </row>
    <row r="29" ht="30" customHeight="1" s="25">
      <c r="A29" s="30" t="inlineStr">
        <is>
          <t>• Pessoas privadas, menores e não nomeadas (família de Flávio, mulheres das festas, promoter, mordomo, eletricista, advogadas, diretor jurídico) não foram pesquisadas.</t>
        </is>
      </c>
    </row>
    <row r="30" ht="30" customHeight="1" s="25">
      <c r="A30" s="30" t="inlineStr">
        <is>
          <t>• Localização é só cidade/UF noticiada, sem endereço residencial. Vivo/morto reflete as notícias mais recentes que achei; não encontrei registro de morte de ninguém.</t>
        </is>
      </c>
    </row>
    <row r="31" ht="30" customHeight="1" s="25">
      <c r="A31" s="30" t="inlineStr">
        <is>
          <t>• "Milícia": só aparece vínculo apurado no caso Queiroz (transferências de Adriano da Nóbrega). Nenhuma fonte acusa Queiroz de integrar milícia.</t>
        </is>
      </c>
    </row>
    <row r="32" ht="30" customHeight="1" s="25">
      <c r="A32" s="30" t="inlineStr">
        <is>
          <t>• Vários detalhes de 2026 vêm de manchetes ou de reportagens sem confirmação cruzada; marquei como "não confirmado" onde não consegui abrir a fonte.</t>
        </is>
      </c>
    </row>
    <row r="33" ht="30" customHeight="1" s="25">
      <c r="A33" s="30" t="inlineStr">
        <is>
          <t>• Contexto eleitoral (revisão 2): 1º turno em 04/10/2026; Flávio (47,03%) e Lula (45,16%) vão ao 2º turno em 25/10. Moro foi eleito governador do PR e Carlos, senador por SC; Renan perdeu a reeleição.</t>
        </is>
      </c>
    </row>
    <row r="34" ht="30" customHeight="1" s="25">
      <c r="A34" s="30"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3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4" min="1" max="1"/>
    <col width="26" customWidth="1" style="24" min="2" max="2"/>
    <col width="22" customWidth="1" style="24" min="3" max="3"/>
    <col width="70" customWidth="1" style="24" min="4" max="4"/>
    <col width="34" customWidth="1" style="24" min="5" max="5"/>
    <col width="22" customWidth="1" style="24" min="6" max="6"/>
    <col width="56" customWidth="1" style="24" min="7" max="7"/>
    <col width="24" customWidth="1" style="24" min="8" max="8"/>
    <col width="42" customWidth="1" style="24" min="9" max="9"/>
    <col width="44" customWidth="1" style="24" min="10" max="10"/>
    <col width="70" customWidth="1" style="24" min="11" max="11"/>
    <col width="12" customWidth="1" style="24" min="12" max="12"/>
    <col width="38" customWidth="1" style="24" min="13" max="13"/>
  </cols>
  <sheetData>
    <row r="1" ht="30" customHeight="1" s="25">
      <c r="A1" s="36" t="inlineStr">
        <is>
          <t>Id</t>
        </is>
      </c>
      <c r="B1" s="36" t="inlineStr">
        <is>
          <t>Nome</t>
        </is>
      </c>
      <c r="C1" s="36" t="inlineStr">
        <is>
          <t>Grupo</t>
        </is>
      </c>
      <c r="D1" s="36" t="inlineStr">
        <is>
          <t>Quem é / histórico</t>
        </is>
      </c>
      <c r="E1" s="36" t="inlineStr">
        <is>
          <t>Onde atua ou vive (nível cidade/UF)</t>
        </is>
      </c>
      <c r="F1" s="36" t="inlineStr">
        <is>
          <t>Vivo ou morto</t>
        </is>
      </c>
      <c r="G1" s="36" t="inlineStr">
        <is>
          <t>Situação jurídica</t>
        </is>
      </c>
      <c r="H1" s="36" t="inlineStr">
        <is>
          <t>Estágio</t>
        </is>
      </c>
      <c r="I1" s="36" t="inlineStr">
        <is>
          <t>Milícia?</t>
        </is>
      </c>
      <c r="J1" s="36" t="inlineStr">
        <is>
          <t>Divergências com a planilha / ressalvas</t>
        </is>
      </c>
      <c r="K1" s="36" t="inlineStr">
        <is>
          <t>Fontes</t>
        </is>
      </c>
      <c r="L1" s="36" t="inlineStr">
        <is>
          <t>Checado em</t>
        </is>
      </c>
      <c r="M1" s="36" t="inlineStr">
        <is>
          <t>Mudou nesta revisão</t>
        </is>
      </c>
      <c r="N1" s="24" t="inlineStr">
        <is>
          <t>Foto (arquivo)</t>
        </is>
      </c>
      <c r="O1" s="24" t="inlineStr">
        <is>
          <t>Crédito da foto</t>
        </is>
      </c>
      <c r="P1" s="24" t="inlineStr">
        <is>
          <t>Link da fonte da foto</t>
        </is>
      </c>
    </row>
    <row r="2" ht="135.8" customHeight="1" s="25">
      <c r="A2" s="37" t="inlineStr">
        <is>
          <t>careca</t>
        </is>
      </c>
      <c r="B2" s="38" t="inlineStr">
        <is>
          <t>Antônio Carlos Camilo Antunes ("Careca do INSS")</t>
        </is>
      </c>
      <c r="C2" s="37" t="inlineStr">
        <is>
          <t>Esquema do INSS</t>
        </is>
      </c>
      <c r="D2" s="37"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7" t="inlineStr">
        <is>
          <t>Complexo da Papuda, Brasília (DF), ala de vulneráveis (Bloco V) desde jan/2026</t>
        </is>
      </c>
      <c r="F2" s="37" t="inlineStr">
        <is>
          <t>Vivo (preso; confirmado em 09/09/2026)</t>
        </is>
      </c>
      <c r="G2" s="37"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39" t="inlineStr">
        <is>
          <t>Preso, sem condenação</t>
        </is>
      </c>
      <c r="I2" s="37" t="inlineStr">
        <is>
          <t>Nada nas fontes.</t>
        </is>
      </c>
      <c r="J2" s="37" t="inlineStr">
        <is>
          <t>—</t>
        </is>
      </c>
      <c r="K2" s="37"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 | Revogação da prisão do filho do Careca do INSS (iclnoticias.com.br) https://iclnoticias.com.br/andre-mendonca-revoga-prisao-do-filho-do-careca/ | Endereço e contabilidade compartilhados em Brasília (iclnoticias.com.br) https://iclnoticias.com.br/empresas-de-flavio-bolsonaro-e-careca-do-inss/</t>
        </is>
      </c>
      <c r="L2" s="37" t="inlineStr">
        <is>
          <t>20/10/2026</t>
        </is>
      </c>
      <c r="M2" s="37" t="inlineStr">
        <is>
          <t>Confirmado preso em 09/09/2026; local, idade e decisão de jan/2026 adicionados. 21/10/2026: importado do acervo a verdade. (bolsomaster.site).</t>
        </is>
      </c>
      <c r="N2" s="24" t="inlineStr">
        <is>
          <t>careca.jpg</t>
        </is>
      </c>
      <c r="O2" s="24" t="inlineStr">
        <is>
          <t>Edilson Rodrigues/Agência Senado · CC BY-SA 4.0</t>
        </is>
      </c>
      <c r="P2" s="24" t="inlineStr">
        <is>
          <t>https://commons.wikimedia.org/wiki/File:CPMI_-_INSS_-_Comissão_Parlamentar_Mista_de_Inquérito_do_INSS_-_2025_(54811232041)_(cropped).jpg</t>
        </is>
      </c>
    </row>
    <row r="3" ht="41.75" customHeight="1" s="25">
      <c r="A3" s="37" t="inlineStr">
        <is>
          <t>contador</t>
        </is>
      </c>
      <c r="B3" s="38" t="inlineStr">
        <is>
          <t>Alexandre Caetano dos Reis</t>
        </is>
      </c>
      <c r="C3" s="37" t="inlineStr">
        <is>
          <t>Esquema do INSS</t>
        </is>
      </c>
      <c r="D3" s="37" t="inlineStr">
        <is>
          <t>Contador, dono da Voga Serviços Contábeis; cuida também da contabilidade do escritório de advocacia de Flávio. Segundo reportagem, era sócio do Careca em offshore nas Ilhas Virgens Britânicas.</t>
        </is>
      </c>
      <c r="E3" s="37" t="inlineStr">
        <is>
          <t>Brasília/Águas Claras (DF) – escritório; hoje preso (Papuda, segundo Bahia Notícias)</t>
        </is>
      </c>
      <c r="F3" s="37" t="inlineStr">
        <is>
          <t>Vivo (preso)</t>
        </is>
      </c>
      <c r="G3" s="37" t="inlineStr">
        <is>
          <t>Preso em dez/2025 em desdobramento do caso INSS. Willer Tomaz tem procuração nos autos para defendê-lo. Sem condenação nas fontes.</t>
        </is>
      </c>
      <c r="H3" s="39" t="inlineStr">
        <is>
          <t>Preso, sem condenação</t>
        </is>
      </c>
      <c r="I3" s="37" t="inlineStr">
        <is>
          <t>Nada nas fontes.</t>
        </is>
      </c>
      <c r="J3" s="37" t="inlineStr">
        <is>
          <t>—</t>
        </is>
      </c>
      <c r="K3" s="37" t="inlineStr">
        <is>
          <t>Bahia Notícias https://www.bahianoticias.com.br/noticia/321055-empresas-de-flavio-bolsonaro-e-careca-do-inss-dividem-a-mesma-sala-e-possuem-o-mesmo-contador | Endereço e contabilidade compartilhados em Brasília (iclnoticias.com.br) https://iclnoticias.com.br/empresas-de-flavio-bolsonaro-e-careca-do-inss/</t>
        </is>
      </c>
      <c r="L3" s="37" t="inlineStr">
        <is>
          <t>20/10/2026</t>
        </is>
      </c>
      <c r="M3" s="37" t="inlineStr">
        <is>
          <t>21/10/2026: importado do acervo a verdade. (bolsomaster.site).</t>
        </is>
      </c>
    </row>
    <row r="4" ht="41.75" customHeight="1" s="25">
      <c r="A4" s="37" t="inlineStr">
        <is>
          <t>leticia</t>
        </is>
      </c>
      <c r="B4" s="38" t="inlineStr">
        <is>
          <t>Letícia Caetano dos Reis</t>
        </is>
      </c>
      <c r="C4" s="37" t="inlineStr">
        <is>
          <t>Esquema do INSS</t>
        </is>
      </c>
      <c r="D4" s="37" t="inlineStr">
        <is>
          <t>Irmã do contador; administra o escritório de advocacia de Flávio desde 2021. Em entrevista à Agência Pública (2022) disse que chegou ao escritório por indicação de Willer Tomaz.</t>
        </is>
      </c>
      <c r="E4" s="37" t="inlineStr">
        <is>
          <t>Brasília/Águas Claras (DF) – local do escritório</t>
        </is>
      </c>
      <c r="F4" s="37" t="inlineStr">
        <is>
          <t>Vivo (sem registro de morte)</t>
        </is>
      </c>
      <c r="G4" s="37" t="inlineStr">
        <is>
          <t>Sem prisão, acusação ou investigação formal noticiada nas fontes que li. Aparece pelo vínculo familiar e profissional.</t>
        </is>
      </c>
      <c r="H4" s="40" t="inlineStr">
        <is>
          <t>Citado, sem acusação</t>
        </is>
      </c>
      <c r="I4" s="37" t="inlineStr">
        <is>
          <t>Nada nas fontes.</t>
        </is>
      </c>
      <c r="J4" s="37" t="inlineStr">
        <is>
          <t>Pessoa privada: mantive só o papel público no caso.</t>
        </is>
      </c>
      <c r="K4" s="37" t="inlineStr">
        <is>
          <t>Bahia Notícias (link acima)</t>
        </is>
      </c>
      <c r="L4" s="37" t="inlineStr">
        <is>
          <t>20/10/2026</t>
        </is>
      </c>
      <c r="M4" s="37" t="inlineStr">
        <is>
          <t>—</t>
        </is>
      </c>
    </row>
    <row r="5" ht="82.05" customHeight="1" s="25">
      <c r="A5" s="37" t="inlineStr">
        <is>
          <t>lulinha</t>
        </is>
      </c>
      <c r="B5" s="38" t="inlineStr">
        <is>
          <t>Fábio Luís Lula da Silva ("Lulinha")</t>
        </is>
      </c>
      <c r="C5" s="37" t="inlineStr">
        <is>
          <t>Esquema do INSS</t>
        </is>
      </c>
      <c r="D5" s="37"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7" t="inlineStr">
        <is>
          <t>Não confirmado nas fontes</t>
        </is>
      </c>
      <c r="F5" s="37" t="inlineStr">
        <is>
          <t>Vivo</t>
        </is>
      </c>
      <c r="G5" s="37"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1" t="inlineStr">
        <is>
          <t>Investigado / alvo (sem denúncia)</t>
        </is>
      </c>
      <c r="I5" s="37" t="inlineStr">
        <is>
          <t>Nada nas fontes.</t>
        </is>
      </c>
      <c r="J5" s="37" t="inlineStr">
        <is>
          <t>Planilha diz "3 inquéritos no STF"; nas fontes que li aparece 1 inquérito (INSS) com citações a ele. Vale revisar esse número.</t>
        </is>
      </c>
      <c r="K5" s="37"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7" t="inlineStr">
        <is>
          <t>20/10/2026</t>
        </is>
      </c>
      <c r="M5" s="37" t="inlineStr">
        <is>
          <t>Adicionadas as falas de Roberta (17/10/2026) e a resposta da defesa.</t>
        </is>
      </c>
    </row>
    <row r="6" ht="82.05" customHeight="1" s="25">
      <c r="A6" s="37" t="inlineStr">
        <is>
          <t>roberta</t>
        </is>
      </c>
      <c r="B6" s="38" t="inlineStr">
        <is>
          <t>Roberta Moreira Luchsinger</t>
        </is>
      </c>
      <c r="C6" s="37" t="inlineStr">
        <is>
          <t>Esquema do INSS</t>
        </is>
      </c>
      <c r="D6" s="37" t="inlineStr">
        <is>
          <t>Lobista/consultora (RL Consultoria e Intermediações), amiga de Lulinha. PF diz que ela recebeu cerca de R$ 1,5 mi em parcelas do Careca via a Brasília Consultoria Empresarial, que a PF chama de empresa de fachada. Defesa: tratativas de um projeto de canabidiol, sem relação com o INSS. Depôs à PF em 20/05/2026 negando ter repassado valores a Lulinha.</t>
        </is>
      </c>
      <c r="E6" s="37" t="inlineStr">
        <is>
          <t>São Paulo (SP) – alvo de busca em Higienópolis em dez/2025</t>
        </is>
      </c>
      <c r="F6" s="37" t="inlineStr">
        <is>
          <t>Viva</t>
        </is>
      </c>
      <c r="G6" s="37"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1" t="inlineStr">
        <is>
          <t>Investigado / alvo (sem denúncia)</t>
        </is>
      </c>
      <c r="I6" s="37" t="inlineStr">
        <is>
          <t>Nada nas fontes.</t>
        </is>
      </c>
      <c r="J6" s="37" t="inlineStr">
        <is>
          <t>Planilha diz "~R$ 1 mi"; a PF fala em ordem de R$ 300 mil e ~R$ 1,5 mi no total.</t>
        </is>
      </c>
      <c r="K6" s="37" t="inlineStr">
        <is>
          <t>Poder360 (link acima) | Brasil Agro (link acima) | Gazeta do Povo (link na linha do Lulinha)</t>
        </is>
      </c>
      <c r="L6" s="37" t="inlineStr">
        <is>
          <t>20/10/2026</t>
        </is>
      </c>
      <c r="M6" s="37" t="inlineStr">
        <is>
          <t>Agora investigada por tráfico de influência e anuncia delação (17/10/2026).</t>
        </is>
      </c>
    </row>
    <row r="7" ht="122.35" customHeight="1" s="25">
      <c r="A7" s="37" t="inlineStr">
        <is>
          <t>willer</t>
        </is>
      </c>
      <c r="B7" s="38" t="inlineStr">
        <is>
          <t>Willer Tomaz</t>
        </is>
      </c>
      <c r="C7" s="37" t="inlineStr">
        <is>
          <t>Willer Tomaz e sua rede</t>
        </is>
      </c>
      <c r="D7" s="37"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t>
        </is>
      </c>
      <c r="E7" s="37" t="inlineStr">
        <is>
          <t>Brasília (DF)</t>
        </is>
      </c>
      <c r="F7" s="37" t="inlineStr">
        <is>
          <t>Vivo</t>
        </is>
      </c>
      <c r="G7" s="37" t="inlineStr">
        <is>
          <t>Investigado; nega irregularidades e fala em "pescaria probatória". Nas fontes não há denúncia nem condenação.</t>
        </is>
      </c>
      <c r="H7" s="41" t="inlineStr">
        <is>
          <t>Investigado / alvo (sem denúncia)</t>
        </is>
      </c>
      <c r="I7" s="37" t="inlineStr">
        <is>
          <t>Nada nas fontes.</t>
        </is>
      </c>
      <c r="J7" s="37" t="inlineStr">
        <is>
          <t>—</t>
        </is>
      </c>
      <c r="K7" s="37"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 | O voo no jato de Vorcaro em janeiro de 2025 (piaui.uol.com.br) https://piaui.uol.com.br/web/flavio-bolsonaro-viajou-em-jato-de-vorcaro/ | E-mails sobre vínculo bancário com Willer Tomaz (noticias.uol.com.br) https://noticias.uol.com.br/colunas/fabio-serapiao/2026/10/10/flavio-dividia-conta-com-suspeito-de-lavar-dinheiro-do-inss-indicam-emails.htm | A disputa pelo imóvel comprado por Richarlison (iclnoticias.com.br) https://iclnoticias.com.br/advogado-defendia-amigo-de-flavio-bolsonaro/ | A disputa pelo imóvel comprado por Richarlison (iclnoticias.com.br) https://iclnoticias.com.br/pf-e-acionada-flavio-bolsonaro-richarlisson/</t>
        </is>
      </c>
      <c r="L7" s="37" t="inlineStr">
        <is>
          <t>20/10/2026</t>
        </is>
      </c>
      <c r="M7" s="37" t="inlineStr">
        <is>
          <t>Data de entrada no STF (08/10/2026), valores e confirmação da busca de ago/2026. 21/10/2026: importado do acervo a verdade. (bolsomaster.site).</t>
        </is>
      </c>
      <c r="N7" s="24" t="inlineStr">
        <is>
          <t>willer.jpg</t>
        </is>
      </c>
      <c r="O7" s="24" t="inlineStr">
        <is>
          <t>Agência Senado · CC BY 2.0</t>
        </is>
      </c>
      <c r="P7" s="24" t="inlineStr">
        <is>
          <t>https://commons.wikimedia.org/wiki/File:Willer_Tomaz_de_Souza.jpg</t>
        </is>
      </c>
    </row>
    <row r="8" ht="82.05" customHeight="1" s="25">
      <c r="A8" s="37" t="inlineStr">
        <is>
          <t>lidia</t>
        </is>
      </c>
      <c r="B8" s="38" t="inlineStr">
        <is>
          <t>Lídia Maria Figueiredo Mazelli</t>
        </is>
      </c>
      <c r="C8" s="37" t="inlineStr">
        <is>
          <t>Willer Tomaz e sua rede</t>
        </is>
      </c>
      <c r="D8" s="37" t="inlineStr">
        <is>
          <t>61 anos.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7" t="inlineStr">
        <is>
          <t>Não informado</t>
        </is>
      </c>
      <c r="F8" s="37" t="inlineStr">
        <is>
          <t>Viva</t>
        </is>
      </c>
      <c r="G8" s="37" t="inlineStr">
        <is>
          <t>A reportagem não a acusa nem a apresenta como investigada; ela diz não ser investigada. Suspeitas recaem sobre Willer e as empresas (ex.: Loterj acusa a RioPag de não repassar R$ 20,9 mi ao estado).</t>
        </is>
      </c>
      <c r="H8" s="40" t="inlineStr">
        <is>
          <t>Citado, sem acusação</t>
        </is>
      </c>
      <c r="I8" s="37" t="inlineStr">
        <is>
          <t>Nada nas fontes.</t>
        </is>
      </c>
      <c r="J8" s="37" t="inlineStr">
        <is>
          <t>Planilha diz "diz ser doméstica": ela depois desmentiu isso. Hipótese de "laranja" é da reportagem, não está comprovada.</t>
        </is>
      </c>
      <c r="K8" s="37" t="inlineStr">
        <is>
          <t>ICL Notícias https://iclnoticias.com.br/domestica-preside-empresas-fraude-flavio/</t>
        </is>
      </c>
      <c r="L8" s="37" t="inlineStr">
        <is>
          <t>20/10/2026</t>
        </is>
      </c>
      <c r="M8" s="37" t="inlineStr">
        <is>
          <t>—</t>
        </is>
      </c>
    </row>
    <row r="9" ht="95.5" customHeight="1" s="25">
      <c r="A9" s="37" t="inlineStr">
        <is>
          <t>renan</t>
        </is>
      </c>
      <c r="B9" s="38" t="inlineStr">
        <is>
          <t>Renan Calheiros</t>
        </is>
      </c>
      <c r="C9" s="37" t="inlineStr">
        <is>
          <t>Willer Tomaz e sua rede</t>
        </is>
      </c>
      <c r="D9" s="37"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7" t="inlineStr">
        <is>
          <t>Alagoas (AL)</t>
        </is>
      </c>
      <c r="F9" s="37" t="inlineStr">
        <is>
          <t>Vivo</t>
        </is>
      </c>
      <c r="G9" s="37" t="inlineStr">
        <is>
          <t>Sem condenação nas fontes; inquérito Postalis com status não confirmado. Resultado eleitoral baseado nos títulos de Poder360 e O Tempo (o corpo da matéria não abriu).</t>
        </is>
      </c>
      <c r="H9" s="40" t="inlineStr">
        <is>
          <t>Citado, sem acusação</t>
        </is>
      </c>
      <c r="I9" s="37" t="inlineStr">
        <is>
          <t>Nada nas fontes.</t>
        </is>
      </c>
      <c r="J9" s="37" t="inlineStr">
        <is>
          <t>Não achei notícia de 2026 sobre os inquéritos; só sobre a eleição.</t>
        </is>
      </c>
      <c r="K9" s="37"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7" t="inlineStr">
        <is>
          <t>20/10/2026</t>
        </is>
      </c>
      <c r="M9" s="37" t="inlineStr">
        <is>
          <t>Perdeu a reeleição em 04/10/2026.</t>
        </is>
      </c>
      <c r="N9" s="24" t="inlineStr">
        <is>
          <t>renan.jpg</t>
        </is>
      </c>
      <c r="O9" s="24" t="inlineStr">
        <is>
          <t>Agência Senado · uso livre</t>
        </is>
      </c>
      <c r="P9" s="24" t="inlineStr">
        <is>
          <t>https://commons.wikimedia.org/wiki/File:Senador_Renan_Calheiros_MDB_-_AL.jpg</t>
        </is>
      </c>
    </row>
    <row r="10" ht="162.65" customHeight="1" s="25">
      <c r="A10" s="37" t="inlineStr">
        <is>
          <t>flavio</t>
        </is>
      </c>
      <c r="B10" s="38" t="inlineStr">
        <is>
          <t>Flávio Bolsonaro</t>
        </is>
      </c>
      <c r="C10" s="37" t="inlineStr">
        <is>
          <t>Flávio e família</t>
        </is>
      </c>
      <c r="D10" s="37" t="inlineStr">
        <is>
          <t>Nascido em 30/04/1981, Resende (RJ). Advogado e empresário; deputado estadual desde 2003, senador pelo RJ desde 2019. Candidato do PL à Presidência: no 1º turno (04/10/2026) teve 47,03% dos votos válidos contra 45,16% de Lula; o 2º turno é em 25/10/2026.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t>
        </is>
      </c>
      <c r="E10" s="37" t="inlineStr">
        <is>
          <t>RJ (base eleitoral); mandato em Brasília</t>
        </is>
      </c>
      <c r="F10" s="37" t="inlineStr">
        <is>
          <t>Vivo</t>
        </is>
      </c>
      <c r="G10" s="37" t="inlineStr">
        <is>
          <t>Nega: chama o 2º inquérito de politicamente motivado e a relação com Willer de amizade entre famílias; diz que o filme foi patrocínio. Sem denúncia nova nem condenação.</t>
        </is>
      </c>
      <c r="H10" s="41" t="inlineStr">
        <is>
          <t>Investigado / alvo (sem denúncia)</t>
        </is>
      </c>
      <c r="I10" s="37" t="inlineStr">
        <is>
          <t>Sem acusação de milícia. Mãe e ex-esposa de Adriano da Nóbrega (miliciano) constavam como funcionárias do gabinete dele; Flávio atribuiu as contratações a Queiroz.</t>
        </is>
      </c>
      <c r="J10" s="37" t="inlineStr">
        <is>
          <t>Acervo a verdade.: Aos Fatos contou ao menos 43 declarações falsas dele sobre a relação com Vorcaro. Os números do celular variam por fonte (Piauí: 11 meses e 110 registros; Estadão: 3 meses e 6 encontros) e não devem ser somados. Os R$ 134 mi negociados e ≥ R$ 61 mi repassados foram para o filme, o que não comprova recebimento pessoal.</t>
        </is>
      </c>
      <c r="K10" s="37"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 | A investigação sobre o financiamento de Dark Horse (bbc.com) https://www.bbc.com/portuguese/articles/c4g5ky0r25jo | A investigação sobre o financiamento de Dark Horse (em.com.br) https://www.em.com.br/politica/2026/09/7498387-flavio-bolsonaro-vira-investigado-do-dark-horse-que-segue-sob-sigilo.html | O acordo de R$ 134 milhões para o filme (intercept.com.br) https://www.intercept.com.br/2026/05/13/audio-flavio-negociou-vorcaro-milhoes/ | A checagem de declarações sobre Vorcaro (aosfatos.org) https://www.aosfatos.org/noticias/flavio-mentiu-ao-menos-43-vezes-sobre-envolvimento-com-vorcaro/ | Os registros de contato no celular do banqueiro (piaui.uol.com.br) https://piaui.uol.com.br/web/mensagens-celular-flavio-vorcaro/ | As menções a encontros presenciais (estadao.com.br) https://www.estadao.com.br/politica/celular-de-vorcaro-tinha-tres-meses-de-conversa-com-flavio-bolsonaro-e-mencao-a-seis-encontros/ | O voo no jato de Vorcaro em janeiro de 2025 (piaui.uol.com.br) https://piaui.uol.com.br/web/flavio-bolsonaro-viajou-em-jato-de-vorcaro/ | O apartamento de Fabiano Zettel e Willer Tomaz (piaui.uol.com.br) https://piaui.uol.com.br/web/flavio-bolsonaro-zettel-tomaz-imovel-vila-nova-conceicao-sao-paulo/ | O aniversário em uma mansão gerida por empresa de Vorcaro (iclnoticias.com.br) https://iclnoticias.com.br/flavio-bolsonaro-aniversario-da-filha-em-mansao/ | E-mails sobre vínculo bancário com Willer Tomaz (noticias.uol.com.br) https://noticias.uol.com.br/colunas/fabio-serapiao/2026/10/10/flavio-dividia-conta-com-suspeito-de-lavar-dinheiro-do-inss-indicam-emails.htm | Endereço e contabilidade compartilhados em Brasília (iclnoticias.com.br) https://iclnoticias.com.br/empresas-de-flavio-bolsonaro-e-careca-do-inss/ | Cargo na Câmara, faculdade e estágio no Rio (bbc.com) https://www.bbc.com/portuguese/brasil-46828487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A investigação da loja Kopenhagen (oglobo.globo.com) https://oglobo.globo.com/politica/alvo-de-investigacao-das-rachadinhas-loja-de-flavio-bolsonaro-no-rio-vendida-1-24867874 | Imóveis comprados pela família e investigações (g1.globo.com) https://g1.globo.com/jornal-nacional/noticia/2022/08/31/reportagem-do-uol-revela-que-51-imoveis-comprados-pela-familia-bolsonaro-foram-pagos-em-dinheiro-vivo.ghtml | Imóveis comprados pela família e investigações (noticias.uol.com.br) https://noticias.uol.com.br/politica/ultimas-noticias/2022/08/30/imoveis-cla-bolsonaro-objeto-de-investigacao-suspeita-dinheiro-vivo.htm | Imóveis comprados pela família e investigações (estadao.com.br) https://www.estadao.com.br/politica/investigacao-sobre-flaviobolsonaro-alcanca-37-imoveis/ | A compra e a quitação da mansão em Brasília (oglobo.globo.com) https://oglobo.globo.com/politica/eleicoes-2026/noticia/2026/08/14/video-mansao-que-fez-patrimonio-de-flavio-disparar-fica-em-terreno-de-2400-m-e-foi-quitada-27-anos-antes-do-previsto.ghtml | A análise do MPF sobre 37 transações imobiliárias (cnnbrasil.com.br) https://www.maisgoias.com.br/politica/procurador-aponta-fortes-indicios-de-lavagem-de-dinheiro-em-bens-de-flavio-bolsonaro/ | A acusação do MP-RJ sobre organização criminosa (g1.globo.com) https://g1.globo.com/rj/rio-de-janeiro/noticia/2019/12/19/mp-do-rj-detalha-suposto-esquema-de-corrupcao-envolvendo-entao-deputado-flavio-bolsonaro.ghtml?utm_source=twitter&amp;utm_medium=social&amp;utm_campaign=g1 | Destinação de emendas e entidades questionadas (revistaforum.com.br) https://revistaforum.com.br/politica/flavio-bolsonaro-emendas-ong-fantasma-e-instituto-de-miliciano/</t>
        </is>
      </c>
      <c r="L10" s="37" t="inlineStr">
        <is>
          <t>20/10/2026</t>
        </is>
      </c>
      <c r="M10" s="37" t="inlineStr">
        <is>
          <t>Resultado do 1º turno; 2º inquérito no STF; Operação Make Up; visitas ao pai liberadas. 21/10/2026: importado do acervo a verdade. (bolsomaster.site).</t>
        </is>
      </c>
      <c r="N10" s="24" t="inlineStr">
        <is>
          <t>flavio.jpg</t>
        </is>
      </c>
      <c r="O10" s="24" t="inlineStr">
        <is>
          <t>Agência Senado · uso livre</t>
        </is>
      </c>
      <c r="P10" s="24" t="inlineStr">
        <is>
          <t>https://commons.wikimedia.org/wiki/File:Foto_oficial_do_senador_Flávio_Bolsonaro_(v._AgSen)_(3x4).jpg</t>
        </is>
      </c>
    </row>
    <row r="11" ht="28.35" customHeight="1" s="25">
      <c r="A11" s="37" t="inlineStr">
        <is>
          <t>fam</t>
        </is>
      </c>
      <c r="B11" s="38" t="inlineStr">
        <is>
          <t>Mulher e filhas de Flávio</t>
        </is>
      </c>
      <c r="C11" s="37" t="inlineStr">
        <is>
          <t>Flávio e família</t>
        </is>
      </c>
      <c r="D11" s="37" t="inlineStr">
        <is>
          <t>Não pesquisei. Inclui menores de idade e aparecem na planilha só como passageiras do jato em jan/2025.</t>
        </is>
      </c>
      <c r="E11" s="37" t="inlineStr">
        <is>
          <t>—</t>
        </is>
      </c>
      <c r="F11" s="37" t="inlineStr">
        <is>
          <t>—</t>
        </is>
      </c>
      <c r="G11" s="37" t="inlineStr">
        <is>
          <t>—</t>
        </is>
      </c>
      <c r="H11" s="42" t="inlineStr">
        <is>
          <t>Não pesquisado</t>
        </is>
      </c>
      <c r="I11" s="37" t="inlineStr">
        <is>
          <t>—</t>
        </is>
      </c>
      <c r="J11" s="37" t="inlineStr">
        <is>
          <t>Decisão deliberada: sem papel público no caso.</t>
        </is>
      </c>
      <c r="K11" s="37" t="inlineStr">
        <is>
          <t>—</t>
        </is>
      </c>
      <c r="L11" s="37" t="inlineStr">
        <is>
          <t>20/10/2026</t>
        </is>
      </c>
      <c r="M11" s="37" t="inlineStr">
        <is>
          <t>—</t>
        </is>
      </c>
    </row>
    <row r="12" ht="82.05" customHeight="1" s="25">
      <c r="A12" s="37" t="inlineStr">
        <is>
          <t>carlos</t>
        </is>
      </c>
      <c r="B12" s="38" t="inlineStr">
        <is>
          <t>Carlos Bolsonaro</t>
        </is>
      </c>
      <c r="C12" s="37" t="inlineStr">
        <is>
          <t>Flávio e família</t>
        </is>
      </c>
      <c r="D12" s="37"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7" t="inlineStr">
        <is>
          <t>Santa Catarina (SC), senador eleito; antes, vereador no Rio (RJ)</t>
        </is>
      </c>
      <c r="F12" s="37" t="inlineStr">
        <is>
          <t>Vivo</t>
        </is>
      </c>
      <c r="G12" s="37" t="inlineStr">
        <is>
          <t>Sem condenação nas fontes que li. Depoimento de porteiro que o ligava ao caso Marielle foi retratado, sem acusação formal a ele.</t>
        </is>
      </c>
      <c r="H12" s="41" t="inlineStr">
        <is>
          <t>Investigado / alvo (sem denúncia)</t>
        </is>
      </c>
      <c r="I12" s="37" t="inlineStr">
        <is>
          <t>Sem acusação de milícia.</t>
        </is>
      </c>
      <c r="J12" s="37" t="inlineStr">
        <is>
          <t>Eleição baseada em página que reproduz dados do TSE; não achei a matéria de apuração.</t>
        </is>
      </c>
      <c r="K12" s="37" t="inlineStr">
        <is>
          <t>Wikipedia https://pt.wikipedia.org/wiki/Carlos_Bolsonaro | HubPolítico https://hubpolitico.com.br/perfil/carlosbolsonaro2/informacoes | Condecorações a 16 policiais denunciados (noticias.uol.com.br) https://noticias.uol.com.br/colunas/juliana-dal-piva/2022/09/23/cla-bolsonaro-condecorou-16-pms-denunciados-em-organizacoes-criminosas.htm?cmpid=copiaecola</t>
        </is>
      </c>
      <c r="L12" s="37" t="inlineStr">
        <is>
          <t>20/10/2026</t>
        </is>
      </c>
      <c r="M12" s="37" t="inlineStr">
        <is>
          <t>Eleito senador por SC; deixou a Câmara de Vereadores. 21/10/2026: importado do acervo a verdade. (bolsomaster.site).</t>
        </is>
      </c>
      <c r="N12" s="24" t="inlineStr">
        <is>
          <t>carlos.jpg</t>
        </is>
      </c>
      <c r="O12" s="24" t="inlineStr">
        <is>
          <t>Wikimedia Commons · CC BY 2.0</t>
        </is>
      </c>
      <c r="P12" s="24" t="inlineStr">
        <is>
          <t>https://commons.wikimedia.org/wiki/File:Carlos_Bolsonaro_durante_Encontro_Brasil-Rússia_em_2022.jpg</t>
        </is>
      </c>
    </row>
    <row r="13" ht="122.35" customHeight="1" s="25">
      <c r="A13" s="37" t="inlineStr">
        <is>
          <t>jair</t>
        </is>
      </c>
      <c r="B13" s="38" t="inlineStr">
        <is>
          <t>Jair Messias Bolsonaro</t>
        </is>
      </c>
      <c r="C13" s="37" t="inlineStr">
        <is>
          <t>Flávio e família</t>
        </is>
      </c>
      <c r="D13" s="37"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7" t="inlineStr">
        <is>
          <t>Brasília (DF) – em prisão domiciliar humanitária (endereço não informado)</t>
        </is>
      </c>
      <c r="F13" s="37" t="inlineStr">
        <is>
          <t>Vivo</t>
        </is>
      </c>
      <c r="G13" s="37"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t>
        </is>
      </c>
      <c r="H13" s="43" t="inlineStr">
        <is>
          <t>Condenado</t>
        </is>
      </c>
      <c r="I13" s="37" t="inlineStr">
        <is>
          <t>Sem acusação de milícia.</t>
        </is>
      </c>
      <c r="J13" s="37" t="inlineStr">
        <is>
          <t>Planilha diz "hoje preso": desde mar/2026 cumpre em casa (domiciliar humanitária).</t>
        </is>
      </c>
      <c r="K13" s="37"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 | O áudio de Bolsonaro e Ramagem sobre Flávio (valor.globo.com) https://valor.globo.com/politica/noticia/2024/07/11/audio-mostra-bolsonaro-e-ramagem-discutindo-como-blindar-flavio-no-caso-das-rachadinhas-segundo-pf.ghtml | A fala de Bolsonaro na reunião ministerial (g1.globo.com) https://g1.globo.com/politica/noticia/2020/05/22/em-reuniao-ministerial-bolsonaro-diz-eu-nao-vou-esperar-foder-a-minha-familia-toda-assista.ghtml</t>
        </is>
      </c>
      <c r="L13" s="37" t="inlineStr">
        <is>
          <t>20/10/2026</t>
        </is>
      </c>
      <c r="M13" s="37" t="inlineStr">
        <is>
          <t>Domiciliar confirmada em 12/10/2026; motivo e visitas de Flávio. 21/10/2026: importado do acervo a verdade. (bolsomaster.site).</t>
        </is>
      </c>
      <c r="N13" s="24" t="inlineStr">
        <is>
          <t>jair.jpg</t>
        </is>
      </c>
      <c r="O13" s="24" t="inlineStr">
        <is>
          <t>Wikimedia Commons · CC BY 2.0</t>
        </is>
      </c>
      <c r="P13" s="24" t="inlineStr">
        <is>
          <t>https://commons.wikimedia.org/wiki/File:Jair_Bolsonaro_2019_Portrait_(3x4_cropped_center).jpg</t>
        </is>
      </c>
    </row>
    <row r="14" ht="95.5" customHeight="1" s="25">
      <c r="A14" s="37" t="inlineStr">
        <is>
          <t>wassef</t>
        </is>
      </c>
      <c r="B14" s="38" t="inlineStr">
        <is>
          <t>Frederick Wassef</t>
        </is>
      </c>
      <c r="C14" s="37" t="inlineStr">
        <is>
          <t>Flávio e família</t>
        </is>
      </c>
      <c r="D14" s="37"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7" t="inlineStr">
        <is>
          <t>São Paulo (SP) – não confirmei domicílio atual</t>
        </is>
      </c>
      <c r="F14" s="37" t="inlineStr">
        <is>
          <t>Vivo</t>
        </is>
      </c>
      <c r="G14" s="37" t="inlineStr">
        <is>
          <t>Indiciado pela PF no inquérito das joias e alvo formal de nova apuração sigilosa. Sem denúncia nem condenação noticiada.</t>
        </is>
      </c>
      <c r="H14" s="41" t="inlineStr">
        <is>
          <t>Investigado / alvo (sem denúncia)</t>
        </is>
      </c>
      <c r="I14" s="37" t="inlineStr">
        <is>
          <t>Nada nas fontes. Um site cita um advogado que conecta Wassef ao defensor de Queiroz e de Adriano (não verifiquei).</t>
        </is>
      </c>
      <c r="J14" s="37" t="inlineStr">
        <is>
          <t>Não confirmei a resposta da PGR após julho.</t>
        </is>
      </c>
      <c r="K14" s="37"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7" t="inlineStr">
        <is>
          <t>20/10/2026</t>
        </is>
      </c>
      <c r="M14" s="37" t="inlineStr">
        <is>
          <t>Indiciamento confirmado e nova apuração sigilosa (30/06/2026).</t>
        </is>
      </c>
      <c r="N14" s="24" t="inlineStr">
        <is>
          <t>wassef.jpg</t>
        </is>
      </c>
      <c r="O14" s="24" t="inlineStr">
        <is>
          <t>Agência Senado · CC BY 2.0</t>
        </is>
      </c>
      <c r="P14" s="24" t="inlineStr">
        <is>
          <t>https://commons.wikimedia.org/wiki/File:Frederick_Wassef_(cropped).jpg</t>
        </is>
      </c>
    </row>
    <row r="15" ht="135.8" customHeight="1" s="25">
      <c r="A15" s="37" t="inlineStr">
        <is>
          <t>queiroz</t>
        </is>
      </c>
      <c r="B15" s="38" t="inlineStr">
        <is>
          <t>Fabrício José Carlos de Queiroz</t>
        </is>
      </c>
      <c r="C15" s="37" t="inlineStr">
        <is>
          <t>Flávio e família</t>
        </is>
      </c>
      <c r="D15" s="37"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7" t="inlineStr">
        <is>
          <t>Saquarema (RJ)</t>
        </is>
      </c>
      <c r="F15" s="37" t="inlineStr">
        <is>
          <t>Vivo (ativo em set/2026)</t>
        </is>
      </c>
      <c r="G15" s="37" t="inlineStr">
        <is>
          <t>Sem condenação. Hoje sem processo ativo nas fontes que li.</t>
        </is>
      </c>
      <c r="H15" s="40" t="inlineStr">
        <is>
          <t>Citado, sem acusação</t>
        </is>
      </c>
      <c r="I15" s="37" t="inlineStr">
        <is>
          <t>MP-RJ estimou que Adriano da Nóbrega (chefe do Escritório do Crime, miliciano, morto em fev/2020) transferiu mais de R$ 400 mil a contas ligadas a Queiroz. Queiroz o chama de amigo e ex-colega da PM. Nas fontes ele não é acusado de integrar milícia.</t>
        </is>
      </c>
      <c r="J15" s="37" t="inlineStr">
        <is>
          <t>Planilha diz "19 meses sem depor": não consegui verificar. Candidatura em 2026: sem registro de que tenha sido formalizada (conforme a usuária; em mar/2026 ele só cogitava).</t>
        </is>
      </c>
      <c r="K15" s="37"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Familiares de Adriano da Nóbrega no gabinete (oglobo.globo.com) https://oglobo.globo.com/politica/flavio-bolsonaro-empregou-mae-mulher-de-chefe-do-escritorio-do-crime-em-seu-gabinete-23391490</t>
        </is>
      </c>
      <c r="L15" s="37" t="inlineStr">
        <is>
          <t>20/10/2026</t>
        </is>
      </c>
      <c r="M15" s="37" t="inlineStr">
        <is>
          <t>Sem candidatura formalizada em 2026 (confirmado pela usuária); cargo público e encontro com Flávio em set/2026. 21/10/2026: importado do acervo a verdade. (bolsomaster.site).</t>
        </is>
      </c>
    </row>
    <row r="16" ht="15" customHeight="1" s="25">
      <c r="A16" s="37" t="inlineStr">
        <is>
          <t>advflavio</t>
        </is>
      </c>
      <c r="B16" s="38" t="inlineStr">
        <is>
          <t>Advogadas de Flávio (2)</t>
        </is>
      </c>
      <c r="C16" s="37" t="inlineStr">
        <is>
          <t>Flávio e família</t>
        </is>
      </c>
      <c r="D16" s="37" t="inlineStr">
        <is>
          <t>Não pesquisei: não são nomeadas na planilha e são pessoas privadas.</t>
        </is>
      </c>
      <c r="E16" s="37" t="inlineStr">
        <is>
          <t>—</t>
        </is>
      </c>
      <c r="F16" s="37" t="inlineStr">
        <is>
          <t>—</t>
        </is>
      </c>
      <c r="G16" s="37" t="inlineStr">
        <is>
          <t>—</t>
        </is>
      </c>
      <c r="H16" s="42" t="inlineStr">
        <is>
          <t>Não pesquisado</t>
        </is>
      </c>
      <c r="I16" s="37" t="inlineStr">
        <is>
          <t>—</t>
        </is>
      </c>
      <c r="J16" s="37" t="inlineStr">
        <is>
          <t>—</t>
        </is>
      </c>
      <c r="K16" s="37" t="inlineStr">
        <is>
          <t>—</t>
        </is>
      </c>
      <c r="L16" s="37" t="inlineStr">
        <is>
          <t>20/10/2026</t>
        </is>
      </c>
      <c r="M16" s="37" t="inlineStr">
        <is>
          <t>—</t>
        </is>
      </c>
    </row>
    <row r="17" ht="135.8" customHeight="1" s="25">
      <c r="A17" s="37" t="inlineStr">
        <is>
          <t>vorcaro</t>
        </is>
      </c>
      <c r="B17" s="38" t="inlineStr">
        <is>
          <t>Daniel Vorcaro</t>
        </is>
      </c>
      <c r="C17" s="37" t="inlineStr">
        <is>
          <t>Vorcaro e o Banco Master</t>
        </is>
      </c>
      <c r="D17" s="37" t="inlineStr">
        <is>
          <t>Nascido em 06/10/1983, Belo Horizonte. Administrador com MBA no Ibmec; comprou o Banco Máxima em 2018 e o renomeou Master em 2021. Banco liquidado em 18/11/2025 (rombo estimado de R$ 41 bi ao FGC). Família ligada à Igreja Batista da Lagoinha.</t>
        </is>
      </c>
      <c r="E17" s="37" t="inlineStr">
        <is>
          <t>Papudinha, Brasília (DF); vinha de Belo Horizonte (MG)</t>
        </is>
      </c>
      <c r="F17" s="37" t="inlineStr">
        <is>
          <t>Vivo</t>
        </is>
      </c>
      <c r="G17" s="37"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t>
        </is>
      </c>
      <c r="H17" s="39" t="inlineStr">
        <is>
          <t>Preso, sem condenação</t>
        </is>
      </c>
      <c r="I17" s="37" t="inlineStr">
        <is>
          <t>Nada nas fontes.</t>
        </is>
      </c>
      <c r="J17" s="37" t="inlineStr">
        <is>
          <t>—</t>
        </is>
      </c>
      <c r="K17" s="37"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 | O acordo de R$ 134 milhões para o filme (intercept.com.br) https://www.intercept.com.br/2026/05/13/audio-flavio-negociou-vorcaro-milhoes/ | Os registros de contato no celular do banqueiro (piaui.uol.com.br) https://piaui.uol.com.br/web/mensagens-celular-flavio-vorcaro/ | A visita após a soltura do banqueiro (metropoles.com) https://www.metropoles.com/colunas/igor-gadelha/flavio-bolsonaro-visitou-vorcaro-em-casa-apos-prisao | A visita na véspera do anúncio da candidatura (metropoles.com) https://www.metropoles.com/colunas/igor-gadelha/flavio-visitou-vorcaro-na-vespera-de-ser-anunciado-presidenciavel | O voo no jato de Vorcaro em janeiro de 2025 (piaui.uol.com.br) https://piaui.uol.com.br/web/flavio-bolsonaro-viajou-em-jato-de-vorcaro/ | A viagem à Flórida e os repasses para o filme (piaui.uol.com.br) https://piaui.uol.com.br/web/feriadao-flavio-vorcaro-florida-dark-horse/ | O aniversário em uma mansão gerida por empresa de Vorcaro (iclnoticias.com.br) https://iclnoticias.com.br/flavio-bolsonaro-aniversario-da-filha-em-mansao/</t>
        </is>
      </c>
      <c r="L17" s="37" t="inlineStr">
        <is>
          <t>20/10/2026</t>
        </is>
      </c>
      <c r="M17" s="37" t="inlineStr">
        <is>
          <t>Preso na Papudinha desde 25/06/2026; delações rejeitadas; situação das provas no STF. 21/10/2026: importado do acervo a verdade. (bolsomaster.site).</t>
        </is>
      </c>
      <c r="N17" s="24" t="inlineStr">
        <is>
          <t>vorcaro.jpg</t>
        </is>
      </c>
      <c r="O17" s="24" t="inlineStr">
        <is>
          <t>Márcio Gustavo Vasconcelos · CC0</t>
        </is>
      </c>
      <c r="P17" s="24" t="inlineStr">
        <is>
          <t>https://commons.wikimedia.org/wiki/File:Daniel_Vorcaro_-_2024_(cropped).jpg</t>
        </is>
      </c>
    </row>
    <row r="18" ht="82.05" customHeight="1" s="25">
      <c r="A18" s="37" t="inlineStr">
        <is>
          <t>zetel</t>
        </is>
      </c>
      <c r="B18" s="38" t="inlineStr">
        <is>
          <t>Fabiano Campos Zettel</t>
        </is>
      </c>
      <c r="C18" s="37" t="inlineStr">
        <is>
          <t>Vorcaro e o Banco Master</t>
        </is>
      </c>
      <c r="D18" s="37"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7" t="inlineStr">
        <is>
          <t>Belo Horizonte (MG) pela igreja; residência não informada</t>
        </is>
      </c>
      <c r="F18" s="37" t="inlineStr">
        <is>
          <t>Vivo (preso; confirmado em 20/10/2026)</t>
        </is>
      </c>
      <c r="G18" s="37"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39" t="inlineStr">
        <is>
          <t>Preso, sem condenação</t>
        </is>
      </c>
      <c r="I18" s="37" t="inlineStr">
        <is>
          <t>Nada nas fontes.</t>
        </is>
      </c>
      <c r="J18" s="37" t="inlineStr">
        <is>
          <t>Não achei a venda do apartamento à WT nas fontes que abri.</t>
        </is>
      </c>
      <c r="K18" s="37" t="inlineStr">
        <is>
          <t>Congresso em Foco https://www.congressoemfoco.com.br/noticia/116929/pf-prende-cunhado-de-vorcaro-suspeito-de-operar-esquema-do-master | Mateus Oliver (link na linha do Vorcaro) | Doações de Fabiano Zettel nas eleições de 2022 (cnnbrasil.com.br) https://www.cnnbrasil.com.br/politica/alvo-da-pf-doou-r-5-mi-para-campanhas-de-bolsonaro-e-tarcisio-em-2022/ | O apartamento de Fabiano Zettel e Willer Tomaz (piaui.uol.com.br) https://piaui.uol.com.br/web/flavio-bolsonaro-zettel-tomaz-imovel-vila-nova-conceicao-sao-paulo/</t>
        </is>
      </c>
      <c r="L18" s="37" t="inlineStr">
        <is>
          <t>20/10/2026</t>
        </is>
      </c>
      <c r="M18" s="37" t="inlineStr">
        <is>
          <t>Segue preso em 20/10/2026 (PGR contra soltura). 21/10/2026: importado do acervo a verdade. (bolsomaster.site).</t>
        </is>
      </c>
      <c r="N18" s="24" t="inlineStr">
        <is>
          <t>zetel.jpg</t>
        </is>
      </c>
      <c r="O18" s="24" t="inlineStr">
        <is>
          <t>Wikimedia Commons · CC BY-SA 2.0</t>
        </is>
      </c>
      <c r="P18" s="24" t="inlineStr">
        <is>
          <t>https://commons.wikimedia.org/wiki/File:Fabiano_Zettel.jpg</t>
        </is>
      </c>
    </row>
    <row r="19" ht="28.35" customHeight="1" s="25">
      <c r="A19" s="37" t="inlineStr">
        <is>
          <t>dirjur</t>
        </is>
      </c>
      <c r="B19" s="38" t="inlineStr">
        <is>
          <t>Diretor jurídico do Master</t>
        </is>
      </c>
      <c r="C19" s="37" t="inlineStr">
        <is>
          <t>Vorcaro e o Banco Master</t>
        </is>
      </c>
      <c r="D19" s="37" t="inlineStr">
        <is>
          <t>Não pesquisado: não nomeado na planilha.</t>
        </is>
      </c>
      <c r="E19" s="37" t="inlineStr">
        <is>
          <t>—</t>
        </is>
      </c>
      <c r="F19" s="37" t="inlineStr">
        <is>
          <t>—</t>
        </is>
      </c>
      <c r="G19" s="37" t="inlineStr">
        <is>
          <t>—</t>
        </is>
      </c>
      <c r="H19" s="42" t="inlineStr">
        <is>
          <t>Não pesquisado</t>
        </is>
      </c>
      <c r="I19" s="37" t="inlineStr">
        <is>
          <t>—</t>
        </is>
      </c>
      <c r="J19" s="37" t="inlineStr">
        <is>
          <t>—</t>
        </is>
      </c>
      <c r="K19" s="37" t="inlineStr">
        <is>
          <t>—</t>
        </is>
      </c>
      <c r="L19" s="37" t="inlineStr">
        <is>
          <t>20/10/2026</t>
        </is>
      </c>
      <c r="M19" s="37" t="inlineStr">
        <is>
          <t>—</t>
        </is>
      </c>
    </row>
    <row r="20" ht="28.35" customHeight="1" s="25">
      <c r="A20" s="37" t="inlineStr">
        <is>
          <t>promoter</t>
        </is>
      </c>
      <c r="B20" s="38" t="inlineStr">
        <is>
          <t>Promoter</t>
        </is>
      </c>
      <c r="C20" s="37" t="inlineStr">
        <is>
          <t>Vorcaro e o Banco Master</t>
        </is>
      </c>
      <c r="D20" s="37" t="inlineStr">
        <is>
          <t>Não pesquisado: pessoa privada e não nomeada.</t>
        </is>
      </c>
      <c r="E20" s="37" t="inlineStr">
        <is>
          <t>—</t>
        </is>
      </c>
      <c r="F20" s="37" t="inlineStr">
        <is>
          <t>—</t>
        </is>
      </c>
      <c r="G20" s="37" t="inlineStr">
        <is>
          <t>—</t>
        </is>
      </c>
      <c r="H20" s="42" t="inlineStr">
        <is>
          <t>Não pesquisado</t>
        </is>
      </c>
      <c r="I20" s="37" t="inlineStr">
        <is>
          <t>—</t>
        </is>
      </c>
      <c r="J20" s="37" t="inlineStr">
        <is>
          <t>—</t>
        </is>
      </c>
      <c r="K20" s="37" t="inlineStr">
        <is>
          <t>—</t>
        </is>
      </c>
      <c r="L20" s="37" t="inlineStr">
        <is>
          <t>20/10/2026</t>
        </is>
      </c>
      <c r="M20" s="37" t="inlineStr">
        <is>
          <t>—</t>
        </is>
      </c>
    </row>
    <row r="21" ht="28.35" customHeight="1" s="25">
      <c r="A21" s="37" t="inlineStr">
        <is>
          <t>mordomo</t>
        </is>
      </c>
      <c r="B21" s="38" t="inlineStr">
        <is>
          <t>Mordomo do triplex</t>
        </is>
      </c>
      <c r="C21" s="37" t="inlineStr">
        <is>
          <t>Vorcaro e o Banco Master</t>
        </is>
      </c>
      <c r="D21" s="37" t="inlineStr">
        <is>
          <t>Não pesquisado: pessoa privada e não nomeada.</t>
        </is>
      </c>
      <c r="E21" s="37" t="inlineStr">
        <is>
          <t>—</t>
        </is>
      </c>
      <c r="F21" s="37" t="inlineStr">
        <is>
          <t>—</t>
        </is>
      </c>
      <c r="G21" s="37" t="inlineStr">
        <is>
          <t>—</t>
        </is>
      </c>
      <c r="H21" s="42" t="inlineStr">
        <is>
          <t>Não pesquisado</t>
        </is>
      </c>
      <c r="I21" s="37" t="inlineStr">
        <is>
          <t>—</t>
        </is>
      </c>
      <c r="J21" s="37" t="inlineStr">
        <is>
          <t>—</t>
        </is>
      </c>
      <c r="K21" s="37" t="inlineStr">
        <is>
          <t>—</t>
        </is>
      </c>
      <c r="L21" s="37" t="inlineStr">
        <is>
          <t>20/10/2026</t>
        </is>
      </c>
      <c r="M21" s="37" t="inlineStr">
        <is>
          <t>—</t>
        </is>
      </c>
    </row>
    <row r="22" ht="28.35" customHeight="1" s="25">
      <c r="A22" s="37" t="inlineStr">
        <is>
          <t>mulheres</t>
        </is>
      </c>
      <c r="B22" s="38" t="inlineStr">
        <is>
          <t>Mulheres das festas</t>
        </is>
      </c>
      <c r="C22" s="37" t="inlineStr">
        <is>
          <t>Vorcaro e o Banco Master</t>
        </is>
      </c>
      <c r="D22" s="37" t="inlineStr">
        <is>
          <t>Não pesquisado: pessoas privadas, não nomeadas, incluindo uma de 19 anos. Não faz sentido (nem é seguro) montar perfil.</t>
        </is>
      </c>
      <c r="E22" s="37" t="inlineStr">
        <is>
          <t>—</t>
        </is>
      </c>
      <c r="F22" s="37" t="inlineStr">
        <is>
          <t>—</t>
        </is>
      </c>
      <c r="G22" s="37" t="inlineStr">
        <is>
          <t>—</t>
        </is>
      </c>
      <c r="H22" s="42" t="inlineStr">
        <is>
          <t>Não pesquisado</t>
        </is>
      </c>
      <c r="I22" s="37" t="inlineStr">
        <is>
          <t>—</t>
        </is>
      </c>
      <c r="J22" s="37" t="inlineStr">
        <is>
          <t>—</t>
        </is>
      </c>
      <c r="K22" s="37" t="inlineStr">
        <is>
          <t>—</t>
        </is>
      </c>
      <c r="L22" s="37" t="inlineStr">
        <is>
          <t>20/10/2026</t>
        </is>
      </c>
      <c r="M22" s="37" t="inlineStr">
        <is>
          <t>—</t>
        </is>
      </c>
    </row>
    <row r="23" ht="15" customHeight="1" s="25">
      <c r="A23" s="37" t="inlineStr">
        <is>
          <t>eletricista</t>
        </is>
      </c>
      <c r="B23" s="38" t="inlineStr">
        <is>
          <t>Eletricista</t>
        </is>
      </c>
      <c r="C23" s="37" t="inlineStr">
        <is>
          <t>Flávio e família</t>
        </is>
      </c>
      <c r="D23" s="37" t="inlineStr">
        <is>
          <t>Não pesquisado: pessoa privada e não nomeada.</t>
        </is>
      </c>
      <c r="E23" s="37" t="inlineStr">
        <is>
          <t>—</t>
        </is>
      </c>
      <c r="F23" s="37" t="inlineStr">
        <is>
          <t>—</t>
        </is>
      </c>
      <c r="G23" s="37" t="inlineStr">
        <is>
          <t>—</t>
        </is>
      </c>
      <c r="H23" s="42" t="inlineStr">
        <is>
          <t>Não pesquisado</t>
        </is>
      </c>
      <c r="I23" s="37" t="inlineStr">
        <is>
          <t>—</t>
        </is>
      </c>
      <c r="J23" s="37" t="inlineStr">
        <is>
          <t>—</t>
        </is>
      </c>
      <c r="K23" s="37" t="inlineStr">
        <is>
          <t>—</t>
        </is>
      </c>
      <c r="L23" s="37" t="inlineStr">
        <is>
          <t>20/10/2026</t>
        </is>
      </c>
      <c r="M23" s="37" t="inlineStr">
        <is>
          <t>—</t>
        </is>
      </c>
    </row>
    <row r="24" ht="68.65000000000001" customHeight="1" s="25">
      <c r="A24" s="37" t="inlineStr">
        <is>
          <t>richarlison</t>
        </is>
      </c>
      <c r="B24" s="38" t="inlineStr">
        <is>
          <t>Richarlison</t>
        </is>
      </c>
      <c r="C24" s="37" t="inlineStr">
        <is>
          <t>Casas e ativos</t>
        </is>
      </c>
      <c r="D24" s="37"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7" t="inlineStr">
        <is>
          <t>Atua no futebol; residência não pesquisada</t>
        </is>
      </c>
      <c r="F24" s="37" t="inlineStr">
        <is>
          <t>Vivo</t>
        </is>
      </c>
      <c r="G24" s="37" t="inlineStr">
        <is>
          <t>Parte lesada na disputa civil; não é investigado.</t>
        </is>
      </c>
      <c r="H24" s="40" t="inlineStr">
        <is>
          <t>Citado, sem acusação</t>
        </is>
      </c>
      <c r="I24" s="37" t="inlineStr">
        <is>
          <t>Nada nas fontes.</t>
        </is>
      </c>
      <c r="J24" s="37" t="inlineStr">
        <is>
          <t>Em jun/2026 uma advogada publicou e retirou um vídeo sobre o caso, retratando-se por imprecisões. Acervo a verdade.: o PDF diz que o advogado morto em fev/2024 no Rio era de Richarlison, mas a ICL informa que Rodrigo Crespo representava a WT, do lado de Willer (que nega que ele tenha atuado). Nada nas fontes liga Flávio ou Willer ao homicídio. O PDF diz que a mansão é gerida por empresa de Vorcaro; o mapa a registra como da WT.</t>
        </is>
      </c>
      <c r="K24" s="37" t="inlineStr">
        <is>
          <t>Poder360 https://www.poder360.com.br/justica/richarlison-briga-na-justica-com-amigo-de-flavio-bolsonaro/ | Congresso em Foco https://www.congressoemfoco.com.br/noticia/120171/disputa-por-mansao-de-r-10-mi-envolve-richarlison-e-flavio-bolsonaro | A disputa pelo imóvel comprado por Richarlison (iclnoticias.com.br) https://iclnoticias.com.br/advogado-defendia-amigo-de-flavio-bolsonaro/ | A disputa pelo imóvel comprado por Richarlison (iclnoticias.com.br) https://iclnoticias.com.br/pf-e-acionada-flavio-bolsonaro-richarlisson/ | A transferência do imóvel disputado em Angra (iclnoticias.com.br) https://iclnoticias.com.br/governo-bolsonaro-imovel-richarlison/</t>
        </is>
      </c>
      <c r="L24" s="37" t="inlineStr">
        <is>
          <t>20/10/2026</t>
        </is>
      </c>
      <c r="M24" s="37" t="inlineStr">
        <is>
          <t>21/10/2026: importado do acervo a verdade. (bolsomaster.site).</t>
        </is>
      </c>
      <c r="N24" s="24" t="inlineStr">
        <is>
          <t>richarlison.jpg</t>
        </is>
      </c>
      <c r="O24" s="24" t="inlineStr">
        <is>
          <t>ALES · CC BY 2.0</t>
        </is>
      </c>
      <c r="P24" s="24" t="inlineStr">
        <is>
          <t>https://commons.wikimedia.org/wiki/File:Richarlison_é_homenageado_na_ALES_(10.July.2019)_12_(cropped2).jpg</t>
        </is>
      </c>
    </row>
    <row r="25" ht="41.75" customHeight="1" s="25">
      <c r="A25" s="37" t="inlineStr">
        <is>
          <t>dono</t>
        </is>
      </c>
      <c r="B25" s="38" t="inlineStr">
        <is>
          <t>Antônio Marcos da Silva</t>
        </is>
      </c>
      <c r="C25" s="37" t="inlineStr">
        <is>
          <t>Casas e ativos</t>
        </is>
      </c>
      <c r="D25" s="37" t="inlineStr">
        <is>
          <t>Não consegui confirmar o nome nem o papel em fonte pública. As matérias que abri chamam o ex-possuidor apenas de "o então possuidor" e não dizem que ele ouviu Flávio chamar Willer de sócio. Pessoa privada; não aprofundei.</t>
        </is>
      </c>
      <c r="E25" s="37" t="inlineStr">
        <is>
          <t>—</t>
        </is>
      </c>
      <c r="F25" s="37" t="inlineStr">
        <is>
          <t>—</t>
        </is>
      </c>
      <c r="G25" s="37" t="inlineStr">
        <is>
          <t>—</t>
        </is>
      </c>
      <c r="H25" s="42" t="inlineStr">
        <is>
          <t>Não pesquisado</t>
        </is>
      </c>
      <c r="I25" s="37" t="inlineStr">
        <is>
          <t>—</t>
        </is>
      </c>
      <c r="J25" s="37" t="inlineStr">
        <is>
          <t>Afirmação da planilha não confirmada nas minhas fontes. Vale conferir a origem (vídeo do canal Revelando).</t>
        </is>
      </c>
      <c r="K25" s="37" t="inlineStr">
        <is>
          <t>—</t>
        </is>
      </c>
      <c r="L25" s="37" t="inlineStr">
        <is>
          <t>20/10/2026</t>
        </is>
      </c>
      <c r="M25" s="37" t="inlineStr">
        <is>
          <t>—</t>
        </is>
      </c>
    </row>
    <row r="26" ht="82.05" customHeight="1" s="25">
      <c r="A26" s="37" t="inlineStr">
        <is>
          <t>nunes</t>
        </is>
      </c>
      <c r="B26" s="38" t="inlineStr">
        <is>
          <t>Kássio Nunes Marques</t>
        </is>
      </c>
      <c r="C26" s="37" t="inlineStr">
        <is>
          <t>Poder e Justiça</t>
        </is>
      </c>
      <c r="D26" s="37"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t>
        </is>
      </c>
      <c r="E26" s="37" t="inlineStr">
        <is>
          <t>Brasília (DF)</t>
        </is>
      </c>
      <c r="F26" s="37" t="inlineStr">
        <is>
          <t>Vivo</t>
        </is>
      </c>
      <c r="G26" s="37" t="inlineStr">
        <is>
          <t>Não há processo contra ele nas fontes que li.</t>
        </is>
      </c>
      <c r="H26" s="40" t="inlineStr">
        <is>
          <t>Citado, sem acusação</t>
        </is>
      </c>
      <c r="I26" s="37" t="inlineStr">
        <is>
          <t>Nada nas fontes.</t>
        </is>
      </c>
      <c r="J26" s="37" t="inlineStr">
        <is>
          <t>Acervo a verdade.: o PDF original diz que ele “recebeu R$ 427 mi”. A CNN fala em contrato de advocacia de até R$ 427 mi, condicionado a êxito, o que não comprova recebimento pessoal. Ele nega.</t>
        </is>
      </c>
      <c r="K26" s="37"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 | O voto de Nunes Marques no caso Alcídia (noticias.uol.com.br) https://noticias.uol.com.br/colunas/a-hora/2026/10/04/kassio-se-declarou-impedido-voltou-atras-e-deu-ganho-bilionario-ao-master.htm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 | Relatos do ex-sócio sobre festas, relógio e lobby (brasildefato.com.br) https://www.brasildefato.com.br/2026/09/29/ex-socio-de-flavio-bolsonaro-cita-festas-com-garotas-de-programa-rolex-de-r-305-mil-e-lobby-com-nunes-marques-diz-site/#google_vignette</t>
        </is>
      </c>
      <c r="L26" s="37" t="inlineStr">
        <is>
          <t>20/10/2026</t>
        </is>
      </c>
      <c r="M26" s="37" t="inlineStr">
        <is>
          <t>Presidente do TSE confirmado (eleito em 14/04/2026). 21/10/2026: importado do acervo a verdade. (bolsomaster.site).</t>
        </is>
      </c>
      <c r="N26" s="24" t="inlineStr">
        <is>
          <t>nunes.jpg</t>
        </is>
      </c>
      <c r="O26" s="24" t="inlineStr">
        <is>
          <t>Secom/TSE · domínio público</t>
        </is>
      </c>
      <c r="P26" s="24" t="inlineStr">
        <is>
          <t>https://commons.wikimedia.org/wiki/File:Nunes_Marques,_February_2025_(cropped).jpg</t>
        </is>
      </c>
    </row>
    <row r="27" ht="55.2" customHeight="1" s="25">
      <c r="A27" s="37" t="inlineStr">
        <is>
          <t>kevin</t>
        </is>
      </c>
      <c r="B27" s="38" t="inlineStr">
        <is>
          <t>Kevin Marques</t>
        </is>
      </c>
      <c r="C27" s="37" t="inlineStr">
        <is>
          <t>Poder e Justiça</t>
        </is>
      </c>
      <c r="D27" s="37"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7" t="inlineStr">
        <is>
          <t>Não informado</t>
        </is>
      </c>
      <c r="F27" s="37" t="inlineStr">
        <is>
          <t>Vivo</t>
        </is>
      </c>
      <c r="G27" s="37" t="inlineStr">
        <is>
          <t>As fontes não mostram indiciamento nem denúncia.</t>
        </is>
      </c>
      <c r="H27" s="40" t="inlineStr">
        <is>
          <t>Citado, sem acusação</t>
        </is>
      </c>
      <c r="I27" s="37" t="inlineStr">
        <is>
          <t>Nada nas fontes.</t>
        </is>
      </c>
      <c r="J27" s="37" t="inlineStr">
        <is>
          <t>Planilha diz "~R$ 300 mil": as fontes trazem R$ 500 mil/mês (suspeita da PF) e R$ 281,6 mil (versão da defesa).</t>
        </is>
      </c>
      <c r="K27" s="37" t="inlineStr">
        <is>
          <t>Gazeta do Povo (link acima)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t>
        </is>
      </c>
      <c r="L27" s="37" t="inlineStr">
        <is>
          <t>20/10/2026</t>
        </is>
      </c>
      <c r="M27" s="37" t="inlineStr">
        <is>
          <t>21/10/2026: importado do acervo a verdade. (bolsomaster.site).</t>
        </is>
      </c>
    </row>
    <row r="28" ht="82.05" customHeight="1" s="25">
      <c r="A28" s="37" t="inlineStr">
        <is>
          <t>ramagem</t>
        </is>
      </c>
      <c r="B28" s="38" t="inlineStr">
        <is>
          <t>Alexandre Ramagem</t>
        </is>
      </c>
      <c r="C28" s="37" t="inlineStr">
        <is>
          <t>Poder e Justiça</t>
        </is>
      </c>
      <c r="D28" s="37"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7" t="inlineStr">
        <is>
          <t>Estados Unidos (Flórida); em 05/07/2026 estava em Nova Jersey para um jogo do Brasil. Paradeiro atual não informado</t>
        </is>
      </c>
      <c r="F28" s="37" t="inlineStr">
        <is>
          <t>Vivo</t>
        </is>
      </c>
      <c r="G28" s="37"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A CNN afirma que um processo de extradição pedido pelo Brasil tramita em paralelo.</t>
        </is>
      </c>
      <c r="H28" s="43" t="inlineStr">
        <is>
          <t>Condenado</t>
        </is>
      </c>
      <c r="I28" s="37" t="inlineStr">
        <is>
          <t>Nada nas fontes.</t>
        </is>
      </c>
      <c r="J28" s="37" t="inlineStr">
        <is>
          <t>Divergência entre fontes resolvida: a CNN (jul/2026) confirma processo de extradição; a Pública (29/09) apenas não menciona.</t>
        </is>
      </c>
      <c r="K28" s="37"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 | O áudio de Bolsonaro e Ramagem sobre Flávio (valor.globo.com) https://valor.globo.com/politica/noticia/2024/07/11/audio-mostra-bolsonaro-e-ramagem-discutindo-como-blindar-flavio-no-caso-das-rachadinhas-segundo-pf.ghtml</t>
        </is>
      </c>
      <c r="L28" s="37" t="inlineStr">
        <is>
          <t>20/10/2026</t>
        </is>
      </c>
      <c r="M28" s="37" t="inlineStr">
        <is>
          <t>Entrevista de 05/07/2026; asilo pendente; processo de extradição em paralelo. 21/10/2026: importado do acervo a verdade. (bolsomaster.site).</t>
        </is>
      </c>
      <c r="N28" s="24" t="inlineStr">
        <is>
          <t>ramagem.jpg</t>
        </is>
      </c>
      <c r="O28" s="24" t="inlineStr">
        <is>
          <t>Câmara dos Deputados · CC BY 3.0</t>
        </is>
      </c>
      <c r="P28" s="24" t="inlineStr">
        <is>
          <t>https://commons.wikimedia.org/wiki/File:Delegado_Ramagem_(PL_-_RJ)_(cropped).jpg</t>
        </is>
      </c>
    </row>
    <row r="29" ht="82.05" customHeight="1" s="25">
      <c r="A29" s="37" t="inlineStr">
        <is>
          <t>heleno</t>
        </is>
      </c>
      <c r="B29" s="38" t="inlineStr">
        <is>
          <t>Augusto Heleno</t>
        </is>
      </c>
      <c r="C29" s="37" t="inlineStr">
        <is>
          <t>Poder e Justiça</t>
        </is>
      </c>
      <c r="D29" s="37"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7" t="inlineStr">
        <is>
          <t>Brasília (DF) para atendimento médico; cidade da domiciliar não confirmada</t>
        </is>
      </c>
      <c r="F29" s="37" t="inlineStr">
        <is>
          <t>Vivo (confirmado em 16/10/2026)</t>
        </is>
      </c>
      <c r="G29" s="37"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3" t="inlineStr">
        <is>
          <t>Condenado</t>
        </is>
      </c>
      <c r="I29" s="37" t="inlineStr">
        <is>
          <t>Nada nas fontes.</t>
        </is>
      </c>
      <c r="J29" s="37" t="inlineStr">
        <is>
          <t>—</t>
        </is>
      </c>
      <c r="K29" s="37"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7" t="inlineStr">
        <is>
          <t>20/10/2026</t>
        </is>
      </c>
      <c r="M29" s="37" t="inlineStr">
        <is>
          <t>Saúde e autorizações de Moraes em 14–16/10/2026.</t>
        </is>
      </c>
      <c r="N29" s="24" t="inlineStr">
        <is>
          <t>heleno.jpg</t>
        </is>
      </c>
      <c r="O29" s="24" t="inlineStr">
        <is>
          <t>Câmara dos Deputados · CC BY 3.0</t>
        </is>
      </c>
      <c r="P29" s="24" t="inlineStr">
        <is>
          <t>https://commons.wikimedia.org/wiki/File:Augusto_Heleno_(cropped).jpg</t>
        </is>
      </c>
    </row>
    <row r="30" ht="82.05" customHeight="1" s="25">
      <c r="A30" s="37" t="inlineStr">
        <is>
          <t>moro</t>
        </is>
      </c>
      <c r="B30" s="38" t="inlineStr">
        <is>
          <t>Sérgio Fernando Moro</t>
        </is>
      </c>
      <c r="C30" s="37" t="inlineStr">
        <is>
          <t>Poder e Justiça</t>
        </is>
      </c>
      <c r="D30" s="37"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7" t="inlineStr">
        <is>
          <t>Curitiba/Paraná (PR), governador eleito</t>
        </is>
      </c>
      <c r="F30" s="37" t="inlineStr">
        <is>
          <t>Vivo</t>
        </is>
      </c>
      <c r="G30" s="37" t="inlineStr">
        <is>
          <t>Sem condenação criminal nas fontes que li.</t>
        </is>
      </c>
      <c r="H30" s="40" t="inlineStr">
        <is>
          <t>Citado, sem acusação</t>
        </is>
      </c>
      <c r="I30" s="37" t="inlineStr">
        <is>
          <t>Nada nas fontes.</t>
        </is>
      </c>
      <c r="J30" s="37" t="inlineStr">
        <is>
          <t>—</t>
        </is>
      </c>
      <c r="K30" s="37"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 | A saída de Moro e a acusação de interferência na PF (g1.globo.com) https://g1.globo.com/politica/noticia/2020/04/24/moro-anuncia-demissao-do-ministerio-da-justica-e-deixa-o-governo-bolsonaro.ghtml</t>
        </is>
      </c>
      <c r="L30" s="37" t="inlineStr">
        <is>
          <t>20/10/2026</t>
        </is>
      </c>
      <c r="M30" s="37" t="inlineStr">
        <is>
          <t>Eleito governador do Paraná no 1º turno (04/10/2026). 21/10/2026: importado do acervo a verdade. (bolsomaster.site).</t>
        </is>
      </c>
      <c r="N30" s="24" t="inlineStr">
        <is>
          <t>moro.jpg</t>
        </is>
      </c>
      <c r="O30" s="24" t="inlineStr">
        <is>
          <t>Domínio público</t>
        </is>
      </c>
      <c r="P30" s="24" t="inlineStr">
        <is>
          <t>https://commons.wikimedia.org/wiki/File:Senador_da_República_Sérgio_Moro.jpg</t>
        </is>
      </c>
    </row>
    <row r="31" ht="68.65000000000001" customHeight="1" s="25">
      <c r="A31" s="37" t="inlineStr">
        <is>
          <t>ciro</t>
        </is>
      </c>
      <c r="B31" s="38" t="inlineStr">
        <is>
          <t>Ciro Nogueira</t>
        </is>
      </c>
      <c r="C31" s="37" t="inlineStr">
        <is>
          <t>Poder e Justiça</t>
        </is>
      </c>
      <c r="D31" s="37" t="inlineStr">
        <is>
          <t>Senador (PP-PI) e presidente nacional do Progressistas.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7" t="inlineStr">
        <is>
          <t>Piauí (PI); mandato em Brasília</t>
        </is>
      </c>
      <c r="F31" s="37" t="inlineStr">
        <is>
          <t>Vivo</t>
        </is>
      </c>
      <c r="G31" s="37" t="inlineStr">
        <is>
          <t>Alvo de operação, sem denúncia. A defesa nega qualquer participação em atividades ilícitas.</t>
        </is>
      </c>
      <c r="H31" s="41" t="inlineStr">
        <is>
          <t>Investigado / alvo (sem denúncia)</t>
        </is>
      </c>
      <c r="I31" s="37" t="inlineStr">
        <is>
          <t>Nada nas fontes.</t>
        </is>
      </c>
      <c r="J31" s="37" t="inlineStr">
        <is>
          <t>Identificação confirmada: o "Círio Nogueira" da transcrição é o senador Ciro Nogueira, investigado no caso Master (busca em 07/05/2026). A aba Notes original ainda diz "inferida".</t>
        </is>
      </c>
      <c r="K31" s="37" t="inlineStr">
        <is>
          <t>Correio da Manhã 07/05/2026 https://www.correiodamanha.com.br/politica/2026/05/283952-ciro-nogueira-receberia-mesada-do-master-diz-investigacao.html | Wikipedia (Banco Master scandal) https://en.wikipedia.org/wiki/Banco_Master_scandal | Supostos pagamentos mensais a Ciro Nogueira (agenciabrasil.ebc.com.br) https://agenciabrasil.ebc.com.br/justica/noticia/2026-05/mesada-e-viagens-internacionais-veja-o-que-pf-diz-sobre-ciro-nogueira | Viagens de Ciro e a suspeita de contrapartida política (g1.globo.com) https://g1.globo.com/jornal-nacional/noticia/2026/05/08/pf-suspeita-que-vorcaro-pagou-ao-menos-3-viagens-internacionais-do-senador-ciro-nogueira-do-pp.ghtml | Ciro na Operação Compliance Zero (agenciabrasil.ebc.com.br) https://agenciabrasil.ebc.com.br/justica/noticia/2026-05/policia-federal-deflagra-5a-fase-da-operacao-compliance-zero | Imagens de Ciro e Vorcaro nos Alpes (cnnbrasil.com.br) https://www.cnnbrasil.com.br/blogs/debora-bergamasco/politica/imagens-obtidas-pela-pf-mostram-ciro-nogueira-e-vorcaro-nos-alpes-franceses/ | O custeio da viagem a Courchevel (piaui.uol.com.br) https://piaui.uol.com.br/web/ciro-nogueira-daniel-vorcaro-alpes-franceses-imagens/</t>
        </is>
      </c>
      <c r="L31" s="37" t="inlineStr">
        <is>
          <t>20/10/2026</t>
        </is>
      </c>
      <c r="M31" s="37" t="inlineStr">
        <is>
          <t>Identificação tratada como confirmada (antes: inferida); busca em 07/05/2026. 21/10/2026: importado do acervo a verdade. (bolsomaster.site).</t>
        </is>
      </c>
      <c r="N31" s="24" t="inlineStr">
        <is>
          <t>ciro.jpg</t>
        </is>
      </c>
      <c r="O31" s="24" t="inlineStr">
        <is>
          <t>Wikimedia Commons · CC BY-SA 4.0</t>
        </is>
      </c>
      <c r="P31" s="24" t="inlineStr">
        <is>
          <t>https://commons.wikimedia.org/wiki/File:Senador739.jpg</t>
        </is>
      </c>
    </row>
    <row r="32">
      <c r="A32" s="37" t="inlineStr">
        <is>
          <t>mendonca</t>
        </is>
      </c>
      <c r="B32" s="38" t="inlineStr">
        <is>
          <t>André Mendonça</t>
        </is>
      </c>
      <c r="C32" s="37" t="inlineStr">
        <is>
          <t>Poder e Justiça</t>
        </is>
      </c>
      <c r="D32" s="37" t="inlineStr">
        <is>
          <t>Ministro do STF indicado por Jair Bolsonaro; ex-AGU e ex-ministro da Justiça. Relator do caso Master desde fev/2026, um mês após o instituto que fundou (ITER) receber R$ 5,2 mi de empresa de sócio de Vorcaro. Mensagens mostram o advogado de Vorcaro articulando encontros com ele em fev e mar/2025. Em set/2026 afastou o diretor-geral da PF e revogou a prisão do filho do Careca do INSS.</t>
        </is>
      </c>
      <c r="E32" s="37" t="inlineStr">
        <is>
          <t>Brasília (DF)</t>
        </is>
      </c>
      <c r="F32" s="37" t="inlineStr">
        <is>
          <t>Vivo</t>
        </is>
      </c>
      <c r="G32" s="37" t="inlineStr">
        <is>
          <t>Não há processo contra ele nas fontes do acervo.</t>
        </is>
      </c>
      <c r="H32" s="39" t="inlineStr">
        <is>
          <t>Citado, sem acusação</t>
        </is>
      </c>
      <c r="I32" s="37" t="inlineStr">
        <is>
          <t>Nada nas fontes.</t>
        </is>
      </c>
      <c r="J32" s="37" t="inlineStr">
        <is>
          <t>Dados do acervo a verdade.; fontes não reverificadas uma a uma. Os levantamentos de contratos do ITER (52 contratos e R$ 8,2 mi; 55 contratos e R$ 10,8 mi) são recortes diferentes e não se somam.</t>
        </is>
      </c>
      <c r="K32" s="37" t="inlineStr">
        <is>
          <t>A visita à alfaiataria com o advogado de Vorcaro (iclnoticias.com.br) https://iclnoticias.com.br/vaza-mendonca-mensagens-e-audios-ineditos/ | Encomendas, recibos e pagamentos na alfaiataria (oglobo.globo.com) https://oglobo.globo.com/politica/noticia/2026/09/03/alfaiataria-visitada-por-mendonca-e-advogado-de-vorcaro-nao-esclarece-encomenda-nem-mostra-recibos-ternos-sob-medida-custam-a-partir-de-r-219-mil.ghtml | Encomendas, recibos e pagamentos na alfaiataria (paulomotoryn.substack.com) https://paulomotoryn.substack.com/p/exclusivo-vorcaro-gastou-r-500-mil | Encomendas, recibos e pagamentos na alfaiataria (metro1.com.br) https://www.metro1.com.br/noticias/politica/187938,notas-de-mendonca-em-alfaiataria-frequentada-por-vorcaro-registravam-sem-pagamento | Mensagens para agendar encontro com Mendonça (iclnoticias.com.br) https://iclnoticias.com.br/vaza-mendonca-mensagens-e-audios-ineditos/ | O convite a Bruno Bianco para a reunião (iclnoticias.com.br) https://iclnoticias.com.br/vaza-mendonca-mensagens-e-audios-ineditos/ | A reunião de fevereiro de 2025 (iclnoticias.com.br) https://iclnoticias.com.br/vaza-mendonca-mensagens-e-audios-ineditos/ | Encontro com Vorcaro na sede do ITER (iclnoticias.com.br) https://iclnoticias.com.br/vaza-mendonca-mensagens-e-audios-ineditos/ | Pedido de vista no julgamento sobre cemitérios (valor.globo.com) https://valor.globo.com/politica/noticia/2026/09/15/stf-em-ao-sobre-cemitrios-em-sp-dino-pede-nova-investigao-de-mendona.ghtml | Convites para coquetéis do instituto (iclnoticias.com.br) https://iclnoticias.com.br/vorcaro-foi-chamado-a-coquetel-de-mendonca/ | A viagem de helicóptero de Mendonça (noticias.uol.com.br) https://noticias.uol.com.br/colunas/daniela-lima/2026/09/22/mendonca-voou-em-aeronave-de-ex-parceiro-de-negocios-de-vorcaro.htm | Aporte de R$ 5,2 milhões ao ITER (noticias.uol.com.br) https://noticias.uol.com.br/ultimas-noticias/redacao/2026/09/17/ex-parceiro-de-vorcaro-pos-r-5-milhoes-em-instituto-de-mendonca.htm | Depoimento de Vorcaro sem a Polícia Federal (iclnoticias.com.br) https://iclnoticias.com.br/gabinete-mendonca-ouviu-vorcaro-horario-pf/ | O afastamento de um diretor da PF (cnnbrasil.com.br) https://www.cnnbrasil.com.br/blogs/teo-cury/politica/mendonca-ordenou-afastamento-de-diretor-geral-da-pf-sem-ouvir-pgr/ | A atuação do diretor afastado nos casos Master e INSS (iclnoticias.com.br) https://iclnoticias.com.br/diretor-da-pf-afastado-mendonca-prendeu-vorcaro/ | Revogação da prisão do filho do Careca do INSS (iclnoticias.com.br) https://iclnoticias.com.br/andre-mendonca-revoga-prisao-do-filho-do-careca/ | A contestação da AGU ao afastamento na PF (iclnoticias.com.br) https://iclnoticias.com.br/agu-mendonca-usurpou-competencia-fachin/ | A cronologia entre a operação de Dino e o afastamento (iclnoticias.com.br) https://iclnoticias.com.br/mendonca-cesinha-madureira-vorcaro-dino/ | Financiamento da campanha de Cezinha de Madureira (iclnoticias.com.br) https://iclnoticias.com.br/tarcisio-campanha-deputado-mendonca-vorcaro/ | A proximidade entre Cezinha e Mendonça (iclnoticias.com.br) https://iclnoticias.com.br/cezinha-de-madureira-tinha-porta-retrato-com-mendonca-na-sala-de-casa/ | 52 contratos do ITER com órgãos públicos (apublica.org) https://apublica.org/nota/instituto-de-andre-mendonca-e-alvo-de-representacoes-para-investigar-irregularidades/ | Outro levantamento: 55 contratos do instituto (iclnoticias.com.br) https://iclnoticias.com.br/instituto-de-andre-mendonca-faturou/ | A promoção do irmão de Mendonça (iclnoticias.com.br) https://iclnoticias.com.br/irmao-de-mendonca-foi-promovido-por-nunes/ | Votos relativos a Castro e contratos no Rio (iclnoticias.com.br) https://iclnoticias.com.br/mendonca-votou-a-favor-de-castro-4-vezes/ | Prazos diferentes para decisões sobre políticos (cnnbrasil.com.br) https://www.cnnbrasil.com.br/politica/mendonca-demora-9-dias-para-despachar-sobre-wagner-e-75-sobre-castro/ | O contraste nos prazos apontado pela PF (iclnoticias.com.br) https://iclnoticias.com.br/pf-aponta-diferenca-8-x-no-tempo-mendonca/ | A declaração de Gilmar sobre acesso a dados (iclnoticias.com.br) https://iclnoticias.com.br/gilmar-stf-dados-maste-ministros-mendonca/ | O pedido para rastrear o dinheiro do Master (iclnoticias.com.br) https://iclnoticias.com.br/pf-espera-ha-seis-meses-decisao-mendonca/ | A recomendação de sigilo sobre o celular de Vorcaro (iclnoticias.com.br) https://iclnoticias.com.br/contra-transparencia-mendonca-recomenda-manter/ | Tratamento de ministros em relatório da PF (iclnoticias.com.br) https://iclnoticias.com.br/relatorio-pf-mendonca-poupou-toffoli-kassio/ | O pedido de nulidade apresentado por Gonet (iclnoticias.com.br) https://iclnoticias.com.br/gonet-diz-que-mendonca-investigou-moraes/</t>
        </is>
      </c>
      <c r="L32" s="37" t="inlineStr">
        <is>
          <t>21/10/2026</t>
        </is>
      </c>
      <c r="M32" s="37" t="inlineStr">
        <is>
          <t>21/10/2026: importado do acervo a verdade. (bolsomaster.site) (perfil novo).</t>
        </is>
      </c>
      <c r="N32" s="24" t="n"/>
      <c r="O32" s="24" t="n"/>
      <c r="P32" s="24" t="n"/>
    </row>
    <row r="33">
      <c r="A33" s="37" t="inlineStr">
        <is>
          <t>faria</t>
        </is>
      </c>
      <c r="B33" s="38" t="inlineStr">
        <is>
          <t>Fábio Faria</t>
        </is>
      </c>
      <c r="C33" s="37" t="inlineStr">
        <is>
          <t>Vorcaro e o Banco Master</t>
        </is>
      </c>
      <c r="D33" s="37" t="inlineStr">
        <is>
          <t>Ex-ministro das Comunicações de Jair Bolsonaro. Mensagens recuperadas pela PF o apontam como intermediário de Vorcaro com autoridades em Brasília e com ministros de tribunais superiores, inclusive na organização de festas. Empresa ligada a Vorcaro pagou R$ 67,5 mi por um projeto dele.</t>
        </is>
      </c>
      <c r="E33" s="37" t="inlineStr">
        <is>
          <t>Brasília (DF)</t>
        </is>
      </c>
      <c r="F33" s="37" t="inlineStr">
        <is>
          <t>Vivo</t>
        </is>
      </c>
      <c r="G33" s="37" t="inlineStr">
        <is>
          <t>O acervo não informa se ele é formalmente investigado.</t>
        </is>
      </c>
      <c r="H33" s="39" t="inlineStr">
        <is>
          <t>Citado, sem acusação</t>
        </is>
      </c>
      <c r="I33" s="37" t="inlineStr">
        <is>
          <t>Nada nas fontes.</t>
        </is>
      </c>
      <c r="J33" s="37" t="inlineStr">
        <is>
          <t>Dados do acervo a verdade.; fontes não reverificadas uma a uma.</t>
        </is>
      </c>
      <c r="K33" s="37" t="inlineStr">
        <is>
          <t>Fábio Faria como interlocutor de Vorcaro (piaui.uol.com.br) https://piaui.uol.com.br/web/fabio-faria-daniel-vorcaro-lobby/ | R$ 67,5 milhões por projeto de Fábio Faria (tab.uol.com.br) https://tab.uol.com.br/noticias/redacao/2026/01/29/vorcaro-pagou-r-675-mi-em-projeto-eolico-de-fabio-faria-ex-ministro.htm | Convites a autoridades para festas e encontros (piaui.uol.com.br) https://piaui.uol.com.br/web/festa-suicas-vorcaro-fabio-faria/ | O grupo com Hugo Motta, Ciro e Fábio Faria (gazetadopovo.com.br) https://www.gazetadopovo.com.br/republica/vorcaro-grupo-motta-ciro-nogueira-fabio-faria-organizar-encontros/ | A intermediação de contatos com Moraes (g1.globo.com) https://g1.globo.com/politica/noticia/2026/09/01/ex-ministro-fabio-faria-atuou-para-intermediar-contatos-entre-vorcaro-e-moraes-aponta-pf.ghtml</t>
        </is>
      </c>
      <c r="L33" s="37" t="inlineStr">
        <is>
          <t>21/10/2026</t>
        </is>
      </c>
      <c r="M33" s="37" t="inlineStr">
        <is>
          <t>21/10/2026: importado do acervo a verdade. (bolsomaster.site) (perfil novo).</t>
        </is>
      </c>
      <c r="N33" s="24" t="n"/>
      <c r="O33" s="24" t="n"/>
      <c r="P33" s="24" t="n"/>
    </row>
    <row r="34">
      <c r="A34" s="37" t="inlineStr">
        <is>
          <t>frias</t>
        </is>
      </c>
      <c r="B34" s="38" t="inlineStr">
        <is>
          <t>Mario Frias</t>
        </is>
      </c>
      <c r="C34" s="37" t="inlineStr">
        <is>
          <t>Flávio e família</t>
        </is>
      </c>
      <c r="D34" s="37" t="inlineStr">
        <is>
          <t>Ex-secretário especial de Cultura de Jair Bolsonaro e produtor-executivo do filme Dark Horse. Áudio divulgado pelo Intercept mostra ele agradecendo Vorcaro pelo financiamento do filme.</t>
        </is>
      </c>
      <c r="E34" s="37" t="inlineStr">
        <is>
          <t>—</t>
        </is>
      </c>
      <c r="F34" s="37" t="inlineStr">
        <is>
          <t>Vivo</t>
        </is>
      </c>
      <c r="G34" s="37" t="inlineStr">
        <is>
          <t>Segundo o PDF, investigado no caso do filme.</t>
        </is>
      </c>
      <c r="H34" s="39" t="inlineStr">
        <is>
          <t>Investigado / alvo (sem denúncia)</t>
        </is>
      </c>
      <c r="I34" s="37" t="inlineStr">
        <is>
          <t>Nada nas fontes.</t>
        </is>
      </c>
      <c r="J34" s="37" t="inlineStr">
        <is>
          <t>Situação de investigado vem do PDF do acervo; não reverificada.</t>
        </is>
      </c>
      <c r="K34" s="37" t="inlineStr">
        <is>
          <t>Mario Frias e a produção de Dark Horse (intercept.com.br) https://www.intercept.com.br/2026/05/19/audio-mario-frias-daniel-vorcaro/</t>
        </is>
      </c>
      <c r="L34" s="37" t="inlineStr">
        <is>
          <t>21/10/2026</t>
        </is>
      </c>
      <c r="M34" s="37" t="inlineStr">
        <is>
          <t>21/10/2026: importado do acervo a verdade. (bolsomaster.site) (perfil novo).</t>
        </is>
      </c>
      <c r="N34" s="24" t="n"/>
      <c r="O34" s="24" t="n"/>
      <c r="P34" s="24" t="n"/>
    </row>
    <row r="35">
      <c r="A35" s="37" t="inlineStr">
        <is>
          <t>gaspar</t>
        </is>
      </c>
      <c r="B35" s="38" t="inlineStr">
        <is>
          <t>Alfredo Gaspar</t>
        </is>
      </c>
      <c r="C35" s="37" t="inlineStr">
        <is>
          <t>Flávio e família</t>
        </is>
      </c>
      <c r="D35" s="37" t="inlineStr">
        <is>
          <t>Vice na chapa de Flávio Bolsonaro em 2026.</t>
        </is>
      </c>
      <c r="E35" s="37" t="inlineStr">
        <is>
          <t>Alagoas (AL)</t>
        </is>
      </c>
      <c r="F35" s="37" t="inlineStr">
        <is>
          <t>Vivo</t>
        </is>
      </c>
      <c r="G35" s="37" t="inlineStr">
        <is>
          <t>Pedido de investigação por estupro de vulnerável arquivado pelo ministro Gilmar Mendes em out/2026, por falta de indícios suficientes. Ele nega.</t>
        </is>
      </c>
      <c r="H35" s="39" t="inlineStr">
        <is>
          <t>Citado, sem acusação</t>
        </is>
      </c>
      <c r="I35" s="37" t="inlineStr">
        <is>
          <t>Nada nas fontes.</t>
        </is>
      </c>
      <c r="J35" s="37" t="inlineStr">
        <is>
          <t>A PGR também pediu o arquivamento; ele diz que a acusação é falsa e move ações contra quem a levou adiante. O PDF original diz que ele “é investigado”; isso está desatualizado desde o arquivamento (Folha e UOL, 06/10/2026).</t>
        </is>
      </c>
      <c r="K35" s="37" t="inlineStr">
        <is>
          <t>Alfredo Gaspar: pedido de investigação arquivado (metropoles.com) https://www.metropoles.com/colunas/igor-gadelha/denuncia-de-suposto-estupro-contra-vice-de-flavio-deve-avancar-no-stf | Alfredo Gaspar: pedido de investigação arquivado (folha.uol.com.br) https://www1.folha.uol.com.br/poder/2026/10/gilmar-arquiva-pedido-de-investigacao-contra-vice-de-flavio-bolsonaro-por-suspeita-de-estupro.shtml | Alfredo Gaspar: pedido de investigação arquivado (noticias.uol.com.br) https://noticias.uol.com.br/eleicoes/2026/10/06/gilmar-mendes-arquiva-stf-suspeita-estupro-alfredo-gaspar-vice-flavio.ghtm</t>
        </is>
      </c>
      <c r="L35" s="37" t="inlineStr">
        <is>
          <t>21/10/2026</t>
        </is>
      </c>
      <c r="M35" s="37" t="inlineStr">
        <is>
          <t>21/10/2026: importado do acervo a verdade. (bolsomaster.site) (perfil novo).</t>
        </is>
      </c>
      <c r="N35" s="24" t="n"/>
      <c r="O35" s="24" t="n"/>
      <c r="P35" s="24" t="n"/>
    </row>
  </sheetData>
  <autoFilter ref="A1:P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1"/>
    <col width="32" customWidth="1" style="24" min="2" max="2"/>
    <col width="20" customWidth="1" style="24" min="3" max="3"/>
    <col width="26" customWidth="1" style="24" min="4" max="4"/>
    <col width="70" customWidth="1" style="24" min="5" max="5"/>
    <col width="10" customWidth="1" style="24" min="6" max="6"/>
  </cols>
  <sheetData>
    <row r="1" ht="15" customHeight="1" s="25">
      <c r="A1" s="44" t="inlineStr">
        <is>
          <t>Id</t>
        </is>
      </c>
      <c r="B1" s="44" t="inlineStr">
        <is>
          <t>Label</t>
        </is>
      </c>
      <c r="C1" s="44" t="inlineStr">
        <is>
          <t>Type</t>
        </is>
      </c>
      <c r="D1" s="44" t="inlineStr">
        <is>
          <t>Group</t>
        </is>
      </c>
      <c r="E1" s="44" t="inlineStr">
        <is>
          <t>Description</t>
        </is>
      </c>
      <c r="F1" s="44" t="inlineStr">
        <is>
          <t>Degree</t>
        </is>
      </c>
      <c r="G1" s="24" t="inlineStr">
        <is>
          <t>Foto (arquivo)</t>
        </is>
      </c>
      <c r="H1" s="24" t="inlineStr">
        <is>
          <t>Crédito da foto</t>
        </is>
      </c>
      <c r="I1" s="24" t="inlineStr">
        <is>
          <t>Link da fonte da foto</t>
        </is>
      </c>
      <c r="J1" s="24" t="inlineStr">
        <is>
          <t>Nota da foto (opcional)</t>
        </is>
      </c>
    </row>
    <row r="2" ht="15" customHeight="1" s="25">
      <c r="A2" s="45" t="inlineStr">
        <is>
          <t>assoc</t>
        </is>
      </c>
      <c r="B2" s="45" t="inlineStr">
        <is>
          <t>Associações de aposentados</t>
        </is>
      </c>
      <c r="C2" s="45" t="inlineStr">
        <is>
          <t>Instituição ou caso</t>
        </is>
      </c>
      <c r="D2" s="45" t="inlineStr">
        <is>
          <t>Esquema do INSS</t>
        </is>
      </c>
      <c r="E2" s="45" t="inlineStr">
        <is>
          <t>Descontos sem autorização: mais de R$ 6 bi em 5 anos</t>
        </is>
      </c>
      <c r="F2" s="45">
        <f>COUNTIF(Edges!$A$2:$A$182,A2)+COUNTIF(Edges!$B$2:$B$182,A2)</f>
        <v/>
      </c>
      <c r="G2" s="24" t="n"/>
      <c r="H2" s="24" t="n"/>
      <c r="I2" s="24" t="n"/>
      <c r="J2" s="24" t="n"/>
    </row>
    <row r="3" ht="23.25" customHeight="1" s="25">
      <c r="A3" s="45" t="inlineStr">
        <is>
          <t>careca</t>
        </is>
      </c>
      <c r="B3" s="45" t="inlineStr">
        <is>
          <t>Careca do INSS</t>
        </is>
      </c>
      <c r="C3" s="45" t="inlineStr">
        <is>
          <t>Pessoa</t>
        </is>
      </c>
      <c r="D3" s="45" t="inlineStr">
        <is>
          <t>Esquema do INSS</t>
        </is>
      </c>
      <c r="E3" s="45" t="inlineStr">
        <is>
          <t>Lobista Antônio C. Camilo Antunes; preso; apontado pela PF como centro do esquema</t>
        </is>
      </c>
      <c r="F3" s="45">
        <f>COUNTIF(Edges!$A$2:$A$182,A3)+COUNTIF(Edges!$B$2:$B$182,A3)</f>
        <v/>
      </c>
    </row>
    <row r="4" ht="15" customHeight="1" s="25">
      <c r="A4" s="45" t="inlineStr">
        <is>
          <t>contador</t>
        </is>
      </c>
      <c r="B4" s="45" t="inlineStr">
        <is>
          <t>Alexandre Caetano dos Reis</t>
        </is>
      </c>
      <c r="C4" s="45" t="inlineStr">
        <is>
          <t>Pessoa</t>
        </is>
      </c>
      <c r="D4" s="45" t="inlineStr">
        <is>
          <t>Esquema do INSS</t>
        </is>
      </c>
      <c r="E4" s="45" t="inlineStr">
        <is>
          <t>Contador do Careca e do escritório de Flávio; preso</t>
        </is>
      </c>
      <c r="F4" s="45">
        <f>COUNTIF(Edges!$A$2:$A$182,A4)+COUNTIF(Edges!$B$2:$B$182,A4)</f>
        <v/>
      </c>
    </row>
    <row r="5" ht="15" customHeight="1" s="25">
      <c r="A5" s="45" t="inlineStr">
        <is>
          <t>leticia</t>
        </is>
      </c>
      <c r="B5" s="45" t="inlineStr">
        <is>
          <t>Letícia Caetano dos Reis</t>
        </is>
      </c>
      <c r="C5" s="45" t="inlineStr">
        <is>
          <t>Pessoa</t>
        </is>
      </c>
      <c r="D5" s="45" t="inlineStr">
        <is>
          <t>Esquema do INSS</t>
        </is>
      </c>
      <c r="E5" s="45" t="inlineStr">
        <is>
          <t>Irmã do contador; administra o escritório de Flávio</t>
        </is>
      </c>
      <c r="F5" s="45">
        <f>COUNTIF(Edges!$A$2:$A$182,A5)+COUNTIF(Edges!$B$2:$B$182,A5)</f>
        <v/>
      </c>
    </row>
    <row r="6" ht="15" customHeight="1" s="25">
      <c r="A6" s="45" t="inlineStr">
        <is>
          <t>lulinha</t>
        </is>
      </c>
      <c r="B6" s="45" t="inlineStr">
        <is>
          <t>Lulinha</t>
        </is>
      </c>
      <c r="C6" s="45" t="inlineStr">
        <is>
          <t>Pessoa</t>
        </is>
      </c>
      <c r="D6" s="45" t="inlineStr">
        <is>
          <t>Esquema do INSS</t>
        </is>
      </c>
      <c r="E6" s="45" t="inlineStr">
        <is>
          <t>3 inquéritos no STF; nega; sem indiciamento</t>
        </is>
      </c>
      <c r="F6" s="45">
        <f>COUNTIF(Edges!$A$2:$A$182,A6)+COUNTIF(Edges!$B$2:$B$182,A6)</f>
        <v/>
      </c>
    </row>
    <row r="7" ht="15" customHeight="1" s="25">
      <c r="A7" s="45" t="inlineStr">
        <is>
          <t>roberta</t>
        </is>
      </c>
      <c r="B7" s="45" t="inlineStr">
        <is>
          <t>Roberta (lobista)</t>
        </is>
      </c>
      <c r="C7" s="45" t="inlineStr">
        <is>
          <t>Pessoa</t>
        </is>
      </c>
      <c r="D7" s="45" t="inlineStr">
        <is>
          <t>Esquema do INSS</t>
        </is>
      </c>
      <c r="E7" s="45" t="inlineStr">
        <is>
          <t>Amiga de Lulinha; recebeu ~R$ 1 mi de empresa de fachada do Careca</t>
        </is>
      </c>
      <c r="F7" s="45">
        <f>COUNTIF(Edges!$A$2:$A$182,A7)+COUNTIF(Edges!$B$2:$B$182,A7)</f>
        <v/>
      </c>
    </row>
    <row r="8" ht="15" customHeight="1" s="25">
      <c r="A8" s="45" t="inlineStr">
        <is>
          <t>sala</t>
        </is>
      </c>
      <c r="B8" s="45" t="inlineStr">
        <is>
          <t>Sala em Águas Claras (DF)</t>
        </is>
      </c>
      <c r="C8" s="45" t="inlineStr">
        <is>
          <t>Casa ou ativo</t>
        </is>
      </c>
      <c r="D8" s="45" t="inlineStr">
        <is>
          <t>Esquema do INSS</t>
        </is>
      </c>
      <c r="E8" s="45" t="inlineStr">
        <is>
          <t>Endereço de Bravo Grafeno e de 16 empresas do Careca</t>
        </is>
      </c>
      <c r="F8" s="45">
        <f>COUNTIF(Edges!$A$2:$A$182,A8)+COUNTIF(Edges!$B$2:$B$182,A8)</f>
        <v/>
      </c>
      <c r="G8" s="24" t="n"/>
      <c r="H8" s="24" t="n"/>
      <c r="I8" s="24" t="n"/>
      <c r="J8" s="24" t="n"/>
    </row>
    <row r="9" ht="15" customHeight="1" s="25">
      <c r="A9" s="45" t="inlineStr">
        <is>
          <t>bravo</t>
        </is>
      </c>
      <c r="B9" s="45" t="inlineStr">
        <is>
          <t>Bravo Grafeno</t>
        </is>
      </c>
      <c r="C9" s="45" t="inlineStr">
        <is>
          <t>Empresa</t>
        </is>
      </c>
      <c r="D9" s="45" t="inlineStr">
        <is>
          <t>Esquema do INSS</t>
        </is>
      </c>
      <c r="E9" s="45" t="inlineStr">
        <is>
          <t>Fábrica de capacetes de Flávio e Carlos</t>
        </is>
      </c>
      <c r="F9" s="45">
        <f>COUNTIF(Edges!$A$2:$A$182,A9)+COUNTIF(Edges!$B$2:$B$182,A9)</f>
        <v/>
      </c>
      <c r="G9" s="24" t="n"/>
      <c r="H9" s="24" t="n"/>
      <c r="I9" s="24" t="n"/>
      <c r="J9" s="24" t="n"/>
    </row>
    <row r="10" ht="15" customHeight="1" s="25">
      <c r="A10" s="45" t="inlineStr">
        <is>
          <t>willer</t>
        </is>
      </c>
      <c r="B10" s="45" t="inlineStr">
        <is>
          <t>Willer Tomaz</t>
        </is>
      </c>
      <c r="C10" s="45" t="inlineStr">
        <is>
          <t>Pessoa</t>
        </is>
      </c>
      <c r="D10" s="45" t="inlineStr">
        <is>
          <t>Willer Tomaz e sua rede</t>
        </is>
      </c>
      <c r="E10" s="45" t="inlineStr">
        <is>
          <t>Advogado em Brasília; investigado por lavagem; nega</t>
        </is>
      </c>
      <c r="F10" s="45">
        <f>COUNTIF(Edges!$A$2:$A$182,A10)+COUNTIF(Edges!$B$2:$B$182,A10)</f>
        <v/>
      </c>
    </row>
    <row r="11" ht="15" customHeight="1" s="25">
      <c r="A11" s="45" t="inlineStr">
        <is>
          <t>escw</t>
        </is>
      </c>
      <c r="B11" s="45" t="inlineStr">
        <is>
          <t>Escritório de Willer</t>
        </is>
      </c>
      <c r="C11" s="45" t="inlineStr">
        <is>
          <t>Casa ou ativo</t>
        </is>
      </c>
      <c r="D11" s="45" t="inlineStr">
        <is>
          <t>Willer Tomaz e sua rede</t>
        </is>
      </c>
      <c r="E11" s="45" t="inlineStr">
        <is>
          <t>PF achou máquina de contar e dinheiro em livros-cofre</t>
        </is>
      </c>
      <c r="F11" s="45">
        <f>COUNTIF(Edges!$A$2:$A$182,A11)+COUNTIF(Edges!$B$2:$B$182,A11)</f>
        <v/>
      </c>
      <c r="G11" s="24" t="n"/>
      <c r="H11" s="24" t="n"/>
      <c r="I11" s="24" t="n"/>
      <c r="J11" s="24" t="n"/>
    </row>
    <row r="12" ht="15" customHeight="1" s="25">
      <c r="A12" s="45" t="inlineStr">
        <is>
          <t>bets</t>
        </is>
      </c>
      <c r="B12" s="45" t="inlineStr">
        <is>
          <t>Blaze e sites de apostas</t>
        </is>
      </c>
      <c r="C12" s="45" t="inlineStr">
        <is>
          <t>Empresa</t>
        </is>
      </c>
      <c r="D12" s="45" t="inlineStr">
        <is>
          <t>Willer Tomaz e sua rede</t>
        </is>
      </c>
      <c r="E12" s="45" t="inlineStr">
        <is>
          <t>~R$ 5 bi movimentados em 2025; PF vê possível lavagem</t>
        </is>
      </c>
      <c r="F12" s="45">
        <f>COUNTIF(Edges!$A$2:$A$182,A12)+COUNTIF(Edges!$B$2:$B$182,A12)</f>
        <v/>
      </c>
      <c r="G12" s="24" t="inlineStr">
        <is>
          <t>bets.png</t>
        </is>
      </c>
      <c r="H12" s="24" t="inlineStr">
        <is>
          <t>blaze.com · domínio público (logo simples, sem direito autoral)</t>
        </is>
      </c>
      <c r="I12" s="24" t="inlineStr">
        <is>
          <t>https://commons.wikimedia.org/wiki/File:Blaze_apostas_logo.png</t>
        </is>
      </c>
      <c r="J12" s="24" t="n"/>
    </row>
    <row r="13" ht="15" customHeight="1" s="25">
      <c r="A13" s="45" t="inlineStr">
        <is>
          <t>lidia</t>
        </is>
      </c>
      <c r="B13" s="45" t="inlineStr">
        <is>
          <t>Lídia Mazelli</t>
        </is>
      </c>
      <c r="C13" s="45" t="inlineStr">
        <is>
          <t>Pessoa</t>
        </is>
      </c>
      <c r="D13" s="45" t="inlineStr">
        <is>
          <t>Willer Tomaz e sua rede</t>
        </is>
      </c>
      <c r="E13" s="45" t="inlineStr">
        <is>
          <t>61 anos; diz ser doméstica; figura à frente de 14 empresas</t>
        </is>
      </c>
      <c r="F13" s="45">
        <f>COUNTIF(Edges!$A$2:$A$182,A13)+COUNTIF(Edges!$B$2:$B$182,A13)</f>
        <v/>
      </c>
    </row>
    <row r="14" ht="15" customHeight="1" s="25">
      <c r="A14" s="45" t="inlineStr">
        <is>
          <t>wt</t>
        </is>
      </c>
      <c r="B14" s="45" t="inlineStr">
        <is>
          <t>WT (e outras 13 empresas)</t>
        </is>
      </c>
      <c r="C14" s="45" t="inlineStr">
        <is>
          <t>Empresa</t>
        </is>
      </c>
      <c r="D14" s="45" t="inlineStr">
        <is>
          <t>Willer Tomaz e sua rede</t>
        </is>
      </c>
      <c r="E14" s="45" t="inlineStr">
        <is>
          <t>Empresa da “doméstica”; dona de mansão e apartamento</t>
        </is>
      </c>
      <c r="F14" s="45">
        <f>COUNTIF(Edges!$A$2:$A$182,A14)+COUNTIF(Edges!$B$2:$B$182,A14)</f>
        <v/>
      </c>
      <c r="G14" s="24" t="n"/>
      <c r="H14" s="24" t="n"/>
      <c r="I14" s="24" t="n"/>
      <c r="J14" s="24" t="n"/>
    </row>
    <row r="15" ht="15" customHeight="1" s="25">
      <c r="A15" s="45" t="inlineStr">
        <is>
          <t>alcazar</t>
        </is>
      </c>
      <c r="B15" s="45" t="inlineStr">
        <is>
          <t>Alcazar Holdings</t>
        </is>
      </c>
      <c r="C15" s="45" t="inlineStr">
        <is>
          <t>Empresa</t>
        </is>
      </c>
      <c r="D15" s="45" t="inlineStr">
        <is>
          <t>Willer Tomaz e sua rede</t>
        </is>
      </c>
      <c r="E15" s="45" t="inlineStr">
        <is>
          <t>Empresa ligada a Willer; conta no Santander</t>
        </is>
      </c>
      <c r="F15" s="45">
        <f>COUNTIF(Edges!$A$2:$A$182,A15)+COUNTIF(Edges!$B$2:$B$182,A15)</f>
        <v/>
      </c>
      <c r="G15" s="24" t="n"/>
      <c r="H15" s="24" t="n"/>
      <c r="I15" s="24" t="n"/>
      <c r="J15" s="24" t="n"/>
    </row>
    <row r="16" ht="15" customHeight="1" s="25">
      <c r="A16" s="45" t="inlineStr">
        <is>
          <t>santander</t>
        </is>
      </c>
      <c r="B16" s="45" t="inlineStr">
        <is>
          <t>Santander</t>
        </is>
      </c>
      <c r="C16" s="45" t="inlineStr">
        <is>
          <t>Empresa</t>
        </is>
      </c>
      <c r="D16" s="45" t="inlineStr">
        <is>
          <t>Willer Tomaz e sua rede</t>
        </is>
      </c>
      <c r="E16" s="45" t="inlineStr">
        <is>
          <t>Conta da Alcazar com Flávio como “usuário master”</t>
        </is>
      </c>
      <c r="F16" s="45">
        <f>COUNTIF(Edges!$A$2:$A$182,A16)+COUNTIF(Edges!$B$2:$B$182,A16)</f>
        <v/>
      </c>
      <c r="G16" s="24" t="inlineStr">
        <is>
          <t>santander.jpg</t>
        </is>
      </c>
      <c r="H16" s="24" t="inlineStr">
        <is>
          <t>Simplus Menegati · CC BY-SA 4.0</t>
        </is>
      </c>
      <c r="I16" s="24" t="inlineStr">
        <is>
          <t>https://commons.wikimedia.org/wiki/File:Agencia_Banco_Santander_de_Telemaco_Borba.jpg</t>
        </is>
      </c>
      <c r="J16" s="24" t="inlineStr"/>
    </row>
    <row r="17" ht="15" customHeight="1" s="25">
      <c r="A17" s="45" t="inlineStr">
        <is>
          <t>cpi</t>
        </is>
      </c>
      <c r="B17" s="45" t="inlineStr">
        <is>
          <t>CPI da pandemia (Covaxin)</t>
        </is>
      </c>
      <c r="C17" s="45" t="inlineStr">
        <is>
          <t>Instituição ou caso</t>
        </is>
      </c>
      <c r="D17" s="45" t="inlineStr">
        <is>
          <t>Willer Tomaz e sua rede</t>
        </is>
      </c>
      <c r="E17" s="45" t="inlineStr">
        <is>
          <t>Quebra de sigilo de Willer pedida e depois cancelada</t>
        </is>
      </c>
      <c r="F17" s="45">
        <f>COUNTIF(Edges!$A$2:$A$182,A17)+COUNTIF(Edges!$B$2:$B$182,A17)</f>
        <v/>
      </c>
      <c r="G17" s="24" t="inlineStr">
        <is>
          <t>cpi.jpg</t>
        </is>
      </c>
      <c r="H17" s="24" t="inlineStr">
        <is>
          <t>Agência Senado · CC BY 2.0</t>
        </is>
      </c>
      <c r="I17" s="24" t="inlineStr">
        <is>
          <t>https://commons.wikimedia.org/wiki/File:CPIPANDEMIA_-_Comiss%C3%A3o_Parlamentar_de_Inqu%C3%A9rito_da_Pandemia_(1).jpg</t>
        </is>
      </c>
      <c r="J17" s="24" t="inlineStr"/>
    </row>
    <row r="18" ht="15" customHeight="1" s="25">
      <c r="A18" s="45" t="inlineStr">
        <is>
          <t>renan</t>
        </is>
      </c>
      <c r="B18" s="45" t="inlineStr">
        <is>
          <t>Renan Calheiros</t>
        </is>
      </c>
      <c r="C18" s="45" t="inlineStr">
        <is>
          <t>Pessoa</t>
        </is>
      </c>
      <c r="D18" s="45" t="inlineStr">
        <is>
          <t>Willer Tomaz e sua rede</t>
        </is>
      </c>
      <c r="E18" s="45" t="inlineStr">
        <is>
          <t>Relator da CPI; pediu a quebra de sigilo</t>
        </is>
      </c>
      <c r="F18" s="45">
        <f>COUNTIF(Edges!$A$2:$A$182,A18)+COUNTIF(Edges!$B$2:$B$182,A18)</f>
        <v/>
      </c>
    </row>
    <row r="19" ht="15" customHeight="1" s="25">
      <c r="A19" s="45" t="inlineStr">
        <is>
          <t>flavio</t>
        </is>
      </c>
      <c r="B19" s="45" t="inlineStr">
        <is>
          <t>Flávio Bolsonaro</t>
        </is>
      </c>
      <c r="C19" s="45" t="inlineStr">
        <is>
          <t>Pessoa</t>
        </is>
      </c>
      <c r="D19" s="45" t="inlineStr">
        <is>
          <t>Flávio e família</t>
        </is>
      </c>
      <c r="E19" s="45" t="inlineStr">
        <is>
          <t>Senador e candidato a presidente; nega irregularidades</t>
        </is>
      </c>
      <c r="F19" s="45">
        <f>COUNTIF(Edges!$A$2:$A$182,A19)+COUNTIF(Edges!$B$2:$B$182,A19)</f>
        <v/>
      </c>
    </row>
    <row r="20" ht="15" customHeight="1" s="25">
      <c r="A20" s="45" t="inlineStr">
        <is>
          <t>fam</t>
        </is>
      </c>
      <c r="B20" s="45" t="inlineStr">
        <is>
          <t>Mulher e filhas de Flávio</t>
        </is>
      </c>
      <c r="C20" s="45" t="inlineStr">
        <is>
          <t>Pessoa</t>
        </is>
      </c>
      <c r="D20" s="45" t="inlineStr">
        <is>
          <t>Flávio e família</t>
        </is>
      </c>
      <c r="E20" s="45" t="inlineStr">
        <is>
          <t>Voaram no jato em jan/2025</t>
        </is>
      </c>
      <c r="F20" s="45">
        <f>COUNTIF(Edges!$A$2:$A$182,A20)+COUNTIF(Edges!$B$2:$B$182,A20)</f>
        <v/>
      </c>
    </row>
    <row r="21" ht="15" customHeight="1" s="25">
      <c r="A21" s="45" t="inlineStr">
        <is>
          <t>carlos</t>
        </is>
      </c>
      <c r="B21" s="45" t="inlineStr">
        <is>
          <t>Carlos Bolsonaro</t>
        </is>
      </c>
      <c r="C21" s="45" t="inlineStr">
        <is>
          <t>Pessoa</t>
        </is>
      </c>
      <c r="D21" s="45" t="inlineStr">
        <is>
          <t>Flávio e família</t>
        </is>
      </c>
      <c r="E21" s="45" t="inlineStr">
        <is>
          <t>Irmão; sócio na Bravo Grafeno</t>
        </is>
      </c>
      <c r="F21" s="45">
        <f>COUNTIF(Edges!$A$2:$A$182,A21)+COUNTIF(Edges!$B$2:$B$182,A21)</f>
        <v/>
      </c>
    </row>
    <row r="22" ht="15" customHeight="1" s="25">
      <c r="A22" s="45" t="inlineStr">
        <is>
          <t>escf</t>
        </is>
      </c>
      <c r="B22" s="45" t="inlineStr">
        <is>
          <t>Escritório de advocacia de Flávio</t>
        </is>
      </c>
      <c r="C22" s="45" t="inlineStr">
        <is>
          <t>Empresa</t>
        </is>
      </c>
      <c r="D22" s="45" t="inlineStr">
        <is>
          <t>Flávio e família</t>
        </is>
      </c>
      <c r="E22" s="45" t="inlineStr">
        <is>
          <t>Aberto em 2021</t>
        </is>
      </c>
      <c r="F22" s="45">
        <f>COUNTIF(Edges!$A$2:$A$182,A22)+COUNTIF(Edges!$B$2:$B$182,A22)</f>
        <v/>
      </c>
      <c r="G22" s="24" t="n"/>
      <c r="H22" s="24" t="n"/>
      <c r="I22" s="24" t="n"/>
      <c r="J22" s="24" t="n"/>
    </row>
    <row r="23" ht="15" customHeight="1" s="25">
      <c r="A23" s="45" t="inlineStr">
        <is>
          <t>ong</t>
        </is>
      </c>
      <c r="B23" s="45" t="inlineStr">
        <is>
          <t>ONG e produtora do filme</t>
        </is>
      </c>
      <c r="C23" s="45" t="inlineStr">
        <is>
          <t>Empresa</t>
        </is>
      </c>
      <c r="D23" s="45" t="inlineStr">
        <is>
          <t>Flávio e família</t>
        </is>
      </c>
      <c r="E23" s="45" t="inlineStr">
        <is>
          <t>Filme sobre Jair; ~US$ 24 mi negociados com Vorcaro</t>
        </is>
      </c>
      <c r="F23" s="45">
        <f>COUNTIF(Edges!$A$2:$A$182,A23)+COUNTIF(Edges!$B$2:$B$182,A23)</f>
        <v/>
      </c>
      <c r="G23" s="24" t="n"/>
      <c r="H23" s="24" t="n"/>
      <c r="I23" s="24" t="n"/>
      <c r="J23" s="24" t="n"/>
    </row>
    <row r="24" ht="15" customHeight="1" s="25">
      <c r="A24" s="45" t="inlineStr">
        <is>
          <t>eletricista</t>
        </is>
      </c>
      <c r="B24" s="45" t="inlineStr">
        <is>
          <t>Eletricista</t>
        </is>
      </c>
      <c r="C24" s="45" t="inlineStr">
        <is>
          <t>Pessoa</t>
        </is>
      </c>
      <c r="D24" s="45" t="inlineStr">
        <is>
          <t>Flávio e família</t>
        </is>
      </c>
      <c r="E24" s="45" t="inlineStr">
        <is>
          <t>Tesoureiro no papel; diz que só emprestou o nome</t>
        </is>
      </c>
      <c r="F24" s="45">
        <f>COUNTIF(Edges!$A$2:$A$182,A24)+COUNTIF(Edges!$B$2:$B$182,A24)</f>
        <v/>
      </c>
    </row>
    <row r="25" ht="15" customHeight="1" s="25">
      <c r="A25" s="45" t="inlineStr">
        <is>
          <t>jair</t>
        </is>
      </c>
      <c r="B25" s="45" t="inlineStr">
        <is>
          <t>Jair Bolsonaro</t>
        </is>
      </c>
      <c r="C25" s="45" t="inlineStr">
        <is>
          <t>Pessoa</t>
        </is>
      </c>
      <c r="D25" s="45" t="inlineStr">
        <is>
          <t>Flávio e família</t>
        </is>
      </c>
      <c r="E25" s="45" t="inlineStr">
        <is>
          <t>Pai; ex-presidente; hoje preso</t>
        </is>
      </c>
      <c r="F25" s="45">
        <f>COUNTIF(Edges!$A$2:$A$182,A25)+COUNTIF(Edges!$B$2:$B$182,A25)</f>
        <v/>
      </c>
    </row>
    <row r="26" ht="15" customHeight="1" s="25">
      <c r="A26" s="45" t="inlineStr">
        <is>
          <t>wassef</t>
        </is>
      </c>
      <c r="B26" s="45" t="inlineStr">
        <is>
          <t>Frederick Wassef</t>
        </is>
      </c>
      <c r="C26" s="45" t="inlineStr">
        <is>
          <t>Pessoa</t>
        </is>
      </c>
      <c r="D26" s="45" t="inlineStr">
        <is>
          <t>Flávio e família</t>
        </is>
      </c>
      <c r="E26" s="45" t="inlineStr">
        <is>
          <t>Advogado da família Bolsonaro</t>
        </is>
      </c>
      <c r="F26" s="45">
        <f>COUNTIF(Edges!$A$2:$A$182,A26)+COUNTIF(Edges!$B$2:$B$182,A26)</f>
        <v/>
      </c>
    </row>
    <row r="27" ht="15" customHeight="1" s="25">
      <c r="A27" s="45" t="inlineStr">
        <is>
          <t>queiroz</t>
        </is>
      </c>
      <c r="B27" s="45" t="inlineStr">
        <is>
          <t>Fabrício Queiroz</t>
        </is>
      </c>
      <c r="C27" s="45" t="inlineStr">
        <is>
          <t>Pessoa</t>
        </is>
      </c>
      <c r="D27" s="45" t="inlineStr">
        <is>
          <t>Flávio e família</t>
        </is>
      </c>
      <c r="E27" s="45" t="inlineStr">
        <is>
          <t>Operador da rachadinha; 19 meses sem depor</t>
        </is>
      </c>
      <c r="F27" s="45">
        <f>COUNTIF(Edges!$A$2:$A$182,A27)+COUNTIF(Edges!$B$2:$B$182,A27)</f>
        <v/>
      </c>
    </row>
    <row r="28" ht="15" customHeight="1" s="25">
      <c r="A28" s="45" t="inlineStr">
        <is>
          <t>advflavio</t>
        </is>
      </c>
      <c r="B28" s="45" t="inlineStr">
        <is>
          <t>Advogadas de Flávio (2)</t>
        </is>
      </c>
      <c r="C28" s="45" t="inlineStr">
        <is>
          <t>Pessoa</t>
        </is>
      </c>
      <c r="D28" s="45" t="inlineStr">
        <is>
          <t>Flávio e família</t>
        </is>
      </c>
      <c r="E28" s="45" t="inlineStr">
        <is>
          <t>Na reunião de 2020 no Planalto sobre como derrubar a investigação</t>
        </is>
      </c>
      <c r="F28" s="45">
        <f>COUNTIF(Edges!$A$2:$A$182,A28)+COUNTIF(Edges!$B$2:$B$182,A28)</f>
        <v/>
      </c>
    </row>
    <row r="29" ht="15" customHeight="1" s="25">
      <c r="A29" s="45" t="inlineStr">
        <is>
          <t>vorcaro</t>
        </is>
      </c>
      <c r="B29" s="45" t="inlineStr">
        <is>
          <t>Daniel Vorcaro</t>
        </is>
      </c>
      <c r="C29" s="45" t="inlineStr">
        <is>
          <t>Pessoa</t>
        </is>
      </c>
      <c r="D29" s="45" t="inlineStr">
        <is>
          <t>Vorcaro e o Banco Master</t>
        </is>
      </c>
      <c r="E29" s="45" t="inlineStr">
        <is>
          <t>Dono do Banco Master; preso</t>
        </is>
      </c>
      <c r="F29" s="45">
        <f>COUNTIF(Edges!$A$2:$A$182,A29)+COUNTIF(Edges!$B$2:$B$182,A29)</f>
        <v/>
      </c>
    </row>
    <row r="30" ht="15" customHeight="1" s="25">
      <c r="A30" s="45" t="inlineStr">
        <is>
          <t>master</t>
        </is>
      </c>
      <c r="B30" s="45" t="inlineStr">
        <is>
          <t>Banco Master</t>
        </is>
      </c>
      <c r="C30" s="45" t="inlineStr">
        <is>
          <t>Empresa</t>
        </is>
      </c>
      <c r="D30" s="45" t="inlineStr">
        <is>
          <t>Vorcaro e o Banco Master</t>
        </is>
      </c>
      <c r="E30" s="45" t="inlineStr">
        <is>
          <t>Pagou R$ 6,6 mi à consultoria do amigo de Nunes</t>
        </is>
      </c>
      <c r="F30" s="45">
        <f>COUNTIF(Edges!$A$2:$A$182,A30)+COUNTIF(Edges!$B$2:$B$182,A30)</f>
        <v/>
      </c>
      <c r="G30" s="24" t="n"/>
      <c r="H30" s="24" t="n"/>
      <c r="I30" s="24" t="n"/>
      <c r="J30" s="24" t="n"/>
    </row>
    <row r="31" ht="15" customHeight="1" s="25">
      <c r="A31" s="45" t="inlineStr">
        <is>
          <t>zetel</t>
        </is>
      </c>
      <c r="B31" s="45" t="inlineStr">
        <is>
          <t>Fabiano Zettel</t>
        </is>
      </c>
      <c r="C31" s="45" t="inlineStr">
        <is>
          <t>Pessoa</t>
        </is>
      </c>
      <c r="D31" s="45" t="inlineStr">
        <is>
          <t>Vorcaro e o Banco Master</t>
        </is>
      </c>
      <c r="E31" s="45" t="inlineStr">
        <is>
          <t>Cunhado de Vorcaro; preso</t>
        </is>
      </c>
      <c r="F31" s="45">
        <f>COUNTIF(Edges!$A$2:$A$182,A31)+COUNTIF(Edges!$B$2:$B$182,A31)</f>
        <v/>
      </c>
    </row>
    <row r="32" ht="15" customHeight="1" s="25">
      <c r="A32" s="45" t="inlineStr">
        <is>
          <t>dirjur</t>
        </is>
      </c>
      <c r="B32" s="45" t="inlineStr">
        <is>
          <t>Diretor jurídico do Master</t>
        </is>
      </c>
      <c r="C32" s="45" t="inlineStr">
        <is>
          <t>Pessoa</t>
        </is>
      </c>
      <c r="D32" s="45" t="inlineStr">
        <is>
          <t>Vorcaro e o Banco Master</t>
        </is>
      </c>
      <c r="E32" s="45" t="inlineStr">
        <is>
          <t>Mandou o placar do voto ao Vorcaro: “Dominado aqui”</t>
        </is>
      </c>
      <c r="F32" s="45">
        <f>COUNTIF(Edges!$A$2:$A$182,A32)+COUNTIF(Edges!$B$2:$B$182,A32)</f>
        <v/>
      </c>
    </row>
    <row r="33" ht="15" customHeight="1" s="25">
      <c r="A33" s="45" t="inlineStr">
        <is>
          <t>primeu</t>
        </is>
      </c>
      <c r="B33" s="45" t="inlineStr">
        <is>
          <t>Prime U</t>
        </is>
      </c>
      <c r="C33" s="45" t="inlineStr">
        <is>
          <t>Empresa</t>
        </is>
      </c>
      <c r="D33" s="45" t="inlineStr">
        <is>
          <t>Vorcaro e o Banco Master</t>
        </is>
      </c>
      <c r="E33" s="45" t="inlineStr">
        <is>
          <t>Bens de luxo; Vorcaro sócio; pagou passagens das mulheres</t>
        </is>
      </c>
      <c r="F33" s="45">
        <f>COUNTIF(Edges!$A$2:$A$182,A33)+COUNTIF(Edges!$B$2:$B$182,A33)</f>
        <v/>
      </c>
      <c r="G33" s="24" t="n"/>
      <c r="H33" s="24" t="n"/>
      <c r="I33" s="24" t="n"/>
      <c r="J33" s="24" t="n"/>
    </row>
    <row r="34" ht="15" customHeight="1" s="25">
      <c r="A34" s="45" t="inlineStr">
        <is>
          <t>luri</t>
        </is>
      </c>
      <c r="B34" s="45" t="inlineStr">
        <is>
          <t>Luri Eventos</t>
        </is>
      </c>
      <c r="C34" s="45" t="inlineStr">
        <is>
          <t>Empresa</t>
        </is>
      </c>
      <c r="D34" s="45" t="inlineStr">
        <is>
          <t>Vorcaro e o Banco Master</t>
        </is>
      </c>
      <c r="E34" s="45" t="inlineStr">
        <is>
          <t>Agência que recrutava as mulheres das festas</t>
        </is>
      </c>
      <c r="F34" s="45">
        <f>COUNTIF(Edges!$A$2:$A$182,A34)+COUNTIF(Edges!$B$2:$B$182,A34)</f>
        <v/>
      </c>
      <c r="G34" s="24" t="n"/>
      <c r="H34" s="24" t="n"/>
      <c r="I34" s="24" t="n"/>
      <c r="J34" s="24" t="n"/>
    </row>
    <row r="35" ht="23.25" customHeight="1" s="25">
      <c r="A35" s="45" t="inlineStr">
        <is>
          <t>promoter</t>
        </is>
      </c>
      <c r="B35" s="45" t="inlineStr">
        <is>
          <t>Promoter</t>
        </is>
      </c>
      <c r="C35" s="45" t="inlineStr">
        <is>
          <t>Pessoa</t>
        </is>
      </c>
      <c r="D35" s="45" t="inlineStr">
        <is>
          <t>Vorcaro e o Banco Master</t>
        </is>
      </c>
      <c r="E35" s="45" t="inlineStr">
        <is>
          <t>Levava as mulheres às festas; valor mensal citado na transcrição é impreciso (~R$ 60 mil)</t>
        </is>
      </c>
      <c r="F35" s="45">
        <f>COUNTIF(Edges!$A$2:$A$182,A35)+COUNTIF(Edges!$B$2:$B$182,A35)</f>
        <v/>
      </c>
    </row>
    <row r="36" ht="15" customHeight="1" s="25">
      <c r="A36" s="45" t="inlineStr">
        <is>
          <t>mordomo</t>
        </is>
      </c>
      <c r="B36" s="45" t="inlineStr">
        <is>
          <t>Mordomo do triplex</t>
        </is>
      </c>
      <c r="C36" s="45" t="inlineStr">
        <is>
          <t>Pessoa</t>
        </is>
      </c>
      <c r="D36" s="45" t="inlineStr">
        <is>
          <t>Vorcaro e o Banco Master</t>
        </is>
      </c>
      <c r="E36" s="45" t="inlineStr">
        <is>
          <t>Mandava mensagens a Vorcaro sobre as festas</t>
        </is>
      </c>
      <c r="F36" s="45">
        <f>COUNTIF(Edges!$A$2:$A$182,A36)+COUNTIF(Edges!$B$2:$B$182,A36)</f>
        <v/>
      </c>
    </row>
    <row r="37" ht="15" customHeight="1" s="25">
      <c r="A37" s="45" t="inlineStr">
        <is>
          <t>mulheres</t>
        </is>
      </c>
      <c r="B37" s="45" t="inlineStr">
        <is>
          <t>Mulheres das festas</t>
        </is>
      </c>
      <c r="C37" s="45" t="inlineStr">
        <is>
          <t>Pessoa</t>
        </is>
      </c>
      <c r="D37" s="45" t="inlineStr">
        <is>
          <t>Vorcaro e o Banco Master</t>
        </is>
      </c>
      <c r="E37" s="45" t="inlineStr">
        <is>
          <t>Agenciadas; entre elas uma ucraniana de 19 anos</t>
        </is>
      </c>
      <c r="F37" s="45">
        <f>COUNTIF(Edges!$A$2:$A$182,A37)+COUNTIF(Edges!$B$2:$B$182,A37)</f>
        <v/>
      </c>
    </row>
    <row r="38" ht="15" customHeight="1" s="25">
      <c r="A38" s="45" t="inlineStr">
        <is>
          <t>angra</t>
        </is>
      </c>
      <c r="B38" s="45" t="inlineStr">
        <is>
          <t>Mansão em Angra dos Reis</t>
        </is>
      </c>
      <c r="C38" s="45" t="inlineStr">
        <is>
          <t>Casa ou ativo</t>
        </is>
      </c>
      <c r="D38" s="45" t="inlineStr">
        <is>
          <t>Casas e ativos</t>
        </is>
      </c>
      <c r="E38" s="45" t="inlineStr">
        <is>
          <t>Era do Richarlison; hoje da WT; festa da filha de Flávio</t>
        </is>
      </c>
      <c r="F38" s="45">
        <f>COUNTIF(Edges!$A$2:$A$182,A38)+COUNTIF(Edges!$B$2:$B$182,A38)</f>
        <v/>
      </c>
      <c r="G38" s="24" t="n"/>
      <c r="H38" s="24" t="n"/>
      <c r="I38" s="24" t="n"/>
      <c r="J38" s="24" t="n"/>
    </row>
    <row r="39" ht="15" customHeight="1" s="25">
      <c r="A39" s="45" t="inlineStr">
        <is>
          <t>aptosp</t>
        </is>
      </c>
      <c r="B39" s="45" t="inlineStr">
        <is>
          <t>Apartamento de luxo em SP</t>
        </is>
      </c>
      <c r="C39" s="45" t="inlineStr">
        <is>
          <t>Casa ou ativo</t>
        </is>
      </c>
      <c r="D39" s="45" t="inlineStr">
        <is>
          <t>Casas e ativos</t>
        </is>
      </c>
      <c r="E39" s="45" t="inlineStr">
        <is>
          <t>Zetel vendeu à WT com R$ 2 mi de prejuízo; Flávio usou na campanha</t>
        </is>
      </c>
      <c r="F39" s="45">
        <f>COUNTIF(Edges!$A$2:$A$182,A39)+COUNTIF(Edges!$B$2:$B$182,A39)</f>
        <v/>
      </c>
      <c r="G39" s="24" t="n"/>
      <c r="H39" s="24" t="n"/>
      <c r="I39" s="24" t="n"/>
      <c r="J39" s="24" t="n"/>
    </row>
    <row r="40" ht="15" customHeight="1" s="25">
      <c r="A40" s="45" t="inlineStr">
        <is>
          <t>triplex</t>
        </is>
      </c>
      <c r="B40" s="45" t="inlineStr">
        <is>
          <t>Triplex de Vorcaro</t>
        </is>
      </c>
      <c r="C40" s="45" t="inlineStr">
        <is>
          <t>Casa ou ativo</t>
        </is>
      </c>
      <c r="D40" s="45" t="inlineStr">
        <is>
          <t>Casas e ativos</t>
        </is>
      </c>
      <c r="E40" s="45" t="inlineStr">
        <is>
          <t>Palco das festas</t>
        </is>
      </c>
      <c r="F40" s="45">
        <f>COUNTIF(Edges!$A$2:$A$182,A40)+COUNTIF(Edges!$B$2:$B$182,A40)</f>
        <v/>
      </c>
      <c r="G40" s="24" t="n"/>
      <c r="H40" s="24" t="n"/>
      <c r="I40" s="24" t="n"/>
      <c r="J40" s="24" t="n"/>
    </row>
    <row r="41" ht="23.25" customHeight="1" s="25">
      <c r="A41" s="45" t="inlineStr">
        <is>
          <t>jato</t>
        </is>
      </c>
      <c r="B41" s="45" t="inlineStr">
        <is>
          <t>Jato (3 cotistas)</t>
        </is>
      </c>
      <c r="C41" s="45" t="inlineStr">
        <is>
          <t>Casa ou ativo</t>
        </is>
      </c>
      <c r="D41" s="45" t="inlineStr">
        <is>
          <t>Casas e ativos</t>
        </is>
      </c>
      <c r="E41" s="45" t="inlineStr">
        <is>
          <t>Três donos: Alcazar, Prime U e um terceiro não nomeado no vídeo; Flávio voou em jan/2025</t>
        </is>
      </c>
      <c r="F41" s="45">
        <f>COUNTIF(Edges!$A$2:$A$182,A41)+COUNTIF(Edges!$B$2:$B$182,A41)</f>
        <v/>
      </c>
      <c r="G41" s="24" t="n"/>
      <c r="H41" s="24" t="n"/>
      <c r="I41" s="24" t="n"/>
      <c r="J41" s="24" t="n"/>
    </row>
    <row r="42" ht="15" customHeight="1" s="25">
      <c r="A42" s="45" t="inlineStr">
        <is>
          <t>atibaia</t>
        </is>
      </c>
      <c r="B42" s="45" t="inlineStr">
        <is>
          <t>Casa de Wassef em Atibaia</t>
        </is>
      </c>
      <c r="C42" s="45" t="inlineStr">
        <is>
          <t>Casa ou ativo</t>
        </is>
      </c>
      <c r="D42" s="45" t="inlineStr">
        <is>
          <t>Casas e ativos</t>
        </is>
      </c>
      <c r="E42" s="45" t="inlineStr">
        <is>
          <t>Onde Queiroz foi achado escondido (jun/2020)</t>
        </is>
      </c>
      <c r="F42" s="45">
        <f>COUNTIF(Edges!$A$2:$A$182,A42)+COUNTIF(Edges!$B$2:$B$182,A42)</f>
        <v/>
      </c>
      <c r="G42" s="24" t="n"/>
      <c r="H42" s="24" t="n"/>
      <c r="I42" s="24" t="n"/>
      <c r="J42" s="24" t="n"/>
    </row>
    <row r="43" ht="15" customHeight="1" s="25">
      <c r="A43" s="45" t="inlineStr">
        <is>
          <t>richarlison</t>
        </is>
      </c>
      <c r="B43" s="45" t="inlineStr">
        <is>
          <t>Richarlison</t>
        </is>
      </c>
      <c r="C43" s="45" t="inlineStr">
        <is>
          <t>Pessoa</t>
        </is>
      </c>
      <c r="D43" s="45" t="inlineStr">
        <is>
          <t>Casas e ativos</t>
        </is>
      </c>
      <c r="E43" s="45" t="inlineStr">
        <is>
          <t>Jogador; investiu ~R$ 10 mi na casa e perdeu</t>
        </is>
      </c>
      <c r="F43" s="45">
        <f>COUNTIF(Edges!$A$2:$A$182,A43)+COUNTIF(Edges!$B$2:$B$182,A43)</f>
        <v/>
      </c>
    </row>
    <row r="44" ht="15" customHeight="1" s="25">
      <c r="A44" s="45" t="inlineStr">
        <is>
          <t>dono</t>
        </is>
      </c>
      <c r="B44" s="45" t="inlineStr">
        <is>
          <t>Antônio Marcos da Silva</t>
        </is>
      </c>
      <c r="C44" s="45" t="inlineStr">
        <is>
          <t>Pessoa</t>
        </is>
      </c>
      <c r="D44" s="45" t="inlineStr">
        <is>
          <t>Casas e ativos</t>
        </is>
      </c>
      <c r="E44" s="45" t="inlineStr">
        <is>
          <t>Dono da mansão; ouviu Flávio chamar Willer de sócio</t>
        </is>
      </c>
      <c r="F44" s="45">
        <f>COUNTIF(Edges!$A$2:$A$182,A44)+COUNTIF(Edges!$B$2:$B$182,A44)</f>
        <v/>
      </c>
    </row>
    <row r="45" ht="15" customHeight="1" s="25">
      <c r="A45" s="45" t="inlineStr">
        <is>
          <t>nunes</t>
        </is>
      </c>
      <c r="B45" s="45" t="inlineStr">
        <is>
          <t>Kássio Nunes Marques</t>
        </is>
      </c>
      <c r="C45" s="45" t="inlineStr">
        <is>
          <t>Pessoa</t>
        </is>
      </c>
      <c r="D45" s="45" t="inlineStr">
        <is>
          <t>Poder e Justiça</t>
        </is>
      </c>
      <c r="E45" s="45" t="inlineStr">
        <is>
          <t>Ministro do STF; preside o TSE; nega irregularidades</t>
        </is>
      </c>
      <c r="F45" s="45">
        <f>COUNTIF(Edges!$A$2:$A$182,A45)+COUNTIF(Edges!$B$2:$B$182,A45)</f>
        <v/>
      </c>
    </row>
    <row r="46" ht="15" customHeight="1" s="25">
      <c r="A46" s="45" t="inlineStr">
        <is>
          <t>kevin</t>
        </is>
      </c>
      <c r="B46" s="45" t="inlineStr">
        <is>
          <t>Kevin Marques</t>
        </is>
      </c>
      <c r="C46" s="45" t="inlineStr">
        <is>
          <t>Pessoa</t>
        </is>
      </c>
      <c r="D46" s="45" t="inlineStr">
        <is>
          <t>Poder e Justiça</t>
        </is>
      </c>
      <c r="E46" s="45" t="inlineStr">
        <is>
          <t>Filho de Nunes; ~R$ 300 mil via consultoria</t>
        </is>
      </c>
      <c r="F46" s="45">
        <f>COUNTIF(Edges!$A$2:$A$182,A46)+COUNTIF(Edges!$B$2:$B$182,A46)</f>
        <v/>
      </c>
    </row>
    <row r="47" ht="15" customHeight="1" s="25">
      <c r="A47" s="45" t="inlineStr">
        <is>
          <t>consult</t>
        </is>
      </c>
      <c r="B47" s="45" t="inlineStr">
        <is>
          <t>Consultoria do amigo de Nunes</t>
        </is>
      </c>
      <c r="C47" s="45" t="inlineStr">
        <is>
          <t>Empresa</t>
        </is>
      </c>
      <c r="D47" s="45" t="inlineStr">
        <is>
          <t>Poder e Justiça</t>
        </is>
      </c>
      <c r="E47" s="45" t="inlineStr">
        <is>
          <t>Recebeu R$ 6,6 mi do Master</t>
        </is>
      </c>
      <c r="F47" s="45">
        <f>COUNTIF(Edges!$A$2:$A$182,A47)+COUNTIF(Edges!$B$2:$B$182,A47)</f>
        <v/>
      </c>
    </row>
    <row r="48" ht="15" customHeight="1" s="25">
      <c r="A48" s="45" t="inlineStr">
        <is>
          <t>coaf</t>
        </is>
      </c>
      <c r="B48" s="45" t="inlineStr">
        <is>
          <t>Caso rachadinha / COAF</t>
        </is>
      </c>
      <c r="C48" s="45" t="inlineStr">
        <is>
          <t>Instituição ou caso</t>
        </is>
      </c>
      <c r="D48" s="45" t="inlineStr">
        <is>
          <t>Poder e Justiça</t>
        </is>
      </c>
      <c r="E48" s="45" t="inlineStr">
        <is>
          <t>Relatórios anulados pelo STF (nov/2021)</t>
        </is>
      </c>
      <c r="F48" s="45">
        <f>COUNTIF(Edges!$A$2:$A$182,A48)+COUNTIF(Edges!$B$2:$B$182,A48)</f>
        <v/>
      </c>
      <c r="G48" s="24" t="n"/>
      <c r="H48" s="24" t="n"/>
      <c r="I48" s="24" t="n"/>
      <c r="J48" s="24" t="n"/>
    </row>
    <row r="49" ht="15" customHeight="1" s="25">
      <c r="A49" s="45" t="inlineStr">
        <is>
          <t>ramagem</t>
        </is>
      </c>
      <c r="B49" s="45" t="inlineStr">
        <is>
          <t>Alexandre Ramagem</t>
        </is>
      </c>
      <c r="C49" s="45" t="inlineStr">
        <is>
          <t>Pessoa</t>
        </is>
      </c>
      <c r="D49" s="45" t="inlineStr">
        <is>
          <t>Poder e Justiça</t>
        </is>
      </c>
      <c r="E49" s="45" t="inlineStr">
        <is>
          <t>Ex-chefe da Abin; condenado a 16 anos; foragido na Flórida</t>
        </is>
      </c>
      <c r="F49" s="45">
        <f>COUNTIF(Edges!$A$2:$A$182,A49)+COUNTIF(Edges!$B$2:$B$182,A49)</f>
        <v/>
      </c>
    </row>
    <row r="50" ht="15" customHeight="1" s="25">
      <c r="A50" s="45" t="inlineStr">
        <is>
          <t>heleno</t>
        </is>
      </c>
      <c r="B50" s="45" t="inlineStr">
        <is>
          <t>General Heleno</t>
        </is>
      </c>
      <c r="C50" s="45" t="inlineStr">
        <is>
          <t>Pessoa</t>
        </is>
      </c>
      <c r="D50" s="45" t="inlineStr">
        <is>
          <t>Poder e Justiça</t>
        </is>
      </c>
      <c r="E50" s="45" t="inlineStr">
        <is>
          <t>Na reunião de 2020 sobre a rachadinha</t>
        </is>
      </c>
      <c r="F50" s="45">
        <f>COUNTIF(Edges!$A$2:$A$182,A50)+COUNTIF(Edges!$B$2:$B$182,A50)</f>
        <v/>
      </c>
    </row>
    <row r="51" ht="15" customHeight="1" s="25">
      <c r="A51" s="45" t="inlineStr">
        <is>
          <t>moro</t>
        </is>
      </c>
      <c r="B51" s="45" t="inlineStr">
        <is>
          <t>Sérgio Moro</t>
        </is>
      </c>
      <c r="C51" s="45" t="inlineStr">
        <is>
          <t>Pessoa</t>
        </is>
      </c>
      <c r="D51" s="45" t="inlineStr">
        <is>
          <t>Poder e Justiça</t>
        </is>
      </c>
      <c r="E51" s="45" t="inlineStr">
        <is>
          <t>Deixou o Ministério da Justiça (abr/2020)</t>
        </is>
      </c>
      <c r="F51" s="45">
        <f>COUNTIF(Edges!$A$2:$A$182,A51)+COUNTIF(Edges!$B$2:$B$182,A51)</f>
        <v/>
      </c>
    </row>
    <row r="52" ht="15" customHeight="1" s="25">
      <c r="A52" s="45" t="inlineStr">
        <is>
          <t>abin</t>
        </is>
      </c>
      <c r="B52" s="45" t="inlineStr">
        <is>
          <t>Abin</t>
        </is>
      </c>
      <c r="C52" s="45" t="inlineStr">
        <is>
          <t>Instituição ou caso</t>
        </is>
      </c>
      <c r="D52" s="45" t="inlineStr">
        <is>
          <t>Poder e Justiça</t>
        </is>
      </c>
      <c r="E52" s="45" t="inlineStr">
        <is>
          <t>Relatórios para “defender FB”</t>
        </is>
      </c>
      <c r="F52" s="45">
        <f>COUNTIF(Edges!$A$2:$A$182,A52)+COUNTIF(Edges!$B$2:$B$182,A52)</f>
        <v/>
      </c>
      <c r="G52" s="24" t="inlineStr">
        <is>
          <t>abin.jpg</t>
        </is>
      </c>
      <c r="H52" s="24" t="inlineStr">
        <is>
          <t>Antonio Cruz/Agência Brasil · CC BY 3.0 BR</t>
        </is>
      </c>
      <c r="I52" s="24" t="inlineStr">
        <is>
          <t>https://commons.wikimedia.org/wiki/File:Pr%C3%A9dio_da_Abin.jpg</t>
        </is>
      </c>
      <c r="J52" s="24" t="inlineStr"/>
    </row>
    <row r="53" ht="15" customHeight="1" s="25">
      <c r="A53" s="45" t="inlineStr">
        <is>
          <t>receita</t>
        </is>
      </c>
      <c r="B53" s="45" t="inlineStr">
        <is>
          <t>Receita Federal</t>
        </is>
      </c>
      <c r="C53" s="45" t="inlineStr">
        <is>
          <t>Instituição ou caso</t>
        </is>
      </c>
      <c r="D53" s="45" t="inlineStr">
        <is>
          <t>Poder e Justiça</t>
        </is>
      </c>
      <c r="E53" s="45" t="inlineStr">
        <is>
          <t>Chefe foi pessoalmente à casa de Flávio</t>
        </is>
      </c>
      <c r="F53" s="45">
        <f>COUNTIF(Edges!$A$2:$A$182,A53)+COUNTIF(Edges!$B$2:$B$182,A53)</f>
        <v/>
      </c>
      <c r="G53" s="24" t="inlineStr">
        <is>
          <t>receita.jpg</t>
        </is>
      </c>
      <c r="H53" s="24" t="inlineStr">
        <is>
          <t>Academia de Letras de Campo Maior · CC BY-SA 4.0</t>
        </is>
      </c>
      <c r="I53" s="24" t="inlineStr">
        <is>
          <t>https://commons.wikimedia.org/wiki/File:Ag%C3%AAncia_da_Receita_Federal_de_Campo_Maior,_Piau%C3%AD,_Brasil.JPG</t>
        </is>
      </c>
      <c r="J53" s="24" t="inlineStr"/>
    </row>
    <row r="54" ht="15" customHeight="1" s="25">
      <c r="A54" s="45" t="inlineStr">
        <is>
          <t>pf</t>
        </is>
      </c>
      <c r="B54" s="45" t="inlineStr">
        <is>
          <t>Polícia Federal</t>
        </is>
      </c>
      <c r="C54" s="45" t="inlineStr">
        <is>
          <t>Instituição ou caso</t>
        </is>
      </c>
      <c r="D54" s="45" t="inlineStr">
        <is>
          <t>Poder e Justiça</t>
        </is>
      </c>
      <c r="E54" s="45" t="inlineStr">
        <is>
          <t>Investiga Willer e o Careca; diretor é indicado pelo presidente</t>
        </is>
      </c>
      <c r="F54" s="45">
        <f>COUNTIF(Edges!$A$2:$A$182,A54)+COUNTIF(Edges!$B$2:$B$182,A54)</f>
        <v/>
      </c>
      <c r="G54" s="24" t="inlineStr">
        <is>
          <t>pf.jpg</t>
        </is>
      </c>
      <c r="H54" s="24" t="inlineStr">
        <is>
          <t>Agência Senado · CC BY 2.0</t>
        </is>
      </c>
      <c r="I54" s="24" t="inlineStr">
        <is>
          <t>https://commons.wikimedia.org/wiki/File:Sede_da_Pol%C3%ADcia_Federal_(52830107256).jpg</t>
        </is>
      </c>
      <c r="J54" s="24" t="inlineStr"/>
    </row>
    <row r="55" ht="15" customHeight="1" s="25">
      <c r="A55" s="45" t="inlineStr">
        <is>
          <t>pgr</t>
        </is>
      </c>
      <c r="B55" s="45" t="inlineStr">
        <is>
          <t>Procuradoria-Geral (PGR)</t>
        </is>
      </c>
      <c r="C55" s="45" t="inlineStr">
        <is>
          <t>Instituição ou caso</t>
        </is>
      </c>
      <c r="D55" s="45" t="inlineStr">
        <is>
          <t>Poder e Justiça</t>
        </is>
      </c>
      <c r="E55" s="45" t="inlineStr">
        <is>
          <t>Decide se denuncia Vorcaro; chefe indicado pelo presidente</t>
        </is>
      </c>
      <c r="F55" s="45">
        <f>COUNTIF(Edges!$A$2:$A$182,A55)+COUNTIF(Edges!$B$2:$B$182,A55)</f>
        <v/>
      </c>
      <c r="G55" s="24" t="inlineStr">
        <is>
          <t>pgr.jpg</t>
        </is>
      </c>
      <c r="H55" s="24" t="inlineStr">
        <is>
          <t>Webysther · CC BY-SA 4.0</t>
        </is>
      </c>
      <c r="I55" s="24" t="inlineStr">
        <is>
          <t>https://commons.wikimedia.org/wiki/File:Webysther_20180212174501_-_PGR_-_Procuradoria_Geral_da_Rep%C3%BAblica.jpg</t>
        </is>
      </c>
      <c r="J55" s="24" t="inlineStr"/>
    </row>
    <row r="56" ht="23.25" customHeight="1" s="25">
      <c r="A56" s="45" t="inlineStr">
        <is>
          <t>ciro</t>
        </is>
      </c>
      <c r="B56" s="45" t="inlineStr">
        <is>
          <t>Ciro Nogueira</t>
        </is>
      </c>
      <c r="C56" s="45" t="inlineStr">
        <is>
          <t>Pessoa</t>
        </is>
      </c>
      <c r="D56" s="45" t="inlineStr">
        <is>
          <t>Poder e Justiça</t>
        </is>
      </c>
      <c r="E56" s="45" t="inlineStr">
        <is>
          <t>Teria influenciado a escolha de Nunes Marques com Flávio (Folha, set/2020). A transcrição grafa “Círio Nogueira”; identificação inferida</t>
        </is>
      </c>
      <c r="F56" s="45">
        <f>COUNTIF(Edges!$A$2:$A$182,A56)+COUNTIF(Edges!$B$2:$B$182,A56)</f>
        <v/>
      </c>
    </row>
    <row r="57" ht="23.25" customHeight="1" s="25">
      <c r="A57" s="45" t="inlineStr">
        <is>
          <t>stf</t>
        </is>
      </c>
      <c r="B57" s="45" t="inlineStr">
        <is>
          <t>STF</t>
        </is>
      </c>
      <c r="C57" s="45" t="inlineStr">
        <is>
          <t>Instituição ou caso</t>
        </is>
      </c>
      <c r="D57" s="45" t="inlineStr">
        <is>
          <t>Poder e Justiça</t>
        </is>
      </c>
      <c r="E57" s="45" t="inlineStr">
        <is>
          <t>Nunes é ministro; anulou provas da rachadinha; abriu 3 inquéritos de Lulinha; investiga Flávio no caso do filme</t>
        </is>
      </c>
      <c r="F57" s="45">
        <f>COUNTIF(Edges!$A$2:$A$182,A57)+COUNTIF(Edges!$B$2:$B$182,A57)</f>
        <v/>
      </c>
      <c r="G57" s="24" t="inlineStr">
        <is>
          <t>stf.jpg</t>
        </is>
      </c>
      <c r="H57" s="24" t="inlineStr">
        <is>
          <t>Daderot · CC0 (domínio público)</t>
        </is>
      </c>
      <c r="I57" s="24" t="inlineStr">
        <is>
          <t>https://commons.wikimedia.org/wiki/File:Supremo_Tribunal_Federal_building_in_Brasilia_-_DSC00288.JPG</t>
        </is>
      </c>
      <c r="J57" s="24" t="inlineStr"/>
    </row>
    <row r="58" ht="15" customHeight="1" s="25">
      <c r="A58" s="45" t="inlineStr">
        <is>
          <t>tse</t>
        </is>
      </c>
      <c r="B58" s="45" t="inlineStr">
        <is>
          <t>TSE</t>
        </is>
      </c>
      <c r="C58" s="45" t="inlineStr">
        <is>
          <t>Instituição ou caso</t>
        </is>
      </c>
      <c r="D58" s="45" t="inlineStr">
        <is>
          <t>Poder e Justiça</t>
        </is>
      </c>
      <c r="E58" s="45" t="inlineStr">
        <is>
          <t>Presidido por Nunes; suspendeu propaganda sobre o dinheiro do Master</t>
        </is>
      </c>
      <c r="F58" s="45">
        <f>COUNTIF(Edges!$A$2:$A$182,A58)+COUNTIF(Edges!$B$2:$B$182,A58)</f>
        <v/>
      </c>
      <c r="G58" s="24" t="inlineStr">
        <is>
          <t>tse.jpg</t>
        </is>
      </c>
      <c r="H58" s="24" t="inlineStr">
        <is>
          <t>Alexandresena · CC BY-SA 4.0</t>
        </is>
      </c>
      <c r="I58" s="24" t="inlineStr">
        <is>
          <t>https://commons.wikimedia.org/wiki/File:Sede_do_Tribunal_Superior_Eleitoral,_em_Bras%C3%ADlia.jpg</t>
        </is>
      </c>
      <c r="J58" s="24" t="inlineStr"/>
    </row>
    <row r="59">
      <c r="A59" s="45" t="inlineStr">
        <is>
          <t>mendonca</t>
        </is>
      </c>
      <c r="B59" s="45" t="inlineStr">
        <is>
          <t>André Mendonça</t>
        </is>
      </c>
      <c r="C59" s="45" t="inlineStr">
        <is>
          <t>Pessoa</t>
        </is>
      </c>
      <c r="D59" s="45" t="inlineStr">
        <is>
          <t>Poder e Justiça</t>
        </is>
      </c>
      <c r="E59" s="45" t="inlineStr">
        <is>
          <t>Ministro do STF indicado por Jair; relator do caso Master desde fev/2026</t>
        </is>
      </c>
      <c r="F59" s="45">
        <f>COUNTIF(Edges!$A$2:$A$182,A59)+COUNTIF(Edges!$B$2:$B$182,A59)</f>
        <v/>
      </c>
      <c r="G59" s="24" t="n"/>
      <c r="H59" s="24" t="n"/>
      <c r="I59" s="24" t="n"/>
      <c r="J59" s="24" t="n"/>
    </row>
    <row r="60">
      <c r="A60" s="45" t="inlineStr">
        <is>
          <t>iter</t>
        </is>
      </c>
      <c r="B60" s="45" t="inlineStr">
        <is>
          <t>Instituto ITER</t>
        </is>
      </c>
      <c r="C60" s="45" t="inlineStr">
        <is>
          <t>Instituição ou caso</t>
        </is>
      </c>
      <c r="D60" s="45" t="inlineStr">
        <is>
          <t>Poder e Justiça</t>
        </is>
      </c>
      <c r="E60" s="45" t="inlineStr">
        <is>
          <t>Fundado por Mendonça; contratos públicos sem licitação; aporte de empresa de sócio de Vorcaro</t>
        </is>
      </c>
      <c r="F60" s="45">
        <f>COUNTIF(Edges!$A$2:$A$182,A60)+COUNTIF(Edges!$B$2:$B$182,A60)</f>
        <v/>
      </c>
      <c r="G60" s="24" t="n"/>
      <c r="H60" s="24" t="n"/>
      <c r="I60" s="24" t="n"/>
      <c r="J60" s="24" t="n"/>
    </row>
    <row r="61">
      <c r="A61" s="45" t="inlineStr">
        <is>
          <t>cirorocha</t>
        </is>
      </c>
      <c r="B61" s="45" t="inlineStr">
        <is>
          <t>Ciro Rocha Soares</t>
        </is>
      </c>
      <c r="C61" s="45" t="inlineStr">
        <is>
          <t>Pessoa</t>
        </is>
      </c>
      <c r="D61" s="45" t="inlineStr">
        <is>
          <t>Vorcaro e o Banco Master</t>
        </is>
      </c>
      <c r="E61" s="45" t="inlineStr">
        <is>
          <t>Advogado de Vorcaro; mensagens o mostram aproximando o banqueiro de Mendonça</t>
        </is>
      </c>
      <c r="F61" s="45">
        <f>COUNTIF(Edges!$A$2:$A$182,A61)+COUNTIF(Edges!$B$2:$B$182,A61)</f>
        <v/>
      </c>
      <c r="G61" s="24" t="n"/>
      <c r="H61" s="24" t="n"/>
      <c r="I61" s="24" t="n"/>
      <c r="J61" s="24" t="n"/>
    </row>
    <row r="62">
      <c r="A62" s="45" t="inlineStr">
        <is>
          <t>cezinha</t>
        </is>
      </c>
      <c r="B62" s="45" t="inlineStr">
        <is>
          <t>Cezinha de Madureira</t>
        </is>
      </c>
      <c r="C62" s="45" t="inlineStr">
        <is>
          <t>Pessoa</t>
        </is>
      </c>
      <c r="D62" s="45" t="inlineStr">
        <is>
          <t>Poder e Justiça</t>
        </is>
      </c>
      <c r="E62" s="45" t="inlineStr">
        <is>
          <t>Deputado federal; ajudou a articular a reunião Mendonça–Vorcaro de mar/2025; alvo de operação autorizada por Dino</t>
        </is>
      </c>
      <c r="F62" s="45">
        <f>COUNTIF(Edges!$A$2:$A$182,A62)+COUNTIF(Edges!$B$2:$B$182,A62)</f>
        <v/>
      </c>
      <c r="G62" s="24" t="n"/>
      <c r="H62" s="24" t="n"/>
      <c r="I62" s="24" t="n"/>
      <c r="J62" s="24" t="n"/>
    </row>
    <row r="63">
      <c r="A63" s="45" t="inlineStr">
        <is>
          <t>bianco</t>
        </is>
      </c>
      <c r="B63" s="45" t="inlineStr">
        <is>
          <t>Bruno Bianco Leal</t>
        </is>
      </c>
      <c r="C63" s="45" t="inlineStr">
        <is>
          <t>Pessoa</t>
        </is>
      </c>
      <c r="D63" s="45" t="inlineStr">
        <is>
          <t>Poder e Justiça</t>
        </is>
      </c>
      <c r="E63" s="45" t="inlineStr">
        <is>
          <t>Ex-AGU do governo Jair; convidado para a reunião com Vorcaro</t>
        </is>
      </c>
      <c r="F63" s="45">
        <f>COUNTIF(Edges!$A$2:$A$182,A63)+COUNTIF(Edges!$B$2:$B$182,A63)</f>
        <v/>
      </c>
      <c r="G63" s="24" t="n"/>
      <c r="H63" s="24" t="n"/>
      <c r="I63" s="24" t="n"/>
      <c r="J63" s="24" t="n"/>
    </row>
    <row r="64">
      <c r="A64" s="45" t="inlineStr">
        <is>
          <t>tarcisio</t>
        </is>
      </c>
      <c r="B64" s="45" t="inlineStr">
        <is>
          <t>Tarcísio de Freitas</t>
        </is>
      </c>
      <c r="C64" s="45" t="inlineStr">
        <is>
          <t>Pessoa</t>
        </is>
      </c>
      <c r="D64" s="45" t="inlineStr">
        <is>
          <t>Poder e Justiça</t>
        </is>
      </c>
      <c r="E64" s="45" t="inlineStr">
        <is>
          <t>Governador de SP; recebeu R$ 2 mi de Zettel em 2022; governo dele contratou o ITER</t>
        </is>
      </c>
      <c r="F64" s="45">
        <f>COUNTIF(Edges!$A$2:$A$182,A64)+COUNTIF(Edges!$B$2:$B$182,A64)</f>
        <v/>
      </c>
      <c r="G64" s="24" t="n"/>
      <c r="H64" s="24" t="n"/>
      <c r="I64" s="24" t="n"/>
      <c r="J64" s="24" t="n"/>
    </row>
    <row r="65">
      <c r="A65" s="45" t="inlineStr">
        <is>
          <t>rnunes</t>
        </is>
      </c>
      <c r="B65" s="45" t="inlineStr">
        <is>
          <t>Ricardo Nunes</t>
        </is>
      </c>
      <c r="C65" s="45" t="inlineStr">
        <is>
          <t>Pessoa</t>
        </is>
      </c>
      <c r="D65" s="45" t="inlineStr">
        <is>
          <t>Poder e Justiça</t>
        </is>
      </c>
      <c r="E65" s="45" t="inlineStr">
        <is>
          <t>Prefeito de SP; prefeitura contratou o ITER</t>
        </is>
      </c>
      <c r="F65" s="45">
        <f>COUNTIF(Edges!$A$2:$A$182,A65)+COUNTIF(Edges!$B$2:$B$182,A65)</f>
        <v/>
      </c>
      <c r="G65" s="24" t="n"/>
      <c r="H65" s="24" t="n"/>
      <c r="I65" s="24" t="n"/>
      <c r="J65" s="24" t="n"/>
    </row>
    <row r="66">
      <c r="A66" s="45" t="inlineStr">
        <is>
          <t>castro</t>
        </is>
      </c>
      <c r="B66" s="45" t="inlineStr">
        <is>
          <t>Cláudio Castro</t>
        </is>
      </c>
      <c r="C66" s="45" t="inlineStr">
        <is>
          <t>Pessoa</t>
        </is>
      </c>
      <c r="D66" s="45" t="inlineStr">
        <is>
          <t>Poder e Justiça</t>
        </is>
      </c>
      <c r="E66" s="45" t="inlineStr">
        <is>
          <t>Governo dele no RJ contratou o ITER</t>
        </is>
      </c>
      <c r="F66" s="45">
        <f>COUNTIF(Edges!$A$2:$A$182,A66)+COUNTIF(Edges!$B$2:$B$182,A66)</f>
        <v/>
      </c>
      <c r="G66" s="24" t="n"/>
      <c r="H66" s="24" t="n"/>
      <c r="I66" s="24" t="n"/>
      <c r="J66" s="24" t="n"/>
    </row>
    <row r="67">
      <c r="A67" s="45" t="inlineStr">
        <is>
          <t>moraes</t>
        </is>
      </c>
      <c r="B67" s="45" t="inlineStr">
        <is>
          <t>Alexandre de Moraes</t>
        </is>
      </c>
      <c r="C67" s="45" t="inlineStr">
        <is>
          <t>Pessoa</t>
        </is>
      </c>
      <c r="D67" s="45" t="inlineStr">
        <is>
          <t>Poder e Justiça</t>
        </is>
      </c>
      <c r="E67" s="45" t="inlineStr">
        <is>
          <t>Ministro do STF</t>
        </is>
      </c>
      <c r="F67" s="45">
        <f>COUNTIF(Edges!$A$2:$A$182,A67)+COUNTIF(Edges!$B$2:$B$182,A67)</f>
        <v/>
      </c>
      <c r="G67" s="24" t="n"/>
      <c r="H67" s="24" t="n"/>
      <c r="I67" s="24" t="n"/>
      <c r="J67" s="24" t="n"/>
    </row>
    <row r="68">
      <c r="A68" s="45" t="inlineStr">
        <is>
          <t>faria</t>
        </is>
      </c>
      <c r="B68" s="45" t="inlineStr">
        <is>
          <t>Fábio Faria</t>
        </is>
      </c>
      <c r="C68" s="45" t="inlineStr">
        <is>
          <t>Pessoa</t>
        </is>
      </c>
      <c r="D68" s="45" t="inlineStr">
        <is>
          <t>Vorcaro e o Banco Master</t>
        </is>
      </c>
      <c r="E68" s="45" t="inlineStr">
        <is>
          <t>Ex-ministro das Comunicações de Jair; PF o aponta como articulador de Vorcaro em Brasília</t>
        </is>
      </c>
      <c r="F68" s="45">
        <f>COUNTIF(Edges!$A$2:$A$182,A68)+COUNTIF(Edges!$B$2:$B$182,A68)</f>
        <v/>
      </c>
      <c r="G68" s="24" t="n"/>
      <c r="H68" s="24" t="n"/>
      <c r="I68" s="24" t="n"/>
      <c r="J68" s="24" t="n"/>
    </row>
    <row r="69">
      <c r="A69" s="45" t="inlineStr">
        <is>
          <t>motta</t>
        </is>
      </c>
      <c r="B69" s="45" t="inlineStr">
        <is>
          <t>Hugo Motta</t>
        </is>
      </c>
      <c r="C69" s="45" t="inlineStr">
        <is>
          <t>Pessoa</t>
        </is>
      </c>
      <c r="D69" s="45" t="inlineStr">
        <is>
          <t>Vorcaro e o Banco Master</t>
        </is>
      </c>
      <c r="E69" s="45" t="inlineStr">
        <is>
          <t>Presidente da Câmara; em grupo de mensagens com Vorcaro</t>
        </is>
      </c>
      <c r="F69" s="45">
        <f>COUNTIF(Edges!$A$2:$A$182,A69)+COUNTIF(Edges!$B$2:$B$182,A69)</f>
        <v/>
      </c>
      <c r="G69" s="24" t="n"/>
      <c r="H69" s="24" t="n"/>
      <c r="I69" s="24" t="n"/>
      <c r="J69" s="24" t="n"/>
    </row>
    <row r="70">
      <c r="A70" s="45" t="inlineStr">
        <is>
          <t>frias</t>
        </is>
      </c>
      <c r="B70" s="45" t="inlineStr">
        <is>
          <t>Mario Frias</t>
        </is>
      </c>
      <c r="C70" s="45" t="inlineStr">
        <is>
          <t>Pessoa</t>
        </is>
      </c>
      <c r="D70" s="45" t="inlineStr">
        <is>
          <t>Flávio e família</t>
        </is>
      </c>
      <c r="E70" s="45" t="inlineStr">
        <is>
          <t>Ex-secretário de Cultura de Jair; produtor-executivo de Dark Horse</t>
        </is>
      </c>
      <c r="F70" s="45">
        <f>COUNTIF(Edges!$A$2:$A$182,A70)+COUNTIF(Edges!$B$2:$B$182,A70)</f>
        <v/>
      </c>
      <c r="G70" s="24" t="n"/>
      <c r="H70" s="24" t="n"/>
      <c r="I70" s="24" t="n"/>
      <c r="J70" s="24" t="n"/>
    </row>
    <row r="71">
      <c r="A71" s="45" t="inlineStr">
        <is>
          <t>marcal</t>
        </is>
      </c>
      <c r="B71" s="45" t="inlineStr">
        <is>
          <t>Pablo Marçal</t>
        </is>
      </c>
      <c r="C71" s="45" t="inlineStr">
        <is>
          <t>Pessoa</t>
        </is>
      </c>
      <c r="D71" s="45" t="inlineStr">
        <is>
          <t>Vorcaro e o Banco Master</t>
        </is>
      </c>
      <c r="E71" s="45" t="inlineStr">
        <is>
          <t>Ex-coach; voo de R$ 1,17 mi pago pela Prime You, de que Vorcaro era sócio; confirmou o uso</t>
        </is>
      </c>
      <c r="F71" s="45">
        <f>COUNTIF(Edges!$A$2:$A$182,A71)+COUNTIF(Edges!$B$2:$B$182,A71)</f>
        <v/>
      </c>
      <c r="G71" s="24" t="n"/>
      <c r="H71" s="24" t="n"/>
      <c r="I71" s="24" t="n"/>
      <c r="J71" s="24" t="n"/>
    </row>
    <row r="72">
      <c r="A72" s="45" t="inlineStr">
        <is>
          <t>govlula</t>
        </is>
      </c>
      <c r="B72" s="45" t="inlineStr">
        <is>
          <t>Governo Lula (Haddad, Gleisi, Mercadante)</t>
        </is>
      </c>
      <c r="C72" s="45" t="inlineStr">
        <is>
          <t>Instituição ou caso</t>
        </is>
      </c>
      <c r="D72" s="45" t="inlineStr">
        <is>
          <t>Poder e Justiça</t>
        </is>
      </c>
      <c r="E72" s="45" t="inlineStr">
        <is>
          <t>Mensagens: Vorcaro via Haddad como opositor e tentou “bloquear” Gleisi e Mercadante</t>
        </is>
      </c>
      <c r="F72" s="45">
        <f>COUNTIF(Edges!$A$2:$A$182,A72)+COUNTIF(Edges!$B$2:$B$182,A72)</f>
        <v/>
      </c>
      <c r="G72" s="24" t="n"/>
      <c r="H72" s="24" t="n"/>
      <c r="I72" s="24" t="n"/>
      <c r="J72" s="24" t="n"/>
    </row>
    <row r="73">
      <c r="A73" s="45" t="inlineStr">
        <is>
          <t>brb</t>
        </is>
      </c>
      <c r="B73" s="45" t="inlineStr">
        <is>
          <t>BRB (Banco de Brasília)</t>
        </is>
      </c>
      <c r="C73" s="45" t="inlineStr">
        <is>
          <t>Empresa</t>
        </is>
      </c>
      <c r="D73" s="45" t="inlineStr">
        <is>
          <t>Vorcaro e o Banco Master</t>
        </is>
      </c>
      <c r="E73" s="45" t="inlineStr">
        <is>
          <t>Banco público do DF, citado no caso Master; financiou a mansão de Flávio</t>
        </is>
      </c>
      <c r="F73" s="45">
        <f>COUNTIF(Edges!$A$2:$A$182,A73)+COUNTIF(Edges!$B$2:$B$182,A73)</f>
        <v/>
      </c>
      <c r="G73" s="24" t="n"/>
      <c r="H73" s="24" t="n"/>
      <c r="I73" s="24" t="n"/>
      <c r="J73" s="24" t="n"/>
    </row>
    <row r="74">
      <c r="A74" s="45" t="inlineStr">
        <is>
          <t>mansaobsb</t>
        </is>
      </c>
      <c r="B74" s="45" t="inlineStr">
        <is>
          <t>Mansão de Flávio em Brasília</t>
        </is>
      </c>
      <c r="C74" s="45" t="inlineStr">
        <is>
          <t>Casa ou ativo</t>
        </is>
      </c>
      <c r="D74" s="45" t="inlineStr">
        <is>
          <t>Casas e ativos</t>
        </is>
      </c>
      <c r="E74" s="45" t="inlineStr">
        <is>
          <t>R$ 6 mi, 2.400 m², Setor de Mansões Dom Bosco; R$ 3,1 mi financiados pelo BRB</t>
        </is>
      </c>
      <c r="F74" s="45">
        <f>COUNTIF(Edges!$A$2:$A$182,A74)+COUNTIF(Edges!$B$2:$B$182,A74)</f>
        <v/>
      </c>
      <c r="G74" s="24" t="n"/>
      <c r="H74" s="24" t="n"/>
      <c r="I74" s="24" t="n"/>
      <c r="J74" s="24" t="n"/>
    </row>
    <row r="75">
      <c r="A75" s="45" t="inlineStr">
        <is>
          <t>kopenhagen</t>
        </is>
      </c>
      <c r="B75" s="45" t="inlineStr">
        <is>
          <t>Loja Kopenhagen de Flávio</t>
        </is>
      </c>
      <c r="C75" s="45" t="inlineStr">
        <is>
          <t>Empresa</t>
        </is>
      </c>
      <c r="D75" s="45" t="inlineStr">
        <is>
          <t>Flávio e família</t>
        </is>
      </c>
      <c r="E75" s="45" t="inlineStr">
        <is>
          <t>Franquia no Via Parque (RJ), já vendida; MP suspeitou de lavagem da rachadinha</t>
        </is>
      </c>
      <c r="F75" s="45">
        <f>COUNTIF(Edges!$A$2:$A$182,A75)+COUNTIF(Edges!$B$2:$B$182,A75)</f>
        <v/>
      </c>
      <c r="G75" s="24" t="n"/>
      <c r="H75" s="24" t="n"/>
      <c r="I75" s="24" t="n"/>
      <c r="J75" s="24" t="n"/>
    </row>
    <row r="76">
      <c r="A76" s="45" t="inlineStr">
        <is>
          <t>adriano</t>
        </is>
      </c>
      <c r="B76" s="45" t="inlineStr">
        <is>
          <t>Adriano da Nóbrega</t>
        </is>
      </c>
      <c r="C76" s="45" t="inlineStr">
        <is>
          <t>Pessoa</t>
        </is>
      </c>
      <c r="D76" s="45" t="inlineStr">
        <is>
          <t>Flávio e família</t>
        </is>
      </c>
      <c r="E76" s="45" t="inlineStr">
        <is>
          <t>Ex-capitão do Bope, apontado como chefe do Escritório do Crime; morto em fev/2020</t>
        </is>
      </c>
      <c r="F76" s="45">
        <f>COUNTIF(Edges!$A$2:$A$182,A76)+COUNTIF(Edges!$B$2:$B$182,A76)</f>
        <v/>
      </c>
      <c r="G76" s="24" t="n"/>
      <c r="H76" s="24" t="n"/>
      <c r="I76" s="24" t="n"/>
      <c r="J76" s="24" t="n"/>
    </row>
    <row r="77">
      <c r="A77" s="45" t="inlineStr">
        <is>
          <t>ronald</t>
        </is>
      </c>
      <c r="B77" s="45" t="inlineStr">
        <is>
          <t>Ronald Paulo Alves Pereira</t>
        </is>
      </c>
      <c r="C77" s="45" t="inlineStr">
        <is>
          <t>Pessoa</t>
        </is>
      </c>
      <c r="D77" s="45" t="inlineStr">
        <is>
          <t>Flávio e família</t>
        </is>
      </c>
      <c r="E77" s="45" t="inlineStr">
        <is>
          <t>Apontado como liderança de milícia no Rio; homenageado por Flávio em 2004</t>
        </is>
      </c>
      <c r="F77" s="45">
        <f>COUNTIF(Edges!$A$2:$A$182,A77)+COUNTIF(Edges!$B$2:$B$182,A77)</f>
        <v/>
      </c>
      <c r="G77" s="24" t="n"/>
      <c r="H77" s="24" t="n"/>
      <c r="I77" s="24" t="n"/>
      <c r="J77" s="24" t="n"/>
    </row>
    <row r="78">
      <c r="A78" s="45" t="inlineStr">
        <is>
          <t>orelha</t>
        </is>
      </c>
      <c r="B78" s="45" t="inlineStr">
        <is>
          <t>Luís Carlos Felipe Martins (“Orelha”)</t>
        </is>
      </c>
      <c r="C78" s="45" t="inlineStr">
        <is>
          <t>Pessoa</t>
        </is>
      </c>
      <c r="D78" s="45" t="inlineStr">
        <is>
          <t>Flávio e família</t>
        </is>
      </c>
      <c r="E78" s="45" t="inlineStr">
        <is>
          <t>Ex-PM expulso, ligado à milícia de Rio das Pedras; homenageado por Flávio; morto em 2021</t>
        </is>
      </c>
      <c r="F78" s="45">
        <f>COUNTIF(Edges!$A$2:$A$182,A78)+COUNTIF(Edges!$B$2:$B$182,A78)</f>
        <v/>
      </c>
      <c r="G78" s="24" t="n"/>
      <c r="H78" s="24" t="n"/>
      <c r="I78" s="24" t="n"/>
      <c r="J78" s="24" t="n"/>
    </row>
    <row r="79">
      <c r="A79" s="45" t="inlineStr">
        <is>
          <t>pms16</t>
        </is>
      </c>
      <c r="B79" s="45" t="inlineStr">
        <is>
          <t>16 PMs denunciados</t>
        </is>
      </c>
      <c r="C79" s="45" t="inlineStr">
        <is>
          <t>Pessoa</t>
        </is>
      </c>
      <c r="D79" s="45" t="inlineStr">
        <is>
          <t>Flávio e família</t>
        </is>
      </c>
      <c r="E79" s="45" t="inlineStr">
        <is>
          <t>Condecorados por Flávio e Carlos; denunciados como integrantes de organizações criminosas</t>
        </is>
      </c>
      <c r="F79" s="45">
        <f>COUNTIF(Edges!$A$2:$A$182,A79)+COUNTIF(Edges!$B$2:$B$182,A79)</f>
        <v/>
      </c>
      <c r="G79" s="24" t="n"/>
      <c r="H79" s="24" t="n"/>
      <c r="I79" s="24" t="n"/>
      <c r="J79" s="24" t="n"/>
    </row>
    <row r="80">
      <c r="A80" s="45" t="inlineStr">
        <is>
          <t>peixe</t>
        </is>
      </c>
      <c r="B80" s="45" t="inlineStr">
        <is>
          <t>Robson Calixto (“Peixe”)</t>
        </is>
      </c>
      <c r="C80" s="45" t="inlineStr">
        <is>
          <t>Pessoa</t>
        </is>
      </c>
      <c r="D80" s="45" t="inlineStr">
        <is>
          <t>Flávio e família</t>
        </is>
      </c>
      <c r="E80" s="45" t="inlineStr">
        <is>
          <t>Robson Calixto, PM da reserva condenado no caso Marielle; PF diz que intermediou emenda de Flávio</t>
        </is>
      </c>
      <c r="F80" s="45">
        <f>COUNTIF(Edges!$A$2:$A$182,A80)+COUNTIF(Edges!$B$2:$B$182,A80)</f>
        <v/>
      </c>
      <c r="G80" s="24" t="n"/>
      <c r="H80" s="24" t="n"/>
      <c r="I80" s="24" t="n"/>
      <c r="J80" s="24" t="n"/>
    </row>
    <row r="81">
      <c r="A81" s="45" t="inlineStr">
        <is>
          <t>ongbrazao</t>
        </is>
      </c>
      <c r="B81" s="45" t="inlineStr">
        <is>
          <t>ONG ligada aos irmãos Brazão</t>
        </is>
      </c>
      <c r="C81" s="45" t="inlineStr">
        <is>
          <t>Empresa</t>
        </is>
      </c>
      <c r="D81" s="45" t="inlineStr">
        <is>
          <t>Flávio e família</t>
        </is>
      </c>
      <c r="E81" s="45" t="inlineStr">
        <is>
          <t>Instituto Ifop (Taquara, RJ); PF suspeita de ligação com os Brazão; a ONG nega</t>
        </is>
      </c>
      <c r="F81" s="45">
        <f>COUNTIF(Edges!$A$2:$A$182,A81)+COUNTIF(Edges!$B$2:$B$182,A81)</f>
        <v/>
      </c>
      <c r="G81" s="24" t="n"/>
      <c r="H81" s="24" t="n"/>
      <c r="I81" s="24" t="n"/>
      <c r="J81" s="24" t="n"/>
    </row>
    <row r="82">
      <c r="A82" s="45" t="inlineStr">
        <is>
          <t>gaspar</t>
        </is>
      </c>
      <c r="B82" s="45" t="inlineStr">
        <is>
          <t>Alfredo Gaspar</t>
        </is>
      </c>
      <c r="C82" s="45" t="inlineStr">
        <is>
          <t>Pessoa</t>
        </is>
      </c>
      <c r="D82" s="45" t="inlineStr">
        <is>
          <t>Flávio e família</t>
        </is>
      </c>
      <c r="E82" s="45" t="inlineStr">
        <is>
          <t>Vice na chapa de Flávio; pedido de investigação arquivado pelo STF (out/2026); nega</t>
        </is>
      </c>
      <c r="F82" s="45">
        <f>COUNTIF(Edges!$A$2:$A$182,A82)+COUNTIF(Edges!$B$2:$B$182,A82)</f>
        <v/>
      </c>
      <c r="G82" s="24" t="n"/>
      <c r="H82" s="24" t="n"/>
      <c r="I82" s="24" t="n"/>
      <c r="J82" s="24" t="n"/>
    </row>
    <row r="83">
      <c r="A83" s="45" t="inlineStr">
        <is>
          <t>jbcarvalho</t>
        </is>
      </c>
      <c r="B83" s="45" t="inlineStr">
        <is>
          <t>Bispo JB Carvalho</t>
        </is>
      </c>
      <c r="C83" s="45" t="inlineStr">
        <is>
          <t>Pessoa</t>
        </is>
      </c>
      <c r="D83" s="45" t="inlineStr">
        <is>
          <t>Flávio e família</t>
        </is>
      </c>
      <c r="E83" s="45" t="inlineStr">
        <is>
          <t>Bispo da Comunidade das Nações; defendeu em livro retirar o título de padroeira de N. Sra. Aparecida</t>
        </is>
      </c>
      <c r="F83" s="45">
        <f>COUNTIF(Edges!$A$2:$A$182,A83)+COUNTIF(Edges!$B$2:$B$182,A83)</f>
        <v/>
      </c>
      <c r="G83" s="24" t="n"/>
      <c r="H83" s="24" t="n"/>
      <c r="I83" s="24" t="n"/>
      <c r="J83" s="24" t="n"/>
    </row>
    <row r="84">
      <c r="A84" s="45" t="inlineStr">
        <is>
          <t>pmacusado</t>
        </is>
      </c>
      <c r="B84" s="45" t="inlineStr">
        <is>
          <t>PM acusado de matar menina de 5 anos</t>
        </is>
      </c>
      <c r="C84" s="45" t="inlineStr">
        <is>
          <t>Pessoa</t>
        </is>
      </c>
      <c r="D84" s="45" t="inlineStr">
        <is>
          <t>Flávio e família</t>
        </is>
      </c>
      <c r="E84" s="45" t="inlineStr">
        <is>
          <t>Preso em flagrante no RJ; Flávio atuou como advogado dele no STJ</t>
        </is>
      </c>
      <c r="F84" s="45">
        <f>COUNTIF(Edges!$A$2:$A$182,A84)+COUNTIF(Edges!$B$2:$B$182,A84)</f>
        <v/>
      </c>
      <c r="G84" s="24" t="n"/>
      <c r="H84" s="24" t="n"/>
      <c r="I84" s="24" t="n"/>
      <c r="J84" s="24" t="n"/>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8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2"/>
    <col width="60" customWidth="1" style="24" min="3" max="3"/>
    <col width="22" customWidth="1" style="24" min="4" max="4"/>
    <col width="30" customWidth="1" style="24" min="5" max="6"/>
  </cols>
  <sheetData>
    <row r="1" ht="15" customHeight="1" s="25">
      <c r="A1" s="44" t="inlineStr">
        <is>
          <t>Source</t>
        </is>
      </c>
      <c r="B1" s="44" t="inlineStr">
        <is>
          <t>Target</t>
        </is>
      </c>
      <c r="C1" s="44" t="inlineStr">
        <is>
          <t>Label</t>
        </is>
      </c>
      <c r="D1" s="44" t="inlineStr">
        <is>
          <t>Status</t>
        </is>
      </c>
      <c r="E1" s="44" t="inlineStr">
        <is>
          <t>Source name</t>
        </is>
      </c>
      <c r="F1" s="44" t="inlineStr">
        <is>
          <t>Target name</t>
        </is>
      </c>
    </row>
    <row r="2" ht="15" customHeight="1" s="25">
      <c r="A2" s="45" t="inlineStr">
        <is>
          <t>assoc</t>
        </is>
      </c>
      <c r="B2" s="45" t="inlineStr">
        <is>
          <t>careca</t>
        </is>
      </c>
      <c r="C2" s="45" t="inlineStr">
        <is>
          <t>Dinheiro dos descontos passa pelo esquema que a PF atribui a ele</t>
        </is>
      </c>
      <c r="D2" s="45" t="inlineStr">
        <is>
          <t>Documentado</t>
        </is>
      </c>
      <c r="E2" s="45">
        <f>INDEX(Nodes!$B$2:$B$84,MATCH(A2,Nodes!$A$2:$A$84,0))</f>
        <v/>
      </c>
      <c r="F2" s="45">
        <f>INDEX(Nodes!$B$2:$B$84,MATCH(B2,Nodes!$A$2:$A$84,0))</f>
        <v/>
      </c>
    </row>
    <row r="3" ht="15" customHeight="1" s="25">
      <c r="A3" s="45" t="inlineStr">
        <is>
          <t>careca</t>
        </is>
      </c>
      <c r="B3" s="45" t="inlineStr">
        <is>
          <t>contador</t>
        </is>
      </c>
      <c r="C3" s="45" t="inlineStr">
        <is>
          <t>Contador dele</t>
        </is>
      </c>
      <c r="D3" s="45" t="inlineStr">
        <is>
          <t>Documentado</t>
        </is>
      </c>
      <c r="E3" s="45">
        <f>INDEX(Nodes!$B$2:$B$84,MATCH(A3,Nodes!$A$2:$A$84,0))</f>
        <v/>
      </c>
      <c r="F3" s="45">
        <f>INDEX(Nodes!$B$2:$B$84,MATCH(B3,Nodes!$A$2:$A$84,0))</f>
        <v/>
      </c>
    </row>
    <row r="4" ht="15" customHeight="1" s="25">
      <c r="A4" s="45" t="inlineStr">
        <is>
          <t>contador</t>
        </is>
      </c>
      <c r="B4" s="45" t="inlineStr">
        <is>
          <t>leticia</t>
        </is>
      </c>
      <c r="C4" s="45" t="inlineStr">
        <is>
          <t>Irmãos</t>
        </is>
      </c>
      <c r="D4" s="45" t="inlineStr">
        <is>
          <t>Documentado</t>
        </is>
      </c>
      <c r="E4" s="45">
        <f>INDEX(Nodes!$B$2:$B$84,MATCH(A4,Nodes!$A$2:$A$84,0))</f>
        <v/>
      </c>
      <c r="F4" s="45">
        <f>INDEX(Nodes!$B$2:$B$84,MATCH(B4,Nodes!$A$2:$A$84,0))</f>
        <v/>
      </c>
    </row>
    <row r="5" ht="15" customHeight="1" s="25">
      <c r="A5" s="45" t="inlineStr">
        <is>
          <t>leticia</t>
        </is>
      </c>
      <c r="B5" s="45" t="inlineStr">
        <is>
          <t>escf</t>
        </is>
      </c>
      <c r="C5" s="45" t="inlineStr">
        <is>
          <t>Administra desde 2021</t>
        </is>
      </c>
      <c r="D5" s="45" t="inlineStr">
        <is>
          <t>Documentado</t>
        </is>
      </c>
      <c r="E5" s="45">
        <f>INDEX(Nodes!$B$2:$B$84,MATCH(A5,Nodes!$A$2:$A$84,0))</f>
        <v/>
      </c>
      <c r="F5" s="45">
        <f>INDEX(Nodes!$B$2:$B$84,MATCH(B5,Nodes!$A$2:$A$84,0))</f>
        <v/>
      </c>
    </row>
    <row r="6" ht="15" customHeight="1" s="25">
      <c r="A6" s="45" t="inlineStr">
        <is>
          <t>contador</t>
        </is>
      </c>
      <c r="B6" s="45" t="inlineStr">
        <is>
          <t>escf</t>
        </is>
      </c>
      <c r="C6" s="45" t="inlineStr">
        <is>
          <t>Faz a contabilidade</t>
        </is>
      </c>
      <c r="D6" s="45" t="inlineStr">
        <is>
          <t>Documentado</t>
        </is>
      </c>
      <c r="E6" s="45">
        <f>INDEX(Nodes!$B$2:$B$84,MATCH(A6,Nodes!$A$2:$A$84,0))</f>
        <v/>
      </c>
      <c r="F6" s="45">
        <f>INDEX(Nodes!$B$2:$B$84,MATCH(B6,Nodes!$A$2:$A$84,0))</f>
        <v/>
      </c>
    </row>
    <row r="7" ht="15" customHeight="1" s="25">
      <c r="A7" s="45" t="inlineStr">
        <is>
          <t>willer</t>
        </is>
      </c>
      <c r="B7" s="45" t="inlineStr">
        <is>
          <t>leticia</t>
        </is>
      </c>
      <c r="C7" s="45" t="inlineStr">
        <is>
          <t>Teria indicado a irmã ao escritório de Flávio</t>
        </is>
      </c>
      <c r="D7" s="45" t="inlineStr">
        <is>
          <t>Documentado</t>
        </is>
      </c>
      <c r="E7" s="45">
        <f>INDEX(Nodes!$B$2:$B$84,MATCH(A7,Nodes!$A$2:$A$84,0))</f>
        <v/>
      </c>
      <c r="F7" s="45">
        <f>INDEX(Nodes!$B$2:$B$84,MATCH(B7,Nodes!$A$2:$A$84,0))</f>
        <v/>
      </c>
    </row>
    <row r="8" ht="15" customHeight="1" s="25">
      <c r="A8" s="45" t="inlineStr">
        <is>
          <t>willer</t>
        </is>
      </c>
      <c r="B8" s="45" t="inlineStr">
        <is>
          <t>contador</t>
        </is>
      </c>
      <c r="C8" s="45" t="inlineStr">
        <is>
          <t>É o advogado de defesa</t>
        </is>
      </c>
      <c r="D8" s="45" t="inlineStr">
        <is>
          <t>Documentado</t>
        </is>
      </c>
      <c r="E8" s="45">
        <f>INDEX(Nodes!$B$2:$B$84,MATCH(A8,Nodes!$A$2:$A$84,0))</f>
        <v/>
      </c>
      <c r="F8" s="45">
        <f>INDEX(Nodes!$B$2:$B$84,MATCH(B8,Nodes!$A$2:$A$84,0))</f>
        <v/>
      </c>
    </row>
    <row r="9" ht="15" customHeight="1" s="25">
      <c r="A9" s="45" t="inlineStr">
        <is>
          <t>willer</t>
        </is>
      </c>
      <c r="B9" s="45" t="inlineStr">
        <is>
          <t>careca</t>
        </is>
      </c>
      <c r="C9" s="45" t="inlineStr">
        <is>
          <t>Investigado no mesmo esquema do INSS</t>
        </is>
      </c>
      <c r="D9" s="45" t="inlineStr">
        <is>
          <t>Documentado</t>
        </is>
      </c>
      <c r="E9" s="45">
        <f>INDEX(Nodes!$B$2:$B$84,MATCH(A9,Nodes!$A$2:$A$84,0))</f>
        <v/>
      </c>
      <c r="F9" s="45">
        <f>INDEX(Nodes!$B$2:$B$84,MATCH(B9,Nodes!$A$2:$A$84,0))</f>
        <v/>
      </c>
    </row>
    <row r="10" ht="15" customHeight="1" s="25">
      <c r="A10" s="45" t="inlineStr">
        <is>
          <t>pf</t>
        </is>
      </c>
      <c r="B10" s="45" t="inlineStr">
        <is>
          <t>careca</t>
        </is>
      </c>
      <c r="C10" s="45" t="inlineStr">
        <is>
          <t>Investiga</t>
        </is>
      </c>
      <c r="D10" s="45" t="inlineStr">
        <is>
          <t>Documentado</t>
        </is>
      </c>
      <c r="E10" s="45">
        <f>INDEX(Nodes!$B$2:$B$84,MATCH(A10,Nodes!$A$2:$A$84,0))</f>
        <v/>
      </c>
      <c r="F10" s="45">
        <f>INDEX(Nodes!$B$2:$B$84,MATCH(B10,Nodes!$A$2:$A$84,0))</f>
        <v/>
      </c>
    </row>
    <row r="11" ht="15" customHeight="1" s="25">
      <c r="A11" s="45" t="inlineStr">
        <is>
          <t>lulinha</t>
        </is>
      </c>
      <c r="B11" s="45" t="inlineStr">
        <is>
          <t>careca</t>
        </is>
      </c>
      <c r="C11" s="45" t="inlineStr">
        <is>
          <t>Inquéritos por tráfico de influência a favor do Careca</t>
        </is>
      </c>
      <c r="D11" s="45" t="inlineStr">
        <is>
          <t>Alegado ou contestado</t>
        </is>
      </c>
      <c r="E11" s="45">
        <f>INDEX(Nodes!$B$2:$B$84,MATCH(A11,Nodes!$A$2:$A$84,0))</f>
        <v/>
      </c>
      <c r="F11" s="45">
        <f>INDEX(Nodes!$B$2:$B$84,MATCH(B11,Nodes!$A$2:$A$84,0))</f>
        <v/>
      </c>
    </row>
    <row r="12" ht="15" customHeight="1" s="25">
      <c r="A12" s="45" t="inlineStr">
        <is>
          <t>lulinha</t>
        </is>
      </c>
      <c r="B12" s="45" t="inlineStr">
        <is>
          <t>roberta</t>
        </is>
      </c>
      <c r="C12" s="45" t="inlineStr">
        <is>
          <t>Amiga; PF diz que ela podia agir em nome dele</t>
        </is>
      </c>
      <c r="D12" s="45" t="inlineStr">
        <is>
          <t>Alegado ou contestado</t>
        </is>
      </c>
      <c r="E12" s="45">
        <f>INDEX(Nodes!$B$2:$B$84,MATCH(A12,Nodes!$A$2:$A$84,0))</f>
        <v/>
      </c>
      <c r="F12" s="45">
        <f>INDEX(Nodes!$B$2:$B$84,MATCH(B12,Nodes!$A$2:$A$84,0))</f>
        <v/>
      </c>
    </row>
    <row r="13" ht="15" customHeight="1" s="25">
      <c r="A13" s="45" t="inlineStr">
        <is>
          <t>roberta</t>
        </is>
      </c>
      <c r="B13" s="45" t="inlineStr">
        <is>
          <t>careca</t>
        </is>
      </c>
      <c r="C13" s="45" t="inlineStr">
        <is>
          <t>Recebeu ~R$ 1 mi de empresa de fachada</t>
        </is>
      </c>
      <c r="D13" s="45" t="inlineStr">
        <is>
          <t>Documentado</t>
        </is>
      </c>
      <c r="E13" s="45">
        <f>INDEX(Nodes!$B$2:$B$84,MATCH(A13,Nodes!$A$2:$A$84,0))</f>
        <v/>
      </c>
      <c r="F13" s="45">
        <f>INDEX(Nodes!$B$2:$B$84,MATCH(B13,Nodes!$A$2:$A$84,0))</f>
        <v/>
      </c>
    </row>
    <row r="14" ht="15" customHeight="1" s="25">
      <c r="A14" s="45" t="inlineStr">
        <is>
          <t>careca</t>
        </is>
      </c>
      <c r="B14" s="45" t="inlineStr">
        <is>
          <t>sala</t>
        </is>
      </c>
      <c r="C14" s="45" t="inlineStr">
        <is>
          <t>16 empresas dele no endereço</t>
        </is>
      </c>
      <c r="D14" s="45" t="inlineStr">
        <is>
          <t>Documentado</t>
        </is>
      </c>
      <c r="E14" s="45">
        <f>INDEX(Nodes!$B$2:$B$84,MATCH(A14,Nodes!$A$2:$A$84,0))</f>
        <v/>
      </c>
      <c r="F14" s="45">
        <f>INDEX(Nodes!$B$2:$B$84,MATCH(B14,Nodes!$A$2:$A$84,0))</f>
        <v/>
      </c>
    </row>
    <row r="15" ht="15" customHeight="1" s="25">
      <c r="A15" s="45" t="inlineStr">
        <is>
          <t>bravo</t>
        </is>
      </c>
      <c r="B15" s="45" t="inlineStr">
        <is>
          <t>sala</t>
        </is>
      </c>
      <c r="C15" s="45" t="inlineStr">
        <is>
          <t>Registrada no mesmo endereço</t>
        </is>
      </c>
      <c r="D15" s="45" t="inlineStr">
        <is>
          <t>Documentado</t>
        </is>
      </c>
      <c r="E15" s="45">
        <f>INDEX(Nodes!$B$2:$B$84,MATCH(A15,Nodes!$A$2:$A$84,0))</f>
        <v/>
      </c>
      <c r="F15" s="45">
        <f>INDEX(Nodes!$B$2:$B$84,MATCH(B15,Nodes!$A$2:$A$84,0))</f>
        <v/>
      </c>
    </row>
    <row r="16" ht="15" customHeight="1" s="25">
      <c r="A16" s="45" t="inlineStr">
        <is>
          <t>bravo</t>
        </is>
      </c>
      <c r="B16" s="45" t="inlineStr">
        <is>
          <t>flavio</t>
        </is>
      </c>
      <c r="C16" s="45" t="inlineStr">
        <is>
          <t>Fábrica dele e do irmão</t>
        </is>
      </c>
      <c r="D16" s="45" t="inlineStr">
        <is>
          <t>Documentado</t>
        </is>
      </c>
      <c r="E16" s="45">
        <f>INDEX(Nodes!$B$2:$B$84,MATCH(A16,Nodes!$A$2:$A$84,0))</f>
        <v/>
      </c>
      <c r="F16" s="45">
        <f>INDEX(Nodes!$B$2:$B$84,MATCH(B16,Nodes!$A$2:$A$84,0))</f>
        <v/>
      </c>
    </row>
    <row r="17" ht="15" customHeight="1" s="25">
      <c r="A17" s="45" t="inlineStr">
        <is>
          <t>bravo</t>
        </is>
      </c>
      <c r="B17" s="45" t="inlineStr">
        <is>
          <t>carlos</t>
        </is>
      </c>
      <c r="C17" s="45" t="inlineStr">
        <is>
          <t>Sócios</t>
        </is>
      </c>
      <c r="D17" s="45" t="inlineStr">
        <is>
          <t>Documentado</t>
        </is>
      </c>
      <c r="E17" s="45">
        <f>INDEX(Nodes!$B$2:$B$84,MATCH(A17,Nodes!$A$2:$A$84,0))</f>
        <v/>
      </c>
      <c r="F17" s="45">
        <f>INDEX(Nodes!$B$2:$B$84,MATCH(B17,Nodes!$A$2:$A$84,0))</f>
        <v/>
      </c>
    </row>
    <row r="18" ht="15" customHeight="1" s="25">
      <c r="A18" s="45" t="inlineStr">
        <is>
          <t>flavio</t>
        </is>
      </c>
      <c r="B18" s="45" t="inlineStr">
        <is>
          <t>carlos</t>
        </is>
      </c>
      <c r="C18" s="45" t="inlineStr">
        <is>
          <t>Irmãos</t>
        </is>
      </c>
      <c r="D18" s="45" t="inlineStr">
        <is>
          <t>Documentado</t>
        </is>
      </c>
      <c r="E18" s="45">
        <f>INDEX(Nodes!$B$2:$B$84,MATCH(A18,Nodes!$A$2:$A$84,0))</f>
        <v/>
      </c>
      <c r="F18" s="45">
        <f>INDEX(Nodes!$B$2:$B$84,MATCH(B18,Nodes!$A$2:$A$84,0))</f>
        <v/>
      </c>
    </row>
    <row r="19" ht="15" customHeight="1" s="25">
      <c r="A19" s="45" t="inlineStr">
        <is>
          <t>willer</t>
        </is>
      </c>
      <c r="B19" s="45" t="inlineStr">
        <is>
          <t>escw</t>
        </is>
      </c>
      <c r="C19" s="45" t="inlineStr">
        <is>
          <t>PF fez buscas e achou dinheiro em livros-cofre</t>
        </is>
      </c>
      <c r="D19" s="45" t="inlineStr">
        <is>
          <t>Documentado</t>
        </is>
      </c>
      <c r="E19" s="45">
        <f>INDEX(Nodes!$B$2:$B$84,MATCH(A19,Nodes!$A$2:$A$84,0))</f>
        <v/>
      </c>
      <c r="F19" s="45">
        <f>INDEX(Nodes!$B$2:$B$84,MATCH(B19,Nodes!$A$2:$A$84,0))</f>
        <v/>
      </c>
    </row>
    <row r="20" ht="15" customHeight="1" s="25">
      <c r="A20" s="45" t="inlineStr">
        <is>
          <t>willer</t>
        </is>
      </c>
      <c r="B20" s="45" t="inlineStr">
        <is>
          <t>bets</t>
        </is>
      </c>
      <c r="C20" s="45" t="inlineStr">
        <is>
          <t>Movimentou ~R$ 5 bi em apostas</t>
        </is>
      </c>
      <c r="D20" s="45" t="inlineStr">
        <is>
          <t>Documentado</t>
        </is>
      </c>
      <c r="E20" s="45">
        <f>INDEX(Nodes!$B$2:$B$84,MATCH(A20,Nodes!$A$2:$A$84,0))</f>
        <v/>
      </c>
      <c r="F20" s="45">
        <f>INDEX(Nodes!$B$2:$B$84,MATCH(B20,Nodes!$A$2:$A$84,0))</f>
        <v/>
      </c>
    </row>
    <row r="21" ht="15" customHeight="1" s="25">
      <c r="A21" s="45" t="inlineStr">
        <is>
          <t>willer</t>
        </is>
      </c>
      <c r="B21" s="45" t="inlineStr">
        <is>
          <t>lidia</t>
        </is>
      </c>
      <c r="C21" s="45" t="inlineStr">
        <is>
          <t>Ela comanda 14 empresas ligadas a ele</t>
        </is>
      </c>
      <c r="D21" s="45" t="inlineStr">
        <is>
          <t>Documentado</t>
        </is>
      </c>
      <c r="E21" s="45">
        <f>INDEX(Nodes!$B$2:$B$84,MATCH(A21,Nodes!$A$2:$A$84,0))</f>
        <v/>
      </c>
      <c r="F21" s="45">
        <f>INDEX(Nodes!$B$2:$B$84,MATCH(B21,Nodes!$A$2:$A$84,0))</f>
        <v/>
      </c>
    </row>
    <row r="22" ht="15" customHeight="1" s="25">
      <c r="A22" s="45" t="inlineStr">
        <is>
          <t>lidia</t>
        </is>
      </c>
      <c r="B22" s="45" t="inlineStr">
        <is>
          <t>wt</t>
        </is>
      </c>
      <c r="C22" s="45" t="inlineStr">
        <is>
          <t>Aparece à frente da WT</t>
        </is>
      </c>
      <c r="D22" s="45" t="inlineStr">
        <is>
          <t>Documentado</t>
        </is>
      </c>
      <c r="E22" s="45">
        <f>INDEX(Nodes!$B$2:$B$84,MATCH(A22,Nodes!$A$2:$A$84,0))</f>
        <v/>
      </c>
      <c r="F22" s="45">
        <f>INDEX(Nodes!$B$2:$B$84,MATCH(B22,Nodes!$A$2:$A$84,0))</f>
        <v/>
      </c>
    </row>
    <row r="23" ht="15" customHeight="1" s="25">
      <c r="A23" s="45" t="inlineStr">
        <is>
          <t>willer</t>
        </is>
      </c>
      <c r="B23" s="45" t="inlineStr">
        <is>
          <t>alcazar</t>
        </is>
      </c>
      <c r="C23" s="45" t="inlineStr">
        <is>
          <t>Empresa ligada a ele</t>
        </is>
      </c>
      <c r="D23" s="45" t="inlineStr">
        <is>
          <t>Documentado</t>
        </is>
      </c>
      <c r="E23" s="45">
        <f>INDEX(Nodes!$B$2:$B$84,MATCH(A23,Nodes!$A$2:$A$84,0))</f>
        <v/>
      </c>
      <c r="F23" s="45">
        <f>INDEX(Nodes!$B$2:$B$84,MATCH(B23,Nodes!$A$2:$A$84,0))</f>
        <v/>
      </c>
    </row>
    <row r="24" ht="15" customHeight="1" s="25">
      <c r="A24" s="45" t="inlineStr">
        <is>
          <t>alcazar</t>
        </is>
      </c>
      <c r="B24" s="45" t="inlineStr">
        <is>
          <t>santander</t>
        </is>
      </c>
      <c r="C24" s="45" t="inlineStr">
        <is>
          <t>Conta bancária</t>
        </is>
      </c>
      <c r="D24" s="45" t="inlineStr">
        <is>
          <t>Documentado</t>
        </is>
      </c>
      <c r="E24" s="45">
        <f>INDEX(Nodes!$B$2:$B$84,MATCH(A24,Nodes!$A$2:$A$84,0))</f>
        <v/>
      </c>
      <c r="F24" s="45">
        <f>INDEX(Nodes!$B$2:$B$84,MATCH(B24,Nodes!$A$2:$A$84,0))</f>
        <v/>
      </c>
    </row>
    <row r="25" ht="15" customHeight="1" s="25">
      <c r="A25" s="45" t="inlineStr">
        <is>
          <t>santander</t>
        </is>
      </c>
      <c r="B25" s="45" t="inlineStr">
        <is>
          <t>flavio</t>
        </is>
      </c>
      <c r="C25" s="45" t="inlineStr">
        <is>
          <t>Flávio era “usuário master”; excluído após a 1ª operação</t>
        </is>
      </c>
      <c r="D25" s="45" t="inlineStr">
        <is>
          <t>Alegado ou contestado</t>
        </is>
      </c>
      <c r="E25" s="45">
        <f>INDEX(Nodes!$B$2:$B$84,MATCH(A25,Nodes!$A$2:$A$84,0))</f>
        <v/>
      </c>
      <c r="F25" s="45">
        <f>INDEX(Nodes!$B$2:$B$84,MATCH(B25,Nodes!$A$2:$A$84,0))</f>
        <v/>
      </c>
    </row>
    <row r="26" ht="15" customHeight="1" s="25">
      <c r="A26" s="45" t="inlineStr">
        <is>
          <t>alcazar</t>
        </is>
      </c>
      <c r="B26" s="45" t="inlineStr">
        <is>
          <t>flavio</t>
        </is>
      </c>
      <c r="C26" s="45" t="inlineStr">
        <is>
          <t>PF levanta hipótese de sócio de fato; ele nega</t>
        </is>
      </c>
      <c r="D26" s="45" t="inlineStr">
        <is>
          <t>Alegado ou contestado</t>
        </is>
      </c>
      <c r="E26" s="45">
        <f>INDEX(Nodes!$B$2:$B$84,MATCH(A26,Nodes!$A$2:$A$84,0))</f>
        <v/>
      </c>
      <c r="F26" s="45">
        <f>INDEX(Nodes!$B$2:$B$84,MATCH(B26,Nodes!$A$2:$A$84,0))</f>
        <v/>
      </c>
    </row>
    <row r="27" ht="15" customHeight="1" s="25">
      <c r="A27" s="45" t="inlineStr">
        <is>
          <t>willer</t>
        </is>
      </c>
      <c r="B27" s="45" t="inlineStr">
        <is>
          <t>flavio</t>
        </is>
      </c>
      <c r="C27" s="45" t="inlineStr">
        <is>
          <t>Amigo; viagens juntos; PF vê algo além da amizade</t>
        </is>
      </c>
      <c r="D27" s="45" t="inlineStr">
        <is>
          <t>Alegado ou contestado</t>
        </is>
      </c>
      <c r="E27" s="45">
        <f>INDEX(Nodes!$B$2:$B$84,MATCH(A27,Nodes!$A$2:$A$84,0))</f>
        <v/>
      </c>
      <c r="F27" s="45">
        <f>INDEX(Nodes!$B$2:$B$84,MATCH(B27,Nodes!$A$2:$A$84,0))</f>
        <v/>
      </c>
    </row>
    <row r="28" ht="15" customHeight="1" s="25">
      <c r="A28" s="45" t="inlineStr">
        <is>
          <t>cpi</t>
        </is>
      </c>
      <c r="B28" s="45" t="inlineStr">
        <is>
          <t>willer</t>
        </is>
      </c>
      <c r="C28" s="45" t="inlineStr">
        <is>
          <t>Citado na Covaxin; quebra de sigilo cancelada</t>
        </is>
      </c>
      <c r="D28" s="45" t="inlineStr">
        <is>
          <t>Documentado</t>
        </is>
      </c>
      <c r="E28" s="45">
        <f>INDEX(Nodes!$B$2:$B$84,MATCH(A28,Nodes!$A$2:$A$84,0))</f>
        <v/>
      </c>
      <c r="F28" s="45">
        <f>INDEX(Nodes!$B$2:$B$84,MATCH(B28,Nodes!$A$2:$A$84,0))</f>
        <v/>
      </c>
    </row>
    <row r="29" ht="15" customHeight="1" s="25">
      <c r="A29" s="45" t="inlineStr">
        <is>
          <t>renan</t>
        </is>
      </c>
      <c r="B29" s="45" t="inlineStr">
        <is>
          <t>cpi</t>
        </is>
      </c>
      <c r="C29" s="45" t="inlineStr">
        <is>
          <t>Relator</t>
        </is>
      </c>
      <c r="D29" s="45" t="inlineStr">
        <is>
          <t>Documentado</t>
        </is>
      </c>
      <c r="E29" s="45">
        <f>INDEX(Nodes!$B$2:$B$84,MATCH(A29,Nodes!$A$2:$A$84,0))</f>
        <v/>
      </c>
      <c r="F29" s="45">
        <f>INDEX(Nodes!$B$2:$B$84,MATCH(B29,Nodes!$A$2:$A$84,0))</f>
        <v/>
      </c>
    </row>
    <row r="30" ht="15" customHeight="1" s="25">
      <c r="A30" s="45" t="inlineStr">
        <is>
          <t>cpi</t>
        </is>
      </c>
      <c r="B30" s="45" t="inlineStr">
        <is>
          <t>flavio</t>
        </is>
      </c>
      <c r="C30" s="45" t="inlineStr">
        <is>
          <t>Reagiu contra a quebra do sigilo</t>
        </is>
      </c>
      <c r="D30" s="45" t="inlineStr">
        <is>
          <t>Documentado</t>
        </is>
      </c>
      <c r="E30" s="45">
        <f>INDEX(Nodes!$B$2:$B$84,MATCH(A30,Nodes!$A$2:$A$84,0))</f>
        <v/>
      </c>
      <c r="F30" s="45">
        <f>INDEX(Nodes!$B$2:$B$84,MATCH(B30,Nodes!$A$2:$A$84,0))</f>
        <v/>
      </c>
    </row>
    <row r="31" ht="15" customHeight="1" s="25">
      <c r="A31" s="45" t="inlineStr">
        <is>
          <t>willer</t>
        </is>
      </c>
      <c r="B31" s="45" t="inlineStr">
        <is>
          <t>wassef</t>
        </is>
      </c>
      <c r="C31" s="45" t="inlineStr">
        <is>
          <t>Trio “WWF” com Flávio</t>
        </is>
      </c>
      <c r="D31" s="45" t="inlineStr">
        <is>
          <t>Documentado</t>
        </is>
      </c>
      <c r="E31" s="45">
        <f>INDEX(Nodes!$B$2:$B$84,MATCH(A31,Nodes!$A$2:$A$84,0))</f>
        <v/>
      </c>
      <c r="F31" s="45">
        <f>INDEX(Nodes!$B$2:$B$84,MATCH(B31,Nodes!$A$2:$A$84,0))</f>
        <v/>
      </c>
    </row>
    <row r="32" ht="15" customHeight="1" s="25">
      <c r="A32" s="45" t="inlineStr">
        <is>
          <t>wassef</t>
        </is>
      </c>
      <c r="B32" s="45" t="inlineStr">
        <is>
          <t>flavio</t>
        </is>
      </c>
      <c r="C32" s="45" t="inlineStr">
        <is>
          <t>Advogado da família; trio “WWF”</t>
        </is>
      </c>
      <c r="D32" s="45" t="inlineStr">
        <is>
          <t>Documentado</t>
        </is>
      </c>
      <c r="E32" s="45">
        <f>INDEX(Nodes!$B$2:$B$84,MATCH(A32,Nodes!$A$2:$A$84,0))</f>
        <v/>
      </c>
      <c r="F32" s="45">
        <f>INDEX(Nodes!$B$2:$B$84,MATCH(B32,Nodes!$A$2:$A$84,0))</f>
        <v/>
      </c>
    </row>
    <row r="33" ht="15" customHeight="1" s="25">
      <c r="A33" s="45" t="inlineStr">
        <is>
          <t>willer</t>
        </is>
      </c>
      <c r="B33" s="45" t="inlineStr">
        <is>
          <t>nunes</t>
        </is>
      </c>
      <c r="C33" s="45" t="inlineStr">
        <is>
          <t>Teria respaldado a indicação ao STF (2020)</t>
        </is>
      </c>
      <c r="D33" s="45" t="inlineStr">
        <is>
          <t>Alegado ou contestado</t>
        </is>
      </c>
      <c r="E33" s="45">
        <f>INDEX(Nodes!$B$2:$B$84,MATCH(A33,Nodes!$A$2:$A$84,0))</f>
        <v/>
      </c>
      <c r="F33" s="45">
        <f>INDEX(Nodes!$B$2:$B$84,MATCH(B33,Nodes!$A$2:$A$84,0))</f>
        <v/>
      </c>
    </row>
    <row r="34" ht="15" customHeight="1" s="25">
      <c r="A34" s="45" t="inlineStr">
        <is>
          <t>wassef</t>
        </is>
      </c>
      <c r="B34" s="45" t="inlineStr">
        <is>
          <t>nunes</t>
        </is>
      </c>
      <c r="C34" s="45" t="inlineStr">
        <is>
          <t>Teria respaldado a indicação ao STF (2020)</t>
        </is>
      </c>
      <c r="D34" s="45" t="inlineStr">
        <is>
          <t>Alegado ou contestado</t>
        </is>
      </c>
      <c r="E34" s="45">
        <f>INDEX(Nodes!$B$2:$B$84,MATCH(A34,Nodes!$A$2:$A$84,0))</f>
        <v/>
      </c>
      <c r="F34" s="45">
        <f>INDEX(Nodes!$B$2:$B$84,MATCH(B34,Nodes!$A$2:$A$84,0))</f>
        <v/>
      </c>
    </row>
    <row r="35" ht="23.25" customHeight="1" s="25">
      <c r="A35" s="45" t="inlineStr">
        <is>
          <t>flavio</t>
        </is>
      </c>
      <c r="B35" s="45" t="inlineStr">
        <is>
          <t>nunes</t>
        </is>
      </c>
      <c r="C35" s="45" t="inlineStr">
        <is>
          <t>Teria sugerido o nome ao presidente (Folha, 2020); Nunes nega participação do trio</t>
        </is>
      </c>
      <c r="D35" s="45" t="inlineStr">
        <is>
          <t>Alegado ou contestado</t>
        </is>
      </c>
      <c r="E35" s="45">
        <f>INDEX(Nodes!$B$2:$B$84,MATCH(A35,Nodes!$A$2:$A$84,0))</f>
        <v/>
      </c>
      <c r="F35" s="45">
        <f>INDEX(Nodes!$B$2:$B$84,MATCH(B35,Nodes!$A$2:$A$84,0))</f>
        <v/>
      </c>
    </row>
    <row r="36" ht="15" customHeight="1" s="25">
      <c r="A36" s="45" t="inlineStr">
        <is>
          <t>jair</t>
        </is>
      </c>
      <c r="B36" s="45" t="inlineStr">
        <is>
          <t>nunes</t>
        </is>
      </c>
      <c r="C36" s="45" t="inlineStr">
        <is>
          <t>Indicou ao STF em 2020</t>
        </is>
      </c>
      <c r="D36" s="45" t="inlineStr">
        <is>
          <t>Documentado</t>
        </is>
      </c>
      <c r="E36" s="45">
        <f>INDEX(Nodes!$B$2:$B$84,MATCH(A36,Nodes!$A$2:$A$84,0))</f>
        <v/>
      </c>
      <c r="F36" s="45">
        <f>INDEX(Nodes!$B$2:$B$84,MATCH(B36,Nodes!$A$2:$A$84,0))</f>
        <v/>
      </c>
    </row>
    <row r="37" ht="15" customHeight="1" s="25">
      <c r="A37" s="45" t="inlineStr">
        <is>
          <t>willer</t>
        </is>
      </c>
      <c r="B37" s="45" t="inlineStr">
        <is>
          <t>angra</t>
        </is>
      </c>
      <c r="C37" s="45" t="inlineStr">
        <is>
          <t>Mansão ficou com a empresa dele (WT)</t>
        </is>
      </c>
      <c r="D37" s="45" t="inlineStr">
        <is>
          <t>Documentado</t>
        </is>
      </c>
      <c r="E37" s="45">
        <f>INDEX(Nodes!$B$2:$B$84,MATCH(A37,Nodes!$A$2:$A$84,0))</f>
        <v/>
      </c>
      <c r="F37" s="45">
        <f>INDEX(Nodes!$B$2:$B$84,MATCH(B37,Nodes!$A$2:$A$84,0))</f>
        <v/>
      </c>
    </row>
    <row r="38" ht="15" customHeight="1" s="25">
      <c r="A38" s="45" t="inlineStr">
        <is>
          <t>alcazar</t>
        </is>
      </c>
      <c r="B38" s="45" t="inlineStr">
        <is>
          <t>jato</t>
        </is>
      </c>
      <c r="C38" s="45" t="inlineStr">
        <is>
          <t>Cotista</t>
        </is>
      </c>
      <c r="D38" s="45" t="inlineStr">
        <is>
          <t>Documentado</t>
        </is>
      </c>
      <c r="E38" s="45">
        <f>INDEX(Nodes!$B$2:$B$84,MATCH(A38,Nodes!$A$2:$A$84,0))</f>
        <v/>
      </c>
      <c r="F38" s="45">
        <f>INDEX(Nodes!$B$2:$B$84,MATCH(B38,Nodes!$A$2:$A$84,0))</f>
        <v/>
      </c>
    </row>
    <row r="39" ht="15" customHeight="1" s="25">
      <c r="A39" s="45" t="inlineStr">
        <is>
          <t>primeu</t>
        </is>
      </c>
      <c r="B39" s="45" t="inlineStr">
        <is>
          <t>jato</t>
        </is>
      </c>
      <c r="C39" s="45" t="inlineStr">
        <is>
          <t>Cotista</t>
        </is>
      </c>
      <c r="D39" s="45" t="inlineStr">
        <is>
          <t>Documentado</t>
        </is>
      </c>
      <c r="E39" s="45">
        <f>INDEX(Nodes!$B$2:$B$84,MATCH(A39,Nodes!$A$2:$A$84,0))</f>
        <v/>
      </c>
      <c r="F39" s="45">
        <f>INDEX(Nodes!$B$2:$B$84,MATCH(B39,Nodes!$A$2:$A$84,0))</f>
        <v/>
      </c>
    </row>
    <row r="40" ht="15" customHeight="1" s="25">
      <c r="A40" s="45" t="inlineStr">
        <is>
          <t>flavio</t>
        </is>
      </c>
      <c r="B40" s="45" t="inlineStr">
        <is>
          <t>jato</t>
        </is>
      </c>
      <c r="C40" s="45" t="inlineStr">
        <is>
          <t>Voou em jan/2025</t>
        </is>
      </c>
      <c r="D40" s="45" t="inlineStr">
        <is>
          <t>Documentado</t>
        </is>
      </c>
      <c r="E40" s="45">
        <f>INDEX(Nodes!$B$2:$B$84,MATCH(A40,Nodes!$A$2:$A$84,0))</f>
        <v/>
      </c>
      <c r="F40" s="45">
        <f>INDEX(Nodes!$B$2:$B$84,MATCH(B40,Nodes!$A$2:$A$84,0))</f>
        <v/>
      </c>
    </row>
    <row r="41" ht="15" customHeight="1" s="25">
      <c r="A41" s="45" t="inlineStr">
        <is>
          <t>vorcaro</t>
        </is>
      </c>
      <c r="B41" s="45" t="inlineStr">
        <is>
          <t>jato</t>
        </is>
      </c>
      <c r="C41" s="45" t="inlineStr">
        <is>
          <t>Sócio da Prime U, cotista do jato (ligação indireta)</t>
        </is>
      </c>
      <c r="D41" s="45" t="inlineStr">
        <is>
          <t>Documentado</t>
        </is>
      </c>
      <c r="E41" s="45">
        <f>INDEX(Nodes!$B$2:$B$84,MATCH(A41,Nodes!$A$2:$A$84,0))</f>
        <v/>
      </c>
      <c r="F41" s="45">
        <f>INDEX(Nodes!$B$2:$B$84,MATCH(B41,Nodes!$A$2:$A$84,0))</f>
        <v/>
      </c>
    </row>
    <row r="42" ht="15" customHeight="1" s="25">
      <c r="A42" s="45" t="inlineStr">
        <is>
          <t>willer</t>
        </is>
      </c>
      <c r="B42" s="45" t="inlineStr">
        <is>
          <t>jato</t>
        </is>
      </c>
      <c r="C42" s="45" t="inlineStr">
        <is>
          <t>Voou junto</t>
        </is>
      </c>
      <c r="D42" s="45" t="inlineStr">
        <is>
          <t>Documentado</t>
        </is>
      </c>
      <c r="E42" s="45">
        <f>INDEX(Nodes!$B$2:$B$84,MATCH(A42,Nodes!$A$2:$A$84,0))</f>
        <v/>
      </c>
      <c r="F42" s="45">
        <f>INDEX(Nodes!$B$2:$B$84,MATCH(B42,Nodes!$A$2:$A$84,0))</f>
        <v/>
      </c>
    </row>
    <row r="43" ht="15" customHeight="1" s="25">
      <c r="A43" s="45" t="inlineStr">
        <is>
          <t>fam</t>
        </is>
      </c>
      <c r="B43" s="45" t="inlineStr">
        <is>
          <t>jato</t>
        </is>
      </c>
      <c r="C43" s="45" t="inlineStr">
        <is>
          <t>Voou em jan/2025</t>
        </is>
      </c>
      <c r="D43" s="45" t="inlineStr">
        <is>
          <t>Documentado</t>
        </is>
      </c>
      <c r="E43" s="45">
        <f>INDEX(Nodes!$B$2:$B$84,MATCH(A43,Nodes!$A$2:$A$84,0))</f>
        <v/>
      </c>
      <c r="F43" s="45">
        <f>INDEX(Nodes!$B$2:$B$84,MATCH(B43,Nodes!$A$2:$A$84,0))</f>
        <v/>
      </c>
    </row>
    <row r="44" ht="15" customHeight="1" s="25">
      <c r="A44" s="45" t="inlineStr">
        <is>
          <t>flavio</t>
        </is>
      </c>
      <c r="B44" s="45" t="inlineStr">
        <is>
          <t>fam</t>
        </is>
      </c>
      <c r="C44" s="45" t="inlineStr">
        <is>
          <t>Família</t>
        </is>
      </c>
      <c r="D44" s="45" t="inlineStr">
        <is>
          <t>Documentado</t>
        </is>
      </c>
      <c r="E44" s="45">
        <f>INDEX(Nodes!$B$2:$B$84,MATCH(A44,Nodes!$A$2:$A$84,0))</f>
        <v/>
      </c>
      <c r="F44" s="45">
        <f>INDEX(Nodes!$B$2:$B$84,MATCH(B44,Nodes!$A$2:$A$84,0))</f>
        <v/>
      </c>
    </row>
    <row r="45" ht="15" customHeight="1" s="25">
      <c r="A45" s="45" t="inlineStr">
        <is>
          <t>vorcaro</t>
        </is>
      </c>
      <c r="B45" s="45" t="inlineStr">
        <is>
          <t>primeu</t>
        </is>
      </c>
      <c r="C45" s="45" t="inlineStr">
        <is>
          <t>Sócio</t>
        </is>
      </c>
      <c r="D45" s="45" t="inlineStr">
        <is>
          <t>Documentado</t>
        </is>
      </c>
      <c r="E45" s="45">
        <f>INDEX(Nodes!$B$2:$B$84,MATCH(A45,Nodes!$A$2:$A$84,0))</f>
        <v/>
      </c>
      <c r="F45" s="45">
        <f>INDEX(Nodes!$B$2:$B$84,MATCH(B45,Nodes!$A$2:$A$84,0))</f>
        <v/>
      </c>
    </row>
    <row r="46" ht="15" customHeight="1" s="25">
      <c r="A46" s="45" t="inlineStr">
        <is>
          <t>primeu</t>
        </is>
      </c>
      <c r="B46" s="45" t="inlineStr">
        <is>
          <t>mulheres</t>
        </is>
      </c>
      <c r="C46" s="45" t="inlineStr">
        <is>
          <t>Passagens e hotéis delas faturados à Prime U</t>
        </is>
      </c>
      <c r="D46" s="45" t="inlineStr">
        <is>
          <t>Documentado</t>
        </is>
      </c>
      <c r="E46" s="45">
        <f>INDEX(Nodes!$B$2:$B$84,MATCH(A46,Nodes!$A$2:$A$84,0))</f>
        <v/>
      </c>
      <c r="F46" s="45">
        <f>INDEX(Nodes!$B$2:$B$84,MATCH(B46,Nodes!$A$2:$A$84,0))</f>
        <v/>
      </c>
    </row>
    <row r="47" ht="15" customHeight="1" s="25">
      <c r="A47" s="45" t="inlineStr">
        <is>
          <t>primeu</t>
        </is>
      </c>
      <c r="B47" s="45" t="inlineStr">
        <is>
          <t>angra</t>
        </is>
      </c>
      <c r="C47" s="45" t="inlineStr">
        <is>
          <t>Administrava a mansão</t>
        </is>
      </c>
      <c r="D47" s="45" t="inlineStr">
        <is>
          <t>Documentado</t>
        </is>
      </c>
      <c r="E47" s="45">
        <f>INDEX(Nodes!$B$2:$B$84,MATCH(A47,Nodes!$A$2:$A$84,0))</f>
        <v/>
      </c>
      <c r="F47" s="45">
        <f>INDEX(Nodes!$B$2:$B$84,MATCH(B47,Nodes!$A$2:$A$84,0))</f>
        <v/>
      </c>
    </row>
    <row r="48" ht="15" customHeight="1" s="25">
      <c r="A48" s="45" t="inlineStr">
        <is>
          <t>vorcaro</t>
        </is>
      </c>
      <c r="B48" s="45" t="inlineStr">
        <is>
          <t>luri</t>
        </is>
      </c>
      <c r="C48" s="45" t="inlineStr">
        <is>
          <t>Negociou comprar metade</t>
        </is>
      </c>
      <c r="D48" s="45" t="inlineStr">
        <is>
          <t>Documentado</t>
        </is>
      </c>
      <c r="E48" s="45">
        <f>INDEX(Nodes!$B$2:$B$84,MATCH(A48,Nodes!$A$2:$A$84,0))</f>
        <v/>
      </c>
      <c r="F48" s="45">
        <f>INDEX(Nodes!$B$2:$B$84,MATCH(B48,Nodes!$A$2:$A$84,0))</f>
        <v/>
      </c>
    </row>
    <row r="49" ht="15" customHeight="1" s="25">
      <c r="A49" s="45" t="inlineStr">
        <is>
          <t>vorcaro</t>
        </is>
      </c>
      <c r="B49" s="45" t="inlineStr">
        <is>
          <t>triplex</t>
        </is>
      </c>
      <c r="C49" s="45" t="inlineStr">
        <is>
          <t>Festas no triplex</t>
        </is>
      </c>
      <c r="D49" s="45" t="inlineStr">
        <is>
          <t>Documentado</t>
        </is>
      </c>
      <c r="E49" s="45">
        <f>INDEX(Nodes!$B$2:$B$84,MATCH(A49,Nodes!$A$2:$A$84,0))</f>
        <v/>
      </c>
      <c r="F49" s="45">
        <f>INDEX(Nodes!$B$2:$B$84,MATCH(B49,Nodes!$A$2:$A$84,0))</f>
        <v/>
      </c>
    </row>
    <row r="50" ht="15" customHeight="1" s="25">
      <c r="A50" s="45" t="inlineStr">
        <is>
          <t>vorcaro</t>
        </is>
      </c>
      <c r="B50" s="45" t="inlineStr">
        <is>
          <t>master</t>
        </is>
      </c>
      <c r="C50" s="45" t="inlineStr">
        <is>
          <t>Dono</t>
        </is>
      </c>
      <c r="D50" s="45" t="inlineStr">
        <is>
          <t>Documentado</t>
        </is>
      </c>
      <c r="E50" s="45">
        <f>INDEX(Nodes!$B$2:$B$84,MATCH(A50,Nodes!$A$2:$A$84,0))</f>
        <v/>
      </c>
      <c r="F50" s="45">
        <f>INDEX(Nodes!$B$2:$B$84,MATCH(B50,Nodes!$A$2:$A$84,0))</f>
        <v/>
      </c>
    </row>
    <row r="51" ht="15" customHeight="1" s="25">
      <c r="A51" s="45" t="inlineStr">
        <is>
          <t>vorcaro</t>
        </is>
      </c>
      <c r="B51" s="45" t="inlineStr">
        <is>
          <t>zetel</t>
        </is>
      </c>
      <c r="C51" s="45" t="inlineStr">
        <is>
          <t>Cunhado</t>
        </is>
      </c>
      <c r="D51" s="45" t="inlineStr">
        <is>
          <t>Documentado</t>
        </is>
      </c>
      <c r="E51" s="45">
        <f>INDEX(Nodes!$B$2:$B$84,MATCH(A51,Nodes!$A$2:$A$84,0))</f>
        <v/>
      </c>
      <c r="F51" s="45">
        <f>INDEX(Nodes!$B$2:$B$84,MATCH(B51,Nodes!$A$2:$A$84,0))</f>
        <v/>
      </c>
    </row>
    <row r="52" ht="15" customHeight="1" s="25">
      <c r="A52" s="45" t="inlineStr">
        <is>
          <t>zetel</t>
        </is>
      </c>
      <c r="B52" s="45" t="inlineStr">
        <is>
          <t>aptosp</t>
        </is>
      </c>
      <c r="C52" s="45" t="inlineStr">
        <is>
          <t>Vendeu à WT por R$ 2 mi a menos</t>
        </is>
      </c>
      <c r="D52" s="45" t="inlineStr">
        <is>
          <t>Documentado</t>
        </is>
      </c>
      <c r="E52" s="45">
        <f>INDEX(Nodes!$B$2:$B$84,MATCH(A52,Nodes!$A$2:$A$84,0))</f>
        <v/>
      </c>
      <c r="F52" s="45">
        <f>INDEX(Nodes!$B$2:$B$84,MATCH(B52,Nodes!$A$2:$A$84,0))</f>
        <v/>
      </c>
    </row>
    <row r="53" ht="15" customHeight="1" s="25">
      <c r="A53" s="45" t="inlineStr">
        <is>
          <t>wt</t>
        </is>
      </c>
      <c r="B53" s="45" t="inlineStr">
        <is>
          <t>aptosp</t>
        </is>
      </c>
      <c r="C53" s="45" t="inlineStr">
        <is>
          <t>Compradora</t>
        </is>
      </c>
      <c r="D53" s="45" t="inlineStr">
        <is>
          <t>Documentado</t>
        </is>
      </c>
      <c r="E53" s="45">
        <f>INDEX(Nodes!$B$2:$B$84,MATCH(A53,Nodes!$A$2:$A$84,0))</f>
        <v/>
      </c>
      <c r="F53" s="45">
        <f>INDEX(Nodes!$B$2:$B$84,MATCH(B53,Nodes!$A$2:$A$84,0))</f>
        <v/>
      </c>
    </row>
    <row r="54" ht="15" customHeight="1" s="25">
      <c r="A54" s="45" t="inlineStr">
        <is>
          <t>wt</t>
        </is>
      </c>
      <c r="B54" s="45" t="inlineStr">
        <is>
          <t>angra</t>
        </is>
      </c>
      <c r="C54" s="45" t="inlineStr">
        <is>
          <t>Dona</t>
        </is>
      </c>
      <c r="D54" s="45" t="inlineStr">
        <is>
          <t>Documentado</t>
        </is>
      </c>
      <c r="E54" s="45">
        <f>INDEX(Nodes!$B$2:$B$84,MATCH(A54,Nodes!$A$2:$A$84,0))</f>
        <v/>
      </c>
      <c r="F54" s="45">
        <f>INDEX(Nodes!$B$2:$B$84,MATCH(B54,Nodes!$A$2:$A$84,0))</f>
        <v/>
      </c>
    </row>
    <row r="55" ht="15" customHeight="1" s="25">
      <c r="A55" s="45" t="inlineStr">
        <is>
          <t>angra</t>
        </is>
      </c>
      <c r="B55" s="45" t="inlineStr">
        <is>
          <t>richarlison</t>
        </is>
      </c>
      <c r="C55" s="45" t="inlineStr">
        <is>
          <t>Investiu ~R$ 10 mi e perdeu a casa na Justiça</t>
        </is>
      </c>
      <c r="D55" s="45" t="inlineStr">
        <is>
          <t>Documentado</t>
        </is>
      </c>
      <c r="E55" s="45">
        <f>INDEX(Nodes!$B$2:$B$84,MATCH(A55,Nodes!$A$2:$A$84,0))</f>
        <v/>
      </c>
      <c r="F55" s="45">
        <f>INDEX(Nodes!$B$2:$B$84,MATCH(B55,Nodes!$A$2:$A$84,0))</f>
        <v/>
      </c>
    </row>
    <row r="56" ht="15" customHeight="1" s="25">
      <c r="A56" s="45" t="inlineStr">
        <is>
          <t>angra</t>
        </is>
      </c>
      <c r="B56" s="45" t="inlineStr">
        <is>
          <t>dono</t>
        </is>
      </c>
      <c r="C56" s="45" t="inlineStr">
        <is>
          <t>Antigo dono; ouviu Flávio chamar Willer de sócio</t>
        </is>
      </c>
      <c r="D56" s="45" t="inlineStr">
        <is>
          <t>Documentado</t>
        </is>
      </c>
      <c r="E56" s="45">
        <f>INDEX(Nodes!$B$2:$B$84,MATCH(A56,Nodes!$A$2:$A$84,0))</f>
        <v/>
      </c>
      <c r="F56" s="45">
        <f>INDEX(Nodes!$B$2:$B$84,MATCH(B56,Nodes!$A$2:$A$84,0))</f>
        <v/>
      </c>
    </row>
    <row r="57" ht="15" customHeight="1" s="25">
      <c r="A57" s="45" t="inlineStr">
        <is>
          <t>flavio</t>
        </is>
      </c>
      <c r="B57" s="45" t="inlineStr">
        <is>
          <t>angra</t>
        </is>
      </c>
      <c r="C57" s="45" t="inlineStr">
        <is>
          <t>Aniversário da filha na mansão</t>
        </is>
      </c>
      <c r="D57" s="45" t="inlineStr">
        <is>
          <t>Documentado</t>
        </is>
      </c>
      <c r="E57" s="45">
        <f>INDEX(Nodes!$B$2:$B$84,MATCH(A57,Nodes!$A$2:$A$84,0))</f>
        <v/>
      </c>
      <c r="F57" s="45">
        <f>INDEX(Nodes!$B$2:$B$84,MATCH(B57,Nodes!$A$2:$A$84,0))</f>
        <v/>
      </c>
    </row>
    <row r="58" ht="15" customHeight="1" s="25">
      <c r="A58" s="45" t="inlineStr">
        <is>
          <t>flavio</t>
        </is>
      </c>
      <c r="B58" s="45" t="inlineStr">
        <is>
          <t>aptosp</t>
        </is>
      </c>
      <c r="C58" s="45" t="inlineStr">
        <is>
          <t>Usou na campanha</t>
        </is>
      </c>
      <c r="D58" s="45" t="inlineStr">
        <is>
          <t>Documentado</t>
        </is>
      </c>
      <c r="E58" s="45">
        <f>INDEX(Nodes!$B$2:$B$84,MATCH(A58,Nodes!$A$2:$A$84,0))</f>
        <v/>
      </c>
      <c r="F58" s="45">
        <f>INDEX(Nodes!$B$2:$B$84,MATCH(B58,Nodes!$A$2:$A$84,0))</f>
        <v/>
      </c>
    </row>
    <row r="59" ht="15" customHeight="1" s="25">
      <c r="A59" s="45" t="inlineStr">
        <is>
          <t>vorcaro</t>
        </is>
      </c>
      <c r="B59" s="45" t="inlineStr">
        <is>
          <t>flavio</t>
        </is>
      </c>
      <c r="C59" s="45" t="inlineStr">
        <is>
          <t>Mensagem na véspera da prisão: “Irmão, estou e estarei contigo sempre”</t>
        </is>
      </c>
      <c r="D59" s="45" t="inlineStr">
        <is>
          <t>Documentado</t>
        </is>
      </c>
      <c r="E59" s="45">
        <f>INDEX(Nodes!$B$2:$B$84,MATCH(A59,Nodes!$A$2:$A$84,0))</f>
        <v/>
      </c>
      <c r="F59" s="45">
        <f>INDEX(Nodes!$B$2:$B$84,MATCH(B59,Nodes!$A$2:$A$84,0))</f>
        <v/>
      </c>
    </row>
    <row r="60" ht="23.25" customHeight="1" s="25">
      <c r="A60" s="45" t="inlineStr">
        <is>
          <t>vorcaro</t>
        </is>
      </c>
      <c r="B60" s="45" t="inlineStr">
        <is>
          <t>flavio</t>
        </is>
      </c>
      <c r="C60" s="45" t="inlineStr">
        <is>
          <t>~US$ 24 mi negociados para o filme; Flávio cobrava parcelas por áudio e é investigado</t>
        </is>
      </c>
      <c r="D60" s="45" t="inlineStr">
        <is>
          <t>Alegado ou contestado</t>
        </is>
      </c>
      <c r="E60" s="45">
        <f>INDEX(Nodes!$B$2:$B$84,MATCH(A60,Nodes!$A$2:$A$84,0))</f>
        <v/>
      </c>
      <c r="F60" s="45">
        <f>INDEX(Nodes!$B$2:$B$84,MATCH(B60,Nodes!$A$2:$A$84,0))</f>
        <v/>
      </c>
    </row>
    <row r="61" ht="15" customHeight="1" s="25">
      <c r="A61" s="45" t="inlineStr">
        <is>
          <t>ong</t>
        </is>
      </c>
      <c r="B61" s="45" t="inlineStr">
        <is>
          <t>flavio</t>
        </is>
      </c>
      <c r="C61" s="45" t="inlineStr">
        <is>
          <t>Dinheiro do filme sobre o pai</t>
        </is>
      </c>
      <c r="D61" s="45" t="inlineStr">
        <is>
          <t>Alegado ou contestado</t>
        </is>
      </c>
      <c r="E61" s="45">
        <f>INDEX(Nodes!$B$2:$B$84,MATCH(A61,Nodes!$A$2:$A$84,0))</f>
        <v/>
      </c>
      <c r="F61" s="45">
        <f>INDEX(Nodes!$B$2:$B$84,MATCH(B61,Nodes!$A$2:$A$84,0))</f>
        <v/>
      </c>
    </row>
    <row r="62" ht="15" customHeight="1" s="25">
      <c r="A62" s="45" t="inlineStr">
        <is>
          <t>ong</t>
        </is>
      </c>
      <c r="B62" s="45" t="inlineStr">
        <is>
          <t>vorcaro</t>
        </is>
      </c>
      <c r="C62" s="45" t="inlineStr">
        <is>
          <t>Negociação de ~US$ 24 mi</t>
        </is>
      </c>
      <c r="D62" s="45" t="inlineStr">
        <is>
          <t>Alegado ou contestado</t>
        </is>
      </c>
      <c r="E62" s="45">
        <f>INDEX(Nodes!$B$2:$B$84,MATCH(A62,Nodes!$A$2:$A$84,0))</f>
        <v/>
      </c>
      <c r="F62" s="45">
        <f>INDEX(Nodes!$B$2:$B$84,MATCH(B62,Nodes!$A$2:$A$84,0))</f>
        <v/>
      </c>
    </row>
    <row r="63" ht="15" customHeight="1" s="25">
      <c r="A63" s="45" t="inlineStr">
        <is>
          <t>ong</t>
        </is>
      </c>
      <c r="B63" s="45" t="inlineStr">
        <is>
          <t>eletricista</t>
        </is>
      </c>
      <c r="C63" s="45" t="inlineStr">
        <is>
          <t>Tesoureiro de fachada</t>
        </is>
      </c>
      <c r="D63" s="45" t="inlineStr">
        <is>
          <t>Documentado</t>
        </is>
      </c>
      <c r="E63" s="45">
        <f>INDEX(Nodes!$B$2:$B$84,MATCH(A63,Nodes!$A$2:$A$84,0))</f>
        <v/>
      </c>
      <c r="F63" s="45">
        <f>INDEX(Nodes!$B$2:$B$84,MATCH(B63,Nodes!$A$2:$A$84,0))</f>
        <v/>
      </c>
    </row>
    <row r="64" ht="23.25" customHeight="1" s="25">
      <c r="A64" s="45" t="inlineStr">
        <is>
          <t>triplex</t>
        </is>
      </c>
      <c r="B64" s="45" t="inlineStr">
        <is>
          <t>nunes</t>
        </is>
      </c>
      <c r="C64" s="45" t="inlineStr">
        <is>
          <t>Segundo a Piauí, frequentava as festas com o filho; ele nega irregularidades</t>
        </is>
      </c>
      <c r="D64" s="45" t="inlineStr">
        <is>
          <t>Alegado ou contestado</t>
        </is>
      </c>
      <c r="E64" s="45">
        <f>INDEX(Nodes!$B$2:$B$84,MATCH(A64,Nodes!$A$2:$A$84,0))</f>
        <v/>
      </c>
      <c r="F64" s="45">
        <f>INDEX(Nodes!$B$2:$B$84,MATCH(B64,Nodes!$A$2:$A$84,0))</f>
        <v/>
      </c>
    </row>
    <row r="65" ht="15" customHeight="1" s="25">
      <c r="A65" s="45" t="inlineStr">
        <is>
          <t>triplex</t>
        </is>
      </c>
      <c r="B65" s="45" t="inlineStr">
        <is>
          <t>mulheres</t>
        </is>
      </c>
      <c r="C65" s="45" t="inlineStr">
        <is>
          <t>Mulheres nas festas</t>
        </is>
      </c>
      <c r="D65" s="45" t="inlineStr">
        <is>
          <t>Alegado ou contestado</t>
        </is>
      </c>
      <c r="E65" s="45">
        <f>INDEX(Nodes!$B$2:$B$84,MATCH(A65,Nodes!$A$2:$A$84,0))</f>
        <v/>
      </c>
      <c r="F65" s="45">
        <f>INDEX(Nodes!$B$2:$B$84,MATCH(B65,Nodes!$A$2:$A$84,0))</f>
        <v/>
      </c>
    </row>
    <row r="66" ht="15" customHeight="1" s="25">
      <c r="A66" s="45" t="inlineStr">
        <is>
          <t>luri</t>
        </is>
      </c>
      <c r="B66" s="45" t="inlineStr">
        <is>
          <t>mulheres</t>
        </is>
      </c>
      <c r="C66" s="45" t="inlineStr">
        <is>
          <t>Recrutava</t>
        </is>
      </c>
      <c r="D66" s="45" t="inlineStr">
        <is>
          <t>Alegado ou contestado</t>
        </is>
      </c>
      <c r="E66" s="45">
        <f>INDEX(Nodes!$B$2:$B$84,MATCH(A66,Nodes!$A$2:$A$84,0))</f>
        <v/>
      </c>
      <c r="F66" s="45">
        <f>INDEX(Nodes!$B$2:$B$84,MATCH(B66,Nodes!$A$2:$A$84,0))</f>
        <v/>
      </c>
    </row>
    <row r="67" ht="15" customHeight="1" s="25">
      <c r="A67" s="45" t="inlineStr">
        <is>
          <t>promoter</t>
        </is>
      </c>
      <c r="B67" s="45" t="inlineStr">
        <is>
          <t>mulheres</t>
        </is>
      </c>
      <c r="C67" s="45" t="inlineStr">
        <is>
          <t>Levava as mulheres</t>
        </is>
      </c>
      <c r="D67" s="45" t="inlineStr">
        <is>
          <t>Alegado ou contestado</t>
        </is>
      </c>
      <c r="E67" s="45">
        <f>INDEX(Nodes!$B$2:$B$84,MATCH(A67,Nodes!$A$2:$A$84,0))</f>
        <v/>
      </c>
      <c r="F67" s="45">
        <f>INDEX(Nodes!$B$2:$B$84,MATCH(B67,Nodes!$A$2:$A$84,0))</f>
        <v/>
      </c>
    </row>
    <row r="68" ht="15" customHeight="1" s="25">
      <c r="A68" s="45" t="inlineStr">
        <is>
          <t>promoter</t>
        </is>
      </c>
      <c r="B68" s="45" t="inlineStr">
        <is>
          <t>vorcaro</t>
        </is>
      </c>
      <c r="C68" s="45" t="inlineStr">
        <is>
          <t>Pago pelo banqueiro (valor mensal impreciso na transcrição)</t>
        </is>
      </c>
      <c r="D68" s="45" t="inlineStr">
        <is>
          <t>Alegado ou contestado</t>
        </is>
      </c>
      <c r="E68" s="45">
        <f>INDEX(Nodes!$B$2:$B$84,MATCH(A68,Nodes!$A$2:$A$84,0))</f>
        <v/>
      </c>
      <c r="F68" s="45">
        <f>INDEX(Nodes!$B$2:$B$84,MATCH(B68,Nodes!$A$2:$A$84,0))</f>
        <v/>
      </c>
    </row>
    <row r="69" ht="15" customHeight="1" s="25">
      <c r="A69" s="45" t="inlineStr">
        <is>
          <t>mordomo</t>
        </is>
      </c>
      <c r="B69" s="45" t="inlineStr">
        <is>
          <t>triplex</t>
        </is>
      </c>
      <c r="C69" s="45" t="inlineStr">
        <is>
          <t>Trabalhava no triplex</t>
        </is>
      </c>
      <c r="D69" s="45" t="inlineStr">
        <is>
          <t>Documentado</t>
        </is>
      </c>
      <c r="E69" s="45">
        <f>INDEX(Nodes!$B$2:$B$84,MATCH(A69,Nodes!$A$2:$A$84,0))</f>
        <v/>
      </c>
      <c r="F69" s="45">
        <f>INDEX(Nodes!$B$2:$B$84,MATCH(B69,Nodes!$A$2:$A$84,0))</f>
        <v/>
      </c>
    </row>
    <row r="70" ht="15" customHeight="1" s="25">
      <c r="A70" s="45" t="inlineStr">
        <is>
          <t>mordomo</t>
        </is>
      </c>
      <c r="B70" s="45" t="inlineStr">
        <is>
          <t>vorcaro</t>
        </is>
      </c>
      <c r="C70" s="45" t="inlineStr">
        <is>
          <t>Mandou mensagens sobre a festa de fev/2025</t>
        </is>
      </c>
      <c r="D70" s="45" t="inlineStr">
        <is>
          <t>Alegado ou contestado</t>
        </is>
      </c>
      <c r="E70" s="45">
        <f>INDEX(Nodes!$B$2:$B$84,MATCH(A70,Nodes!$A$2:$A$84,0))</f>
        <v/>
      </c>
      <c r="F70" s="45">
        <f>INDEX(Nodes!$B$2:$B$84,MATCH(B70,Nodes!$A$2:$A$84,0))</f>
        <v/>
      </c>
    </row>
    <row r="71" ht="15" customHeight="1" s="25">
      <c r="A71" s="45" t="inlineStr">
        <is>
          <t>mordomo</t>
        </is>
      </c>
      <c r="B71" s="45" t="inlineStr">
        <is>
          <t>nunes</t>
        </is>
      </c>
      <c r="C71" s="45" t="inlineStr">
        <is>
          <t>Relatou “ministro com cinco meninas”</t>
        </is>
      </c>
      <c r="D71" s="45" t="inlineStr">
        <is>
          <t>Alegado ou contestado</t>
        </is>
      </c>
      <c r="E71" s="45">
        <f>INDEX(Nodes!$B$2:$B$84,MATCH(A71,Nodes!$A$2:$A$84,0))</f>
        <v/>
      </c>
      <c r="F71" s="45">
        <f>INDEX(Nodes!$B$2:$B$84,MATCH(B71,Nodes!$A$2:$A$84,0))</f>
        <v/>
      </c>
    </row>
    <row r="72" ht="15" customHeight="1" s="25">
      <c r="A72" s="45" t="inlineStr">
        <is>
          <t>dirjur</t>
        </is>
      </c>
      <c r="B72" s="45" t="inlineStr">
        <is>
          <t>master</t>
        </is>
      </c>
      <c r="C72" s="45" t="inlineStr">
        <is>
          <t>Diretor do banco</t>
        </is>
      </c>
      <c r="D72" s="45" t="inlineStr">
        <is>
          <t>Documentado</t>
        </is>
      </c>
      <c r="E72" s="45">
        <f>INDEX(Nodes!$B$2:$B$84,MATCH(A72,Nodes!$A$2:$A$84,0))</f>
        <v/>
      </c>
      <c r="F72" s="45">
        <f>INDEX(Nodes!$B$2:$B$84,MATCH(B72,Nodes!$A$2:$A$84,0))</f>
        <v/>
      </c>
    </row>
    <row r="73" ht="15" customHeight="1" s="25">
      <c r="A73" s="45" t="inlineStr">
        <is>
          <t>dirjur</t>
        </is>
      </c>
      <c r="B73" s="45" t="inlineStr">
        <is>
          <t>vorcaro</t>
        </is>
      </c>
      <c r="C73" s="45" t="inlineStr">
        <is>
          <t>“Dominado aqui” no dia do voto de desempate</t>
        </is>
      </c>
      <c r="D73" s="45" t="inlineStr">
        <is>
          <t>Alegado ou contestado</t>
        </is>
      </c>
      <c r="E73" s="45">
        <f>INDEX(Nodes!$B$2:$B$84,MATCH(A73,Nodes!$A$2:$A$84,0))</f>
        <v/>
      </c>
      <c r="F73" s="45">
        <f>INDEX(Nodes!$B$2:$B$84,MATCH(B73,Nodes!$A$2:$A$84,0))</f>
        <v/>
      </c>
    </row>
    <row r="74" ht="23.25" customHeight="1" s="25">
      <c r="A74" s="45" t="inlineStr">
        <is>
          <t>dirjur</t>
        </is>
      </c>
      <c r="B74" s="45" t="inlineStr">
        <is>
          <t>kevin</t>
        </is>
      </c>
      <c r="C74" s="45" t="inlineStr">
        <is>
          <t>Perguntou ao Vorcaro se mantinha o pagamento mensal e mandou o contato do Kevin (valor ilegível na transcrição)</t>
        </is>
      </c>
      <c r="D74" s="45" t="inlineStr">
        <is>
          <t>Alegado ou contestado</t>
        </is>
      </c>
      <c r="E74" s="45">
        <f>INDEX(Nodes!$B$2:$B$84,MATCH(A74,Nodes!$A$2:$A$84,0))</f>
        <v/>
      </c>
      <c r="F74" s="45">
        <f>INDEX(Nodes!$B$2:$B$84,MATCH(B74,Nodes!$A$2:$A$84,0))</f>
        <v/>
      </c>
    </row>
    <row r="75" ht="15" customHeight="1" s="25">
      <c r="A75" s="45" t="inlineStr">
        <is>
          <t>master</t>
        </is>
      </c>
      <c r="B75" s="45" t="inlineStr">
        <is>
          <t>consult</t>
        </is>
      </c>
      <c r="C75" s="45" t="inlineStr">
        <is>
          <t>Pagou R$ 6,6 mi</t>
        </is>
      </c>
      <c r="D75" s="45" t="inlineStr">
        <is>
          <t>Documentado</t>
        </is>
      </c>
      <c r="E75" s="45">
        <f>INDEX(Nodes!$B$2:$B$84,MATCH(A75,Nodes!$A$2:$A$84,0))</f>
        <v/>
      </c>
      <c r="F75" s="45">
        <f>INDEX(Nodes!$B$2:$B$84,MATCH(B75,Nodes!$A$2:$A$84,0))</f>
        <v/>
      </c>
    </row>
    <row r="76" ht="15" customHeight="1" s="25">
      <c r="A76" s="45" t="inlineStr">
        <is>
          <t>consult</t>
        </is>
      </c>
      <c r="B76" s="45" t="inlineStr">
        <is>
          <t>kevin</t>
        </is>
      </c>
      <c r="C76" s="45" t="inlineStr">
        <is>
          <t>Repassou ~R$ 300 mil</t>
        </is>
      </c>
      <c r="D76" s="45" t="inlineStr">
        <is>
          <t>Documentado</t>
        </is>
      </c>
      <c r="E76" s="45">
        <f>INDEX(Nodes!$B$2:$B$84,MATCH(A76,Nodes!$A$2:$A$84,0))</f>
        <v/>
      </c>
      <c r="F76" s="45">
        <f>INDEX(Nodes!$B$2:$B$84,MATCH(B76,Nodes!$A$2:$A$84,0))</f>
        <v/>
      </c>
    </row>
    <row r="77" ht="15" customHeight="1" s="25">
      <c r="A77" s="45" t="inlineStr">
        <is>
          <t>consult</t>
        </is>
      </c>
      <c r="B77" s="45" t="inlineStr">
        <is>
          <t>nunes</t>
        </is>
      </c>
      <c r="C77" s="45" t="inlineStr">
        <is>
          <t>Dono é amigo do ministro</t>
        </is>
      </c>
      <c r="D77" s="45" t="inlineStr">
        <is>
          <t>Documentado</t>
        </is>
      </c>
      <c r="E77" s="45">
        <f>INDEX(Nodes!$B$2:$B$84,MATCH(A77,Nodes!$A$2:$A$84,0))</f>
        <v/>
      </c>
      <c r="F77" s="45">
        <f>INDEX(Nodes!$B$2:$B$84,MATCH(B77,Nodes!$A$2:$A$84,0))</f>
        <v/>
      </c>
    </row>
    <row r="78" ht="15" customHeight="1" s="25">
      <c r="A78" s="45" t="inlineStr">
        <is>
          <t>kevin</t>
        </is>
      </c>
      <c r="B78" s="45" t="inlineStr">
        <is>
          <t>nunes</t>
        </is>
      </c>
      <c r="C78" s="45" t="inlineStr">
        <is>
          <t>Filho</t>
        </is>
      </c>
      <c r="D78" s="45" t="inlineStr">
        <is>
          <t>Documentado</t>
        </is>
      </c>
      <c r="E78" s="45">
        <f>INDEX(Nodes!$B$2:$B$84,MATCH(A78,Nodes!$A$2:$A$84,0))</f>
        <v/>
      </c>
      <c r="F78" s="45">
        <f>INDEX(Nodes!$B$2:$B$84,MATCH(B78,Nodes!$A$2:$A$84,0))</f>
        <v/>
      </c>
    </row>
    <row r="79" ht="15" customHeight="1" s="25">
      <c r="A79" s="45" t="inlineStr">
        <is>
          <t>nunes</t>
        </is>
      </c>
      <c r="B79" s="45" t="inlineStr">
        <is>
          <t>coaf</t>
        </is>
      </c>
      <c r="C79" s="45" t="inlineStr">
        <is>
          <t>Votou a favor de Flávio; provas anuladas</t>
        </is>
      </c>
      <c r="D79" s="45" t="inlineStr">
        <is>
          <t>Documentado</t>
        </is>
      </c>
      <c r="E79" s="45">
        <f>INDEX(Nodes!$B$2:$B$84,MATCH(A79,Nodes!$A$2:$A$84,0))</f>
        <v/>
      </c>
      <c r="F79" s="45">
        <f>INDEX(Nodes!$B$2:$B$84,MATCH(B79,Nodes!$A$2:$A$84,0))</f>
        <v/>
      </c>
    </row>
    <row r="80" ht="15" customHeight="1" s="25">
      <c r="A80" s="45" t="inlineStr">
        <is>
          <t>coaf</t>
        </is>
      </c>
      <c r="B80" s="45" t="inlineStr">
        <is>
          <t>flavio</t>
        </is>
      </c>
      <c r="C80" s="45" t="inlineStr">
        <is>
          <t>Investigação da rachadinha</t>
        </is>
      </c>
      <c r="D80" s="45" t="inlineStr">
        <is>
          <t>Documentado</t>
        </is>
      </c>
      <c r="E80" s="45">
        <f>INDEX(Nodes!$B$2:$B$84,MATCH(A80,Nodes!$A$2:$A$84,0))</f>
        <v/>
      </c>
      <c r="F80" s="45">
        <f>INDEX(Nodes!$B$2:$B$84,MATCH(B80,Nodes!$A$2:$A$84,0))</f>
        <v/>
      </c>
    </row>
    <row r="81" ht="15" customHeight="1" s="25">
      <c r="A81" s="45" t="inlineStr">
        <is>
          <t>coaf</t>
        </is>
      </c>
      <c r="B81" s="45" t="inlineStr">
        <is>
          <t>queiroz</t>
        </is>
      </c>
      <c r="C81" s="45" t="inlineStr">
        <is>
          <t>Operador do esquema</t>
        </is>
      </c>
      <c r="D81" s="45" t="inlineStr">
        <is>
          <t>Documentado</t>
        </is>
      </c>
      <c r="E81" s="45">
        <f>INDEX(Nodes!$B$2:$B$84,MATCH(A81,Nodes!$A$2:$A$84,0))</f>
        <v/>
      </c>
      <c r="F81" s="45">
        <f>INDEX(Nodes!$B$2:$B$84,MATCH(B81,Nodes!$A$2:$A$84,0))</f>
        <v/>
      </c>
    </row>
    <row r="82" ht="15" customHeight="1" s="25">
      <c r="A82" s="45" t="inlineStr">
        <is>
          <t>queiroz</t>
        </is>
      </c>
      <c r="B82" s="45" t="inlineStr">
        <is>
          <t>atibaia</t>
        </is>
      </c>
      <c r="C82" s="45" t="inlineStr">
        <is>
          <t>Achado escondido lá</t>
        </is>
      </c>
      <c r="D82" s="45" t="inlineStr">
        <is>
          <t>Documentado</t>
        </is>
      </c>
      <c r="E82" s="45">
        <f>INDEX(Nodes!$B$2:$B$84,MATCH(A82,Nodes!$A$2:$A$84,0))</f>
        <v/>
      </c>
      <c r="F82" s="45">
        <f>INDEX(Nodes!$B$2:$B$84,MATCH(B82,Nodes!$A$2:$A$84,0))</f>
        <v/>
      </c>
    </row>
    <row r="83" ht="15" customHeight="1" s="25">
      <c r="A83" s="45" t="inlineStr">
        <is>
          <t>wassef</t>
        </is>
      </c>
      <c r="B83" s="45" t="inlineStr">
        <is>
          <t>atibaia</t>
        </is>
      </c>
      <c r="C83" s="45" t="inlineStr">
        <is>
          <t>Casa dele</t>
        </is>
      </c>
      <c r="D83" s="45" t="inlineStr">
        <is>
          <t>Documentado</t>
        </is>
      </c>
      <c r="E83" s="45">
        <f>INDEX(Nodes!$B$2:$B$84,MATCH(A83,Nodes!$A$2:$A$84,0))</f>
        <v/>
      </c>
      <c r="F83" s="45">
        <f>INDEX(Nodes!$B$2:$B$84,MATCH(B83,Nodes!$A$2:$A$84,0))</f>
        <v/>
      </c>
    </row>
    <row r="84" ht="15" customHeight="1" s="25">
      <c r="A84" s="45" t="inlineStr">
        <is>
          <t>jair</t>
        </is>
      </c>
      <c r="B84" s="45" t="inlineStr">
        <is>
          <t>flavio</t>
        </is>
      </c>
      <c r="C84" s="45" t="inlineStr">
        <is>
          <t>Pai; Flávio promete anistia ou indulto</t>
        </is>
      </c>
      <c r="D84" s="45" t="inlineStr">
        <is>
          <t>Documentado</t>
        </is>
      </c>
      <c r="E84" s="45">
        <f>INDEX(Nodes!$B$2:$B$84,MATCH(A84,Nodes!$A$2:$A$84,0))</f>
        <v/>
      </c>
      <c r="F84" s="45">
        <f>INDEX(Nodes!$B$2:$B$84,MATCH(B84,Nodes!$A$2:$A$84,0))</f>
        <v/>
      </c>
    </row>
    <row r="85" ht="15" customHeight="1" s="25">
      <c r="A85" s="45" t="inlineStr">
        <is>
          <t>jair</t>
        </is>
      </c>
      <c r="B85" s="45" t="inlineStr">
        <is>
          <t>wassef</t>
        </is>
      </c>
      <c r="C85" s="45" t="inlineStr">
        <is>
          <t>Advogado da família</t>
        </is>
      </c>
      <c r="D85" s="45" t="inlineStr">
        <is>
          <t>Documentado</t>
        </is>
      </c>
      <c r="E85" s="45">
        <f>INDEX(Nodes!$B$2:$B$84,MATCH(A85,Nodes!$A$2:$A$84,0))</f>
        <v/>
      </c>
      <c r="F85" s="45">
        <f>INDEX(Nodes!$B$2:$B$84,MATCH(B85,Nodes!$A$2:$A$84,0))</f>
        <v/>
      </c>
    </row>
    <row r="86" ht="15" customHeight="1" s="25">
      <c r="A86" s="45" t="inlineStr">
        <is>
          <t>jair</t>
        </is>
      </c>
      <c r="B86" s="45" t="inlineStr">
        <is>
          <t>abin</t>
        </is>
      </c>
      <c r="C86" s="45" t="inlineStr">
        <is>
          <t>Abin trabalhou para defender o filho</t>
        </is>
      </c>
      <c r="D86" s="45" t="inlineStr">
        <is>
          <t>Documentado</t>
        </is>
      </c>
      <c r="E86" s="45">
        <f>INDEX(Nodes!$B$2:$B$84,MATCH(A86,Nodes!$A$2:$A$84,0))</f>
        <v/>
      </c>
      <c r="F86" s="45">
        <f>INDEX(Nodes!$B$2:$B$84,MATCH(B86,Nodes!$A$2:$A$84,0))</f>
        <v/>
      </c>
    </row>
    <row r="87" ht="15" customHeight="1" s="25">
      <c r="A87" s="45" t="inlineStr">
        <is>
          <t>abin</t>
        </is>
      </c>
      <c r="B87" s="45" t="inlineStr">
        <is>
          <t>ramagem</t>
        </is>
      </c>
      <c r="C87" s="45" t="inlineStr">
        <is>
          <t>Chefiada por ele</t>
        </is>
      </c>
      <c r="D87" s="45" t="inlineStr">
        <is>
          <t>Documentado</t>
        </is>
      </c>
      <c r="E87" s="45">
        <f>INDEX(Nodes!$B$2:$B$84,MATCH(A87,Nodes!$A$2:$A$84,0))</f>
        <v/>
      </c>
      <c r="F87" s="45">
        <f>INDEX(Nodes!$B$2:$B$84,MATCH(B87,Nodes!$A$2:$A$84,0))</f>
        <v/>
      </c>
    </row>
    <row r="88" ht="15" customHeight="1" s="25">
      <c r="A88" s="45" t="inlineStr">
        <is>
          <t>abin</t>
        </is>
      </c>
      <c r="B88" s="45" t="inlineStr">
        <is>
          <t>flavio</t>
        </is>
      </c>
      <c r="C88" s="45" t="inlineStr">
        <is>
          <t>Relatórios para “defender FB”</t>
        </is>
      </c>
      <c r="D88" s="45" t="inlineStr">
        <is>
          <t>Documentado</t>
        </is>
      </c>
      <c r="E88" s="45">
        <f>INDEX(Nodes!$B$2:$B$84,MATCH(A88,Nodes!$A$2:$A$84,0))</f>
        <v/>
      </c>
      <c r="F88" s="45">
        <f>INDEX(Nodes!$B$2:$B$84,MATCH(B88,Nodes!$A$2:$A$84,0))</f>
        <v/>
      </c>
    </row>
    <row r="89" ht="15" customHeight="1" s="25">
      <c r="A89" s="45" t="inlineStr">
        <is>
          <t>heleno</t>
        </is>
      </c>
      <c r="B89" s="45" t="inlineStr">
        <is>
          <t>jair</t>
        </is>
      </c>
      <c r="C89" s="45" t="inlineStr">
        <is>
          <t>Reunião no Planalto (2020)</t>
        </is>
      </c>
      <c r="D89" s="45" t="inlineStr">
        <is>
          <t>Documentado</t>
        </is>
      </c>
      <c r="E89" s="45">
        <f>INDEX(Nodes!$B$2:$B$84,MATCH(A89,Nodes!$A$2:$A$84,0))</f>
        <v/>
      </c>
      <c r="F89" s="45">
        <f>INDEX(Nodes!$B$2:$B$84,MATCH(B89,Nodes!$A$2:$A$84,0))</f>
        <v/>
      </c>
    </row>
    <row r="90" ht="15" customHeight="1" s="25">
      <c r="A90" s="45" t="inlineStr">
        <is>
          <t>ramagem</t>
        </is>
      </c>
      <c r="B90" s="45" t="inlineStr">
        <is>
          <t>jair</t>
        </is>
      </c>
      <c r="C90" s="45" t="inlineStr">
        <is>
          <t>Reunião no Planalto (2020)</t>
        </is>
      </c>
      <c r="D90" s="45" t="inlineStr">
        <is>
          <t>Documentado</t>
        </is>
      </c>
      <c r="E90" s="45">
        <f>INDEX(Nodes!$B$2:$B$84,MATCH(A90,Nodes!$A$2:$A$84,0))</f>
        <v/>
      </c>
      <c r="F90" s="45">
        <f>INDEX(Nodes!$B$2:$B$84,MATCH(B90,Nodes!$A$2:$A$84,0))</f>
        <v/>
      </c>
    </row>
    <row r="91" ht="15" customHeight="1" s="25">
      <c r="A91" s="45" t="inlineStr">
        <is>
          <t>ramagem</t>
        </is>
      </c>
      <c r="B91" s="45" t="inlineStr">
        <is>
          <t>flavio</t>
        </is>
      </c>
      <c r="C91" s="45" t="inlineStr">
        <is>
          <t>Diz que volta ao Brasil se Flávio ganhar</t>
        </is>
      </c>
      <c r="D91" s="45" t="inlineStr">
        <is>
          <t>Documentado</t>
        </is>
      </c>
      <c r="E91" s="45">
        <f>INDEX(Nodes!$B$2:$B$84,MATCH(A91,Nodes!$A$2:$A$84,0))</f>
        <v/>
      </c>
      <c r="F91" s="45">
        <f>INDEX(Nodes!$B$2:$B$84,MATCH(B91,Nodes!$A$2:$A$84,0))</f>
        <v/>
      </c>
    </row>
    <row r="92" ht="15" customHeight="1" s="25">
      <c r="A92" s="45" t="inlineStr">
        <is>
          <t>receita</t>
        </is>
      </c>
      <c r="B92" s="45" t="inlineStr">
        <is>
          <t>flavio</t>
        </is>
      </c>
      <c r="C92" s="45" t="inlineStr">
        <is>
          <t>Chefe foi à casa dele</t>
        </is>
      </c>
      <c r="D92" s="45" t="inlineStr">
        <is>
          <t>Documentado</t>
        </is>
      </c>
      <c r="E92" s="45">
        <f>INDEX(Nodes!$B$2:$B$84,MATCH(A92,Nodes!$A$2:$A$84,0))</f>
        <v/>
      </c>
      <c r="F92" s="45">
        <f>INDEX(Nodes!$B$2:$B$84,MATCH(B92,Nodes!$A$2:$A$84,0))</f>
        <v/>
      </c>
    </row>
    <row r="93" ht="15" customHeight="1" s="25">
      <c r="A93" s="45" t="inlineStr">
        <is>
          <t>jair</t>
        </is>
      </c>
      <c r="B93" s="45" t="inlineStr">
        <is>
          <t>receita</t>
        </is>
      </c>
      <c r="C93" s="45" t="inlineStr">
        <is>
          <t>Reunião sobre a Receita</t>
        </is>
      </c>
      <c r="D93" s="45" t="inlineStr">
        <is>
          <t>Documentado</t>
        </is>
      </c>
      <c r="E93" s="45">
        <f>INDEX(Nodes!$B$2:$B$84,MATCH(A93,Nodes!$A$2:$A$84,0))</f>
        <v/>
      </c>
      <c r="F93" s="45">
        <f>INDEX(Nodes!$B$2:$B$84,MATCH(B93,Nodes!$A$2:$A$84,0))</f>
        <v/>
      </c>
    </row>
    <row r="94" ht="15" customHeight="1" s="25">
      <c r="A94" s="45" t="inlineStr">
        <is>
          <t>jair</t>
        </is>
      </c>
      <c r="B94" s="45" t="inlineStr">
        <is>
          <t>pf</t>
        </is>
      </c>
      <c r="C94" s="45" t="inlineStr">
        <is>
          <t>Tentou trocar o comando no Rio</t>
        </is>
      </c>
      <c r="D94" s="45" t="inlineStr">
        <is>
          <t>Documentado</t>
        </is>
      </c>
      <c r="E94" s="45">
        <f>INDEX(Nodes!$B$2:$B$84,MATCH(A94,Nodes!$A$2:$A$84,0))</f>
        <v/>
      </c>
      <c r="F94" s="45">
        <f>INDEX(Nodes!$B$2:$B$84,MATCH(B94,Nodes!$A$2:$A$84,0))</f>
        <v/>
      </c>
    </row>
    <row r="95" ht="15" customHeight="1" s="25">
      <c r="A95" s="45" t="inlineStr">
        <is>
          <t>moro</t>
        </is>
      </c>
      <c r="B95" s="45" t="inlineStr">
        <is>
          <t>jair</t>
        </is>
      </c>
      <c r="C95" s="45" t="inlineStr">
        <is>
          <t>Saiu denunciando interferência na PF</t>
        </is>
      </c>
      <c r="D95" s="45" t="inlineStr">
        <is>
          <t>Documentado</t>
        </is>
      </c>
      <c r="E95" s="45">
        <f>INDEX(Nodes!$B$2:$B$84,MATCH(A95,Nodes!$A$2:$A$84,0))</f>
        <v/>
      </c>
      <c r="F95" s="45">
        <f>INDEX(Nodes!$B$2:$B$84,MATCH(B95,Nodes!$A$2:$A$84,0))</f>
        <v/>
      </c>
    </row>
    <row r="96" ht="15" customHeight="1" s="25">
      <c r="A96" s="45" t="inlineStr">
        <is>
          <t>pf</t>
        </is>
      </c>
      <c r="B96" s="45" t="inlineStr">
        <is>
          <t>willer</t>
        </is>
      </c>
      <c r="C96" s="45" t="inlineStr">
        <is>
          <t>Investiga</t>
        </is>
      </c>
      <c r="D96" s="45" t="inlineStr">
        <is>
          <t>Documentado</t>
        </is>
      </c>
      <c r="E96" s="45">
        <f>INDEX(Nodes!$B$2:$B$84,MATCH(A96,Nodes!$A$2:$A$84,0))</f>
        <v/>
      </c>
      <c r="F96" s="45">
        <f>INDEX(Nodes!$B$2:$B$84,MATCH(B96,Nodes!$A$2:$A$84,0))</f>
        <v/>
      </c>
    </row>
    <row r="97" ht="15" customHeight="1" s="25">
      <c r="A97" s="45" t="inlineStr">
        <is>
          <t>flavio</t>
        </is>
      </c>
      <c r="B97" s="45" t="inlineStr">
        <is>
          <t>pf</t>
        </is>
      </c>
      <c r="C97" s="45" t="inlineStr">
        <is>
          <t>Se eleito, indicaria o diretor</t>
        </is>
      </c>
      <c r="D97" s="45" t="inlineStr">
        <is>
          <t>Alegado ou contestado</t>
        </is>
      </c>
      <c r="E97" s="45">
        <f>INDEX(Nodes!$B$2:$B$84,MATCH(A97,Nodes!$A$2:$A$84,0))</f>
        <v/>
      </c>
      <c r="F97" s="45">
        <f>INDEX(Nodes!$B$2:$B$84,MATCH(B97,Nodes!$A$2:$A$84,0))</f>
        <v/>
      </c>
    </row>
    <row r="98" ht="15" customHeight="1" s="25">
      <c r="A98" s="45" t="inlineStr">
        <is>
          <t>flavio</t>
        </is>
      </c>
      <c r="B98" s="45" t="inlineStr">
        <is>
          <t>pgr</t>
        </is>
      </c>
      <c r="C98" s="45" t="inlineStr">
        <is>
          <t>Se eleito, indicaria o procurador-geral</t>
        </is>
      </c>
      <c r="D98" s="45" t="inlineStr">
        <is>
          <t>Alegado ou contestado</t>
        </is>
      </c>
      <c r="E98" s="45">
        <f>INDEX(Nodes!$B$2:$B$84,MATCH(A98,Nodes!$A$2:$A$84,0))</f>
        <v/>
      </c>
      <c r="F98" s="45">
        <f>INDEX(Nodes!$B$2:$B$84,MATCH(B98,Nodes!$A$2:$A$84,0))</f>
        <v/>
      </c>
    </row>
    <row r="99" ht="15" customHeight="1" s="25">
      <c r="A99" s="45" t="inlineStr">
        <is>
          <t>pgr</t>
        </is>
      </c>
      <c r="B99" s="45" t="inlineStr">
        <is>
          <t>vorcaro</t>
        </is>
      </c>
      <c r="C99" s="45" t="inlineStr">
        <is>
          <t>Decide se denuncia</t>
        </is>
      </c>
      <c r="D99" s="45" t="inlineStr">
        <is>
          <t>Documentado</t>
        </is>
      </c>
      <c r="E99" s="45">
        <f>INDEX(Nodes!$B$2:$B$84,MATCH(A99,Nodes!$A$2:$A$84,0))</f>
        <v/>
      </c>
      <c r="F99" s="45">
        <f>INDEX(Nodes!$B$2:$B$84,MATCH(B99,Nodes!$A$2:$A$84,0))</f>
        <v/>
      </c>
    </row>
    <row r="100" ht="23.25" customHeight="1" s="25">
      <c r="A100" s="45" t="inlineStr">
        <is>
          <t>willer</t>
        </is>
      </c>
      <c r="B100" s="45" t="inlineStr">
        <is>
          <t>vorcaro</t>
        </is>
      </c>
      <c r="C100" s="45" t="inlineStr">
        <is>
          <t>Parecem sócios via jato, mansão e apartamento; Willer diz que nunca o conheceu</t>
        </is>
      </c>
      <c r="D100" s="45" t="inlineStr">
        <is>
          <t>Alegado ou contestado</t>
        </is>
      </c>
      <c r="E100" s="45">
        <f>INDEX(Nodes!$B$2:$B$84,MATCH(A100,Nodes!$A$2:$A$84,0))</f>
        <v/>
      </c>
      <c r="F100" s="45">
        <f>INDEX(Nodes!$B$2:$B$84,MATCH(B100,Nodes!$A$2:$A$84,0))</f>
        <v/>
      </c>
    </row>
    <row r="101" ht="15" customHeight="1" s="25">
      <c r="A101" s="45" t="inlineStr">
        <is>
          <t>willer</t>
        </is>
      </c>
      <c r="B101" s="45" t="inlineStr">
        <is>
          <t>wt</t>
        </is>
      </c>
      <c r="C101" s="45" t="inlineStr">
        <is>
          <t>Empresa dele, segundo o vídeo</t>
        </is>
      </c>
      <c r="D101" s="45" t="inlineStr">
        <is>
          <t>Documentado</t>
        </is>
      </c>
      <c r="E101" s="45">
        <f>INDEX(Nodes!$B$2:$B$84,MATCH(A101,Nodes!$A$2:$A$84,0))</f>
        <v/>
      </c>
      <c r="F101" s="45">
        <f>INDEX(Nodes!$B$2:$B$84,MATCH(B101,Nodes!$A$2:$A$84,0))</f>
        <v/>
      </c>
    </row>
    <row r="102" ht="15" customHeight="1" s="25">
      <c r="A102" s="45" t="inlineStr">
        <is>
          <t>flavio</t>
        </is>
      </c>
      <c r="B102" s="45" t="inlineStr">
        <is>
          <t>escf</t>
        </is>
      </c>
      <c r="C102" s="45" t="inlineStr">
        <is>
          <t>Escritório de advocacia dele</t>
        </is>
      </c>
      <c r="D102" s="45" t="inlineStr">
        <is>
          <t>Documentado</t>
        </is>
      </c>
      <c r="E102" s="45">
        <f>INDEX(Nodes!$B$2:$B$84,MATCH(A102,Nodes!$A$2:$A$84,0))</f>
        <v/>
      </c>
      <c r="F102" s="45">
        <f>INDEX(Nodes!$B$2:$B$84,MATCH(B102,Nodes!$A$2:$A$84,0))</f>
        <v/>
      </c>
    </row>
    <row r="103" ht="15" customHeight="1" s="25">
      <c r="A103" s="45" t="inlineStr">
        <is>
          <t>renan</t>
        </is>
      </c>
      <c r="B103" s="45" t="inlineStr">
        <is>
          <t>willer</t>
        </is>
      </c>
      <c r="C103" s="45" t="inlineStr">
        <is>
          <t>Pediu a quebra de sigilo</t>
        </is>
      </c>
      <c r="D103" s="45" t="inlineStr">
        <is>
          <t>Documentado</t>
        </is>
      </c>
      <c r="E103" s="45">
        <f>INDEX(Nodes!$B$2:$B$84,MATCH(A103,Nodes!$A$2:$A$84,0))</f>
        <v/>
      </c>
      <c r="F103" s="45">
        <f>INDEX(Nodes!$B$2:$B$84,MATCH(B103,Nodes!$A$2:$A$84,0))</f>
        <v/>
      </c>
    </row>
    <row r="104" ht="15" customHeight="1" s="25">
      <c r="A104" s="45" t="inlineStr">
        <is>
          <t>queiroz</t>
        </is>
      </c>
      <c r="B104" s="45" t="inlineStr">
        <is>
          <t>flavio</t>
        </is>
      </c>
      <c r="C104" s="45" t="inlineStr">
        <is>
          <t>Ex-assessor; operador da rachadinha no gabinete dele</t>
        </is>
      </c>
      <c r="D104" s="45" t="inlineStr">
        <is>
          <t>Documentado</t>
        </is>
      </c>
      <c r="E104" s="45">
        <f>INDEX(Nodes!$B$2:$B$84,MATCH(A104,Nodes!$A$2:$A$84,0))</f>
        <v/>
      </c>
      <c r="F104" s="45">
        <f>INDEX(Nodes!$B$2:$B$84,MATCH(B104,Nodes!$A$2:$A$84,0))</f>
        <v/>
      </c>
    </row>
    <row r="105" ht="15" customHeight="1" s="25">
      <c r="A105" s="45" t="inlineStr">
        <is>
          <t>dono</t>
        </is>
      </c>
      <c r="B105" s="45" t="inlineStr">
        <is>
          <t>flavio</t>
        </is>
      </c>
      <c r="C105" s="45" t="inlineStr">
        <is>
          <t>Testemunha: Flávio apresentou Willer como sócio (2020)</t>
        </is>
      </c>
      <c r="D105" s="45" t="inlineStr">
        <is>
          <t>Alegado ou contestado</t>
        </is>
      </c>
      <c r="E105" s="45">
        <f>INDEX(Nodes!$B$2:$B$84,MATCH(A105,Nodes!$A$2:$A$84,0))</f>
        <v/>
      </c>
      <c r="F105" s="45">
        <f>INDEX(Nodes!$B$2:$B$84,MATCH(B105,Nodes!$A$2:$A$84,0))</f>
        <v/>
      </c>
    </row>
    <row r="106" ht="15" customHeight="1" s="25">
      <c r="A106" s="45" t="inlineStr">
        <is>
          <t>dono</t>
        </is>
      </c>
      <c r="B106" s="45" t="inlineStr">
        <is>
          <t>willer</t>
        </is>
      </c>
      <c r="C106" s="45" t="inlineStr">
        <is>
          <t>Testemunha: Flávio apresentou Willer como sócio (2020)</t>
        </is>
      </c>
      <c r="D106" s="45" t="inlineStr">
        <is>
          <t>Alegado ou contestado</t>
        </is>
      </c>
      <c r="E106" s="45">
        <f>INDEX(Nodes!$B$2:$B$84,MATCH(A106,Nodes!$A$2:$A$84,0))</f>
        <v/>
      </c>
      <c r="F106" s="45">
        <f>INDEX(Nodes!$B$2:$B$84,MATCH(B106,Nodes!$A$2:$A$84,0))</f>
        <v/>
      </c>
    </row>
    <row r="107" ht="15" customHeight="1" s="25">
      <c r="A107" s="45" t="inlineStr">
        <is>
          <t>richarlison</t>
        </is>
      </c>
      <c r="B107" s="45" t="inlineStr">
        <is>
          <t>flavio</t>
        </is>
      </c>
      <c r="C107" s="45" t="inlineStr">
        <is>
          <t>Diz que Flávio e Willer pegaram posse da casa em 24h sem pagar</t>
        </is>
      </c>
      <c r="D107" s="45" t="inlineStr">
        <is>
          <t>Alegado ou contestado</t>
        </is>
      </c>
      <c r="E107" s="45">
        <f>INDEX(Nodes!$B$2:$B$84,MATCH(A107,Nodes!$A$2:$A$84,0))</f>
        <v/>
      </c>
      <c r="F107" s="45">
        <f>INDEX(Nodes!$B$2:$B$84,MATCH(B107,Nodes!$A$2:$A$84,0))</f>
        <v/>
      </c>
    </row>
    <row r="108" ht="15" customHeight="1" s="25">
      <c r="A108" s="45" t="inlineStr">
        <is>
          <t>richarlison</t>
        </is>
      </c>
      <c r="B108" s="45" t="inlineStr">
        <is>
          <t>willer</t>
        </is>
      </c>
      <c r="C108" s="45" t="inlineStr">
        <is>
          <t>Diz que Flávio e Willer pegaram posse da casa em 24h sem pagar</t>
        </is>
      </c>
      <c r="D108" s="45" t="inlineStr">
        <is>
          <t>Alegado ou contestado</t>
        </is>
      </c>
      <c r="E108" s="45">
        <f>INDEX(Nodes!$B$2:$B$84,MATCH(A108,Nodes!$A$2:$A$84,0))</f>
        <v/>
      </c>
      <c r="F108" s="45">
        <f>INDEX(Nodes!$B$2:$B$84,MATCH(B108,Nodes!$A$2:$A$84,0))</f>
        <v/>
      </c>
    </row>
    <row r="109" ht="15" customHeight="1" s="25">
      <c r="A109" s="45" t="inlineStr">
        <is>
          <t>kevin</t>
        </is>
      </c>
      <c r="B109" s="45" t="inlineStr">
        <is>
          <t>triplex</t>
        </is>
      </c>
      <c r="C109" s="45" t="inlineStr">
        <is>
          <t>Segundo a Piauí, ia às festas com o pai</t>
        </is>
      </c>
      <c r="D109" s="45" t="inlineStr">
        <is>
          <t>Alegado ou contestado</t>
        </is>
      </c>
      <c r="E109" s="45">
        <f>INDEX(Nodes!$B$2:$B$84,MATCH(A109,Nodes!$A$2:$A$84,0))</f>
        <v/>
      </c>
      <c r="F109" s="45">
        <f>INDEX(Nodes!$B$2:$B$84,MATCH(B109,Nodes!$A$2:$A$84,0))</f>
        <v/>
      </c>
    </row>
    <row r="110" ht="15" customHeight="1" s="25">
      <c r="A110" s="45" t="inlineStr">
        <is>
          <t>nunes</t>
        </is>
      </c>
      <c r="B110" s="45" t="inlineStr">
        <is>
          <t>master</t>
        </is>
      </c>
      <c r="C110" s="45" t="inlineStr">
        <is>
          <t>Voto de desempate em julgamento de interesse do Master</t>
        </is>
      </c>
      <c r="D110" s="45" t="inlineStr">
        <is>
          <t>Alegado ou contestado</t>
        </is>
      </c>
      <c r="E110" s="45">
        <f>INDEX(Nodes!$B$2:$B$84,MATCH(A110,Nodes!$A$2:$A$84,0))</f>
        <v/>
      </c>
      <c r="F110" s="45">
        <f>INDEX(Nodes!$B$2:$B$84,MATCH(B110,Nodes!$A$2:$A$84,0))</f>
        <v/>
      </c>
    </row>
    <row r="111" ht="23.25" customHeight="1" s="25">
      <c r="A111" s="45" t="inlineStr">
        <is>
          <t>vorcaro</t>
        </is>
      </c>
      <c r="B111" s="45" t="inlineStr">
        <is>
          <t>nunes</t>
        </is>
      </c>
      <c r="C111" s="45" t="inlineStr">
        <is>
          <t>Mensagens apontam presença nas festas; Nunes diz nunca ter trocado mensagens com ele</t>
        </is>
      </c>
      <c r="D111" s="45" t="inlineStr">
        <is>
          <t>Alegado ou contestado</t>
        </is>
      </c>
      <c r="E111" s="45">
        <f>INDEX(Nodes!$B$2:$B$84,MATCH(A111,Nodes!$A$2:$A$84,0))</f>
        <v/>
      </c>
      <c r="F111" s="45">
        <f>INDEX(Nodes!$B$2:$B$84,MATCH(B111,Nodes!$A$2:$A$84,0))</f>
        <v/>
      </c>
    </row>
    <row r="112" ht="15" customHeight="1" s="25">
      <c r="A112" s="45" t="inlineStr">
        <is>
          <t>advflavio</t>
        </is>
      </c>
      <c r="B112" s="45" t="inlineStr">
        <is>
          <t>jair</t>
        </is>
      </c>
      <c r="C112" s="45" t="inlineStr">
        <is>
          <t>Reunião no Planalto (2020) sobre derrubar a investigação</t>
        </is>
      </c>
      <c r="D112" s="45" t="inlineStr">
        <is>
          <t>Documentado</t>
        </is>
      </c>
      <c r="E112" s="45">
        <f>INDEX(Nodes!$B$2:$B$84,MATCH(A112,Nodes!$A$2:$A$84,0))</f>
        <v/>
      </c>
      <c r="F112" s="45">
        <f>INDEX(Nodes!$B$2:$B$84,MATCH(B112,Nodes!$A$2:$A$84,0))</f>
        <v/>
      </c>
    </row>
    <row r="113" ht="15" customHeight="1" s="25">
      <c r="A113" s="45" t="inlineStr">
        <is>
          <t>advflavio</t>
        </is>
      </c>
      <c r="B113" s="45" t="inlineStr">
        <is>
          <t>flavio</t>
        </is>
      </c>
      <c r="C113" s="45" t="inlineStr">
        <is>
          <t>Advogadas dele</t>
        </is>
      </c>
      <c r="D113" s="45" t="inlineStr">
        <is>
          <t>Documentado</t>
        </is>
      </c>
      <c r="E113" s="45">
        <f>INDEX(Nodes!$B$2:$B$84,MATCH(A113,Nodes!$A$2:$A$84,0))</f>
        <v/>
      </c>
      <c r="F113" s="45">
        <f>INDEX(Nodes!$B$2:$B$84,MATCH(B113,Nodes!$A$2:$A$84,0))</f>
        <v/>
      </c>
    </row>
    <row r="114" ht="15" customHeight="1" s="25">
      <c r="A114" s="45" t="inlineStr">
        <is>
          <t>ciro</t>
        </is>
      </c>
      <c r="B114" s="45" t="inlineStr">
        <is>
          <t>nunes</t>
        </is>
      </c>
      <c r="C114" s="45" t="inlineStr">
        <is>
          <t>Teria influenciado a escolha para o STF</t>
        </is>
      </c>
      <c r="D114" s="45" t="inlineStr">
        <is>
          <t>Alegado ou contestado</t>
        </is>
      </c>
      <c r="E114" s="45">
        <f>INDEX(Nodes!$B$2:$B$84,MATCH(A114,Nodes!$A$2:$A$84,0))</f>
        <v/>
      </c>
      <c r="F114" s="45">
        <f>INDEX(Nodes!$B$2:$B$84,MATCH(B114,Nodes!$A$2:$A$84,0))</f>
        <v/>
      </c>
    </row>
    <row r="115" ht="15" customHeight="1" s="25">
      <c r="A115" s="45" t="inlineStr">
        <is>
          <t>ciro</t>
        </is>
      </c>
      <c r="B115" s="45" t="inlineStr">
        <is>
          <t>flavio</t>
        </is>
      </c>
      <c r="C115" s="45" t="inlineStr">
        <is>
          <t>Teria influenciado a escolha de Nunes junto com ele</t>
        </is>
      </c>
      <c r="D115" s="45" t="inlineStr">
        <is>
          <t>Alegado ou contestado</t>
        </is>
      </c>
      <c r="E115" s="45">
        <f>INDEX(Nodes!$B$2:$B$84,MATCH(A115,Nodes!$A$2:$A$84,0))</f>
        <v/>
      </c>
      <c r="F115" s="45">
        <f>INDEX(Nodes!$B$2:$B$84,MATCH(B115,Nodes!$A$2:$A$84,0))</f>
        <v/>
      </c>
    </row>
    <row r="116" ht="15" customHeight="1" s="25">
      <c r="A116" s="45" t="inlineStr">
        <is>
          <t>stf</t>
        </is>
      </c>
      <c r="B116" s="45" t="inlineStr">
        <is>
          <t>nunes</t>
        </is>
      </c>
      <c r="C116" s="45" t="inlineStr">
        <is>
          <t>Ministro</t>
        </is>
      </c>
      <c r="D116" s="45" t="inlineStr">
        <is>
          <t>Documentado</t>
        </is>
      </c>
      <c r="E116" s="45">
        <f>INDEX(Nodes!$B$2:$B$84,MATCH(A116,Nodes!$A$2:$A$84,0))</f>
        <v/>
      </c>
      <c r="F116" s="45">
        <f>INDEX(Nodes!$B$2:$B$84,MATCH(B116,Nodes!$A$2:$A$84,0))</f>
        <v/>
      </c>
    </row>
    <row r="117" ht="15" customHeight="1" s="25">
      <c r="A117" s="45" t="inlineStr">
        <is>
          <t>stf</t>
        </is>
      </c>
      <c r="B117" s="45" t="inlineStr">
        <is>
          <t>lulinha</t>
        </is>
      </c>
      <c r="C117" s="45" t="inlineStr">
        <is>
          <t>3 inquéritos abertos no governo do pai</t>
        </is>
      </c>
      <c r="D117" s="45" t="inlineStr">
        <is>
          <t>Documentado</t>
        </is>
      </c>
      <c r="E117" s="45">
        <f>INDEX(Nodes!$B$2:$B$84,MATCH(A117,Nodes!$A$2:$A$84,0))</f>
        <v/>
      </c>
      <c r="F117" s="45">
        <f>INDEX(Nodes!$B$2:$B$84,MATCH(B117,Nodes!$A$2:$A$84,0))</f>
        <v/>
      </c>
    </row>
    <row r="118" ht="15" customHeight="1" s="25">
      <c r="A118" s="45" t="inlineStr">
        <is>
          <t>stf</t>
        </is>
      </c>
      <c r="B118" s="45" t="inlineStr">
        <is>
          <t>flavio</t>
        </is>
      </c>
      <c r="C118" s="45" t="inlineStr">
        <is>
          <t>Investigado no Supremo pelo dinheiro do filme</t>
        </is>
      </c>
      <c r="D118" s="45" t="inlineStr">
        <is>
          <t>Documentado</t>
        </is>
      </c>
      <c r="E118" s="45">
        <f>INDEX(Nodes!$B$2:$B$84,MATCH(A118,Nodes!$A$2:$A$84,0))</f>
        <v/>
      </c>
      <c r="F118" s="45">
        <f>INDEX(Nodes!$B$2:$B$84,MATCH(B118,Nodes!$A$2:$A$84,0))</f>
        <v/>
      </c>
    </row>
    <row r="119" ht="15" customHeight="1" s="25">
      <c r="A119" s="45" t="inlineStr">
        <is>
          <t>stf</t>
        </is>
      </c>
      <c r="B119" s="45" t="inlineStr">
        <is>
          <t>coaf</t>
        </is>
      </c>
      <c r="C119" s="45" t="inlineStr">
        <is>
          <t>Anulou os relatórios (nov/2021)</t>
        </is>
      </c>
      <c r="D119" s="45" t="inlineStr">
        <is>
          <t>Documentado</t>
        </is>
      </c>
      <c r="E119" s="45">
        <f>INDEX(Nodes!$B$2:$B$84,MATCH(A119,Nodes!$A$2:$A$84,0))</f>
        <v/>
      </c>
      <c r="F119" s="45">
        <f>INDEX(Nodes!$B$2:$B$84,MATCH(B119,Nodes!$A$2:$A$84,0))</f>
        <v/>
      </c>
    </row>
    <row r="120" ht="15" customHeight="1" s="25">
      <c r="A120" s="45" t="inlineStr">
        <is>
          <t>tse</t>
        </is>
      </c>
      <c r="B120" s="45" t="inlineStr">
        <is>
          <t>nunes</t>
        </is>
      </c>
      <c r="C120" s="45" t="inlineStr">
        <is>
          <t>Preside</t>
        </is>
      </c>
      <c r="D120" s="45" t="inlineStr">
        <is>
          <t>Documentado</t>
        </is>
      </c>
      <c r="E120" s="45">
        <f>INDEX(Nodes!$B$2:$B$84,MATCH(A120,Nodes!$A$2:$A$84,0))</f>
        <v/>
      </c>
      <c r="F120" s="45">
        <f>INDEX(Nodes!$B$2:$B$84,MATCH(B120,Nodes!$A$2:$A$84,0))</f>
        <v/>
      </c>
    </row>
    <row r="121">
      <c r="A121" s="45" t="inlineStr">
        <is>
          <t>vorcaro</t>
        </is>
      </c>
      <c r="B121" s="45" t="inlineStr">
        <is>
          <t>flavio</t>
        </is>
      </c>
      <c r="C121" s="45" t="inlineStr">
        <is>
          <t>Visitas: um dia após a soltura e na véspera do anúncio da candidatura</t>
        </is>
      </c>
      <c r="D121" s="45" t="inlineStr">
        <is>
          <t>Alegado ou contestado</t>
        </is>
      </c>
      <c r="E121" s="45">
        <f>INDEX(Nodes!$B$2:$B$84,MATCH(A121,Nodes!$A$2:$A$84,0))</f>
        <v/>
      </c>
      <c r="F121" s="45">
        <f>INDEX(Nodes!$B$2:$B$84,MATCH(B121,Nodes!$A$2:$A$84,0))</f>
        <v/>
      </c>
    </row>
    <row r="122">
      <c r="A122" s="45" t="inlineStr">
        <is>
          <t>vorcaro</t>
        </is>
      </c>
      <c r="B122" s="45" t="inlineStr">
        <is>
          <t>flavio</t>
        </is>
      </c>
      <c r="C122" s="45" t="inlineStr">
        <is>
          <t>Feriado de 1º de maio de 2025 na Flórida, dias após repasse ao filme (Piauí)</t>
        </is>
      </c>
      <c r="D122" s="45" t="inlineStr">
        <is>
          <t>Alegado ou contestado</t>
        </is>
      </c>
      <c r="E122" s="45">
        <f>INDEX(Nodes!$B$2:$B$84,MATCH(A122,Nodes!$A$2:$A$84,0))</f>
        <v/>
      </c>
      <c r="F122" s="45">
        <f>INDEX(Nodes!$B$2:$B$84,MATCH(B122,Nodes!$A$2:$A$84,0))</f>
        <v/>
      </c>
    </row>
    <row r="123">
      <c r="A123" s="45" t="inlineStr">
        <is>
          <t>vorcaro</t>
        </is>
      </c>
      <c r="B123" s="45" t="inlineStr">
        <is>
          <t>flavio</t>
        </is>
      </c>
      <c r="C123" s="45" t="inlineStr">
        <is>
          <t>Ao menos 11 meses de contato no celular do banqueiro (Piauí); o Estadão fala em 3 meses e 6 encontros</t>
        </is>
      </c>
      <c r="D123" s="45" t="inlineStr">
        <is>
          <t>Alegado ou contestado</t>
        </is>
      </c>
      <c r="E123" s="45">
        <f>INDEX(Nodes!$B$2:$B$84,MATCH(A123,Nodes!$A$2:$A$84,0))</f>
        <v/>
      </c>
      <c r="F123" s="45">
        <f>INDEX(Nodes!$B$2:$B$84,MATCH(B123,Nodes!$A$2:$A$84,0))</f>
        <v/>
      </c>
    </row>
    <row r="124">
      <c r="A124" s="45" t="inlineStr">
        <is>
          <t>brb</t>
        </is>
      </c>
      <c r="B124" s="45" t="inlineStr">
        <is>
          <t>flavio</t>
        </is>
      </c>
      <c r="C124" s="45" t="inlineStr">
        <is>
          <t>Empréstimo de R$ 3,1 mi a 3,71% a.a., abaixo da média do banco; PF investiga. Ele diz que a Justiça já atestou a regularidade e que o empréstimo está quitado</t>
        </is>
      </c>
      <c r="D124" s="45" t="inlineStr">
        <is>
          <t>Alegado ou contestado</t>
        </is>
      </c>
      <c r="E124" s="45">
        <f>INDEX(Nodes!$B$2:$B$84,MATCH(A124,Nodes!$A$2:$A$84,0))</f>
        <v/>
      </c>
      <c r="F124" s="45">
        <f>INDEX(Nodes!$B$2:$B$84,MATCH(B124,Nodes!$A$2:$A$84,0))</f>
        <v/>
      </c>
    </row>
    <row r="125">
      <c r="A125" s="45" t="inlineStr">
        <is>
          <t>brb</t>
        </is>
      </c>
      <c r="B125" s="45" t="inlineStr">
        <is>
          <t>mansaobsb</t>
        </is>
      </c>
      <c r="C125" s="45" t="inlineStr">
        <is>
          <t>Financiou a compra</t>
        </is>
      </c>
      <c r="D125" s="45" t="inlineStr">
        <is>
          <t>Documentado</t>
        </is>
      </c>
      <c r="E125" s="45">
        <f>INDEX(Nodes!$B$2:$B$84,MATCH(A125,Nodes!$A$2:$A$84,0))</f>
        <v/>
      </c>
      <c r="F125" s="45">
        <f>INDEX(Nodes!$B$2:$B$84,MATCH(B125,Nodes!$A$2:$A$84,0))</f>
        <v/>
      </c>
    </row>
    <row r="126">
      <c r="A126" s="45" t="inlineStr">
        <is>
          <t>flavio</t>
        </is>
      </c>
      <c r="B126" s="45" t="inlineStr">
        <is>
          <t>mansaobsb</t>
        </is>
      </c>
      <c r="C126" s="45" t="inlineStr">
        <is>
          <t>Comprou em 2021 por R$ 6 mi</t>
        </is>
      </c>
      <c r="D126" s="45" t="inlineStr">
        <is>
          <t>Documentado</t>
        </is>
      </c>
      <c r="E126" s="45">
        <f>INDEX(Nodes!$B$2:$B$84,MATCH(A126,Nodes!$A$2:$A$84,0))</f>
        <v/>
      </c>
      <c r="F126" s="45">
        <f>INDEX(Nodes!$B$2:$B$84,MATCH(B126,Nodes!$A$2:$A$84,0))</f>
        <v/>
      </c>
    </row>
    <row r="127">
      <c r="A127" s="45" t="inlineStr">
        <is>
          <t>zetel</t>
        </is>
      </c>
      <c r="B127" s="45" t="inlineStr">
        <is>
          <t>jair</t>
        </is>
      </c>
      <c r="C127" s="45" t="inlineStr">
        <is>
          <t>Doou R$ 3 mi à campanha de 2022, 2º maior doador depois do PL (CNN/TSE)</t>
        </is>
      </c>
      <c r="D127" s="45" t="inlineStr">
        <is>
          <t>Documentado</t>
        </is>
      </c>
      <c r="E127" s="45">
        <f>INDEX(Nodes!$B$2:$B$84,MATCH(A127,Nodes!$A$2:$A$84,0))</f>
        <v/>
      </c>
      <c r="F127" s="45">
        <f>INDEX(Nodes!$B$2:$B$84,MATCH(B127,Nodes!$A$2:$A$84,0))</f>
        <v/>
      </c>
    </row>
    <row r="128">
      <c r="A128" s="45" t="inlineStr">
        <is>
          <t>zetel</t>
        </is>
      </c>
      <c r="B128" s="45" t="inlineStr">
        <is>
          <t>tarcisio</t>
        </is>
      </c>
      <c r="C128" s="45" t="inlineStr">
        <is>
          <t>Doou R$ 2 mi à campanha de 2022, a maior doação de pessoa física (CNN/TSE)</t>
        </is>
      </c>
      <c r="D128" s="45" t="inlineStr">
        <is>
          <t>Documentado</t>
        </is>
      </c>
      <c r="E128" s="45">
        <f>INDEX(Nodes!$B$2:$B$84,MATCH(A128,Nodes!$A$2:$A$84,0))</f>
        <v/>
      </c>
      <c r="F128" s="45">
        <f>INDEX(Nodes!$B$2:$B$84,MATCH(B128,Nodes!$A$2:$A$84,0))</f>
        <v/>
      </c>
    </row>
    <row r="129">
      <c r="A129" s="45" t="inlineStr">
        <is>
          <t>master</t>
        </is>
      </c>
      <c r="B129" s="45" t="inlineStr">
        <is>
          <t>nunes</t>
        </is>
      </c>
      <c r="C129" s="45" t="inlineStr">
        <is>
          <t>Contrato da “Turma do KN” de até R$ 427 mi, condicionado a êxito (CNN); ele nega agir pelo banco</t>
        </is>
      </c>
      <c r="D129" s="45" t="inlineStr">
        <is>
          <t>Alegado ou contestado</t>
        </is>
      </c>
      <c r="E129" s="45">
        <f>INDEX(Nodes!$B$2:$B$84,MATCH(A129,Nodes!$A$2:$A$84,0))</f>
        <v/>
      </c>
      <c r="F129" s="45">
        <f>INDEX(Nodes!$B$2:$B$84,MATCH(B129,Nodes!$A$2:$A$84,0))</f>
        <v/>
      </c>
    </row>
    <row r="130">
      <c r="A130" s="45" t="inlineStr">
        <is>
          <t>vorcaro</t>
        </is>
      </c>
      <c r="B130" s="45" t="inlineStr">
        <is>
          <t>kevin</t>
        </is>
      </c>
      <c r="C130" s="45" t="inlineStr">
        <is>
          <t>Diálogos citam suposta mesada de R$ 500 mil (CNN); Nunes nega que o filho tenha servido ao Master</t>
        </is>
      </c>
      <c r="D130" s="45" t="inlineStr">
        <is>
          <t>Alegado ou contestado</t>
        </is>
      </c>
      <c r="E130" s="45">
        <f>INDEX(Nodes!$B$2:$B$84,MATCH(A130,Nodes!$A$2:$A$84,0))</f>
        <v/>
      </c>
      <c r="F130" s="45">
        <f>INDEX(Nodes!$B$2:$B$84,MATCH(B130,Nodes!$A$2:$A$84,0))</f>
        <v/>
      </c>
    </row>
    <row r="131">
      <c r="A131" s="45" t="inlineStr">
        <is>
          <t>zetel</t>
        </is>
      </c>
      <c r="B131" s="45" t="inlineStr">
        <is>
          <t>nunes</t>
        </is>
      </c>
      <c r="C131" s="45" t="inlineStr">
        <is>
          <t>Reportagem cita encontro com garota de programa em apartamento de Zettel; ministro nega irregularidades</t>
        </is>
      </c>
      <c r="D131" s="45" t="inlineStr">
        <is>
          <t>Alegado ou contestado</t>
        </is>
      </c>
      <c r="E131" s="45">
        <f>INDEX(Nodes!$B$2:$B$84,MATCH(A131,Nodes!$A$2:$A$84,0))</f>
        <v/>
      </c>
      <c r="F131" s="45">
        <f>INDEX(Nodes!$B$2:$B$84,MATCH(B131,Nodes!$A$2:$A$84,0))</f>
        <v/>
      </c>
    </row>
    <row r="132">
      <c r="A132" s="45" t="inlineStr">
        <is>
          <t>jair</t>
        </is>
      </c>
      <c r="B132" s="45" t="inlineStr">
        <is>
          <t>mendonca</t>
        </is>
      </c>
      <c r="C132" s="45" t="inlineStr">
        <is>
          <t>Indicou ao STF</t>
        </is>
      </c>
      <c r="D132" s="45" t="inlineStr">
        <is>
          <t>Documentado</t>
        </is>
      </c>
      <c r="E132" s="45">
        <f>INDEX(Nodes!$B$2:$B$84,MATCH(A132,Nodes!$A$2:$A$84,0))</f>
        <v/>
      </c>
      <c r="F132" s="45">
        <f>INDEX(Nodes!$B$2:$B$84,MATCH(B132,Nodes!$A$2:$A$84,0))</f>
        <v/>
      </c>
    </row>
    <row r="133">
      <c r="A133" s="45" t="inlineStr">
        <is>
          <t>cirorocha</t>
        </is>
      </c>
      <c r="B133" s="45" t="inlineStr">
        <is>
          <t>vorcaro</t>
        </is>
      </c>
      <c r="C133" s="45" t="inlineStr">
        <is>
          <t>Advogado dele</t>
        </is>
      </c>
      <c r="D133" s="45" t="inlineStr">
        <is>
          <t>Documentado</t>
        </is>
      </c>
      <c r="E133" s="45">
        <f>INDEX(Nodes!$B$2:$B$84,MATCH(A133,Nodes!$A$2:$A$84,0))</f>
        <v/>
      </c>
      <c r="F133" s="45">
        <f>INDEX(Nodes!$B$2:$B$84,MATCH(B133,Nodes!$A$2:$A$84,0))</f>
        <v/>
      </c>
    </row>
    <row r="134">
      <c r="A134" s="45" t="inlineStr">
        <is>
          <t>cirorocha</t>
        </is>
      </c>
      <c r="B134" s="45" t="inlineStr">
        <is>
          <t>mendonca</t>
        </is>
      </c>
      <c r="C134" s="45" t="inlineStr">
        <is>
          <t>Levou o ministro a alfaiataria e articulou reunião com Vorcaro (mensagens)</t>
        </is>
      </c>
      <c r="D134" s="45" t="inlineStr">
        <is>
          <t>Alegado ou contestado</t>
        </is>
      </c>
      <c r="E134" s="45">
        <f>INDEX(Nodes!$B$2:$B$84,MATCH(A134,Nodes!$A$2:$A$84,0))</f>
        <v/>
      </c>
      <c r="F134" s="45">
        <f>INDEX(Nodes!$B$2:$B$84,MATCH(B134,Nodes!$A$2:$A$84,0))</f>
        <v/>
      </c>
    </row>
    <row r="135">
      <c r="A135" s="45" t="inlineStr">
        <is>
          <t>mendonca</t>
        </is>
      </c>
      <c r="B135" s="45" t="inlineStr">
        <is>
          <t>vorcaro</t>
        </is>
      </c>
      <c r="C135" s="45" t="inlineStr">
        <is>
          <t>Reunião reservada de 2 h em 14/03/2025, fora da agenda, no ITER (mensagens); não há prova de que tenha agido pelo Master</t>
        </is>
      </c>
      <c r="D135" s="45" t="inlineStr">
        <is>
          <t>Alegado ou contestado</t>
        </is>
      </c>
      <c r="E135" s="45">
        <f>INDEX(Nodes!$B$2:$B$84,MATCH(A135,Nodes!$A$2:$A$84,0))</f>
        <v/>
      </c>
      <c r="F135" s="45">
        <f>INDEX(Nodes!$B$2:$B$84,MATCH(B135,Nodes!$A$2:$A$84,0))</f>
        <v/>
      </c>
    </row>
    <row r="136">
      <c r="A136" s="45" t="inlineStr">
        <is>
          <t>mendonca</t>
        </is>
      </c>
      <c r="B136" s="45" t="inlineStr">
        <is>
          <t>vorcaro</t>
        </is>
      </c>
      <c r="C136" s="45" t="inlineStr">
        <is>
          <t>Gabinete ouviu Vorcaro em 27/08/2026 sem a PF; recomendou sigilo do celular dele</t>
        </is>
      </c>
      <c r="D136" s="45" t="inlineStr">
        <is>
          <t>Alegado ou contestado</t>
        </is>
      </c>
      <c r="E136" s="45">
        <f>INDEX(Nodes!$B$2:$B$84,MATCH(A136,Nodes!$A$2:$A$84,0))</f>
        <v/>
      </c>
      <c r="F136" s="45">
        <f>INDEX(Nodes!$B$2:$B$84,MATCH(B136,Nodes!$A$2:$A$84,0))</f>
        <v/>
      </c>
    </row>
    <row r="137">
      <c r="A137" s="45" t="inlineStr">
        <is>
          <t>bianco</t>
        </is>
      </c>
      <c r="B137" s="45" t="inlineStr">
        <is>
          <t>mendonca</t>
        </is>
      </c>
      <c r="C137" s="45" t="inlineStr">
        <is>
          <t>Convidado para a reunião com Vorcaro (fev/2025)</t>
        </is>
      </c>
      <c r="D137" s="45" t="inlineStr">
        <is>
          <t>Alegado ou contestado</t>
        </is>
      </c>
      <c r="E137" s="45">
        <f>INDEX(Nodes!$B$2:$B$84,MATCH(A137,Nodes!$A$2:$A$84,0))</f>
        <v/>
      </c>
      <c r="F137" s="45">
        <f>INDEX(Nodes!$B$2:$B$84,MATCH(B137,Nodes!$A$2:$A$84,0))</f>
        <v/>
      </c>
    </row>
    <row r="138">
      <c r="A138" s="45" t="inlineStr">
        <is>
          <t>cezinha</t>
        </is>
      </c>
      <c r="B138" s="45" t="inlineStr">
        <is>
          <t>mendonca</t>
        </is>
      </c>
      <c r="C138" s="45" t="inlineStr">
        <is>
          <t>Ajudou a articular a reunião com Vorcaro de mar/2025 (mensagens)</t>
        </is>
      </c>
      <c r="D138" s="45" t="inlineStr">
        <is>
          <t>Alegado ou contestado</t>
        </is>
      </c>
      <c r="E138" s="45">
        <f>INDEX(Nodes!$B$2:$B$84,MATCH(A138,Nodes!$A$2:$A$84,0))</f>
        <v/>
      </c>
      <c r="F138" s="45">
        <f>INDEX(Nodes!$B$2:$B$84,MATCH(B138,Nodes!$A$2:$A$84,0))</f>
        <v/>
      </c>
    </row>
    <row r="139">
      <c r="A139" s="45" t="inlineStr">
        <is>
          <t>tarcisio</t>
        </is>
      </c>
      <c r="B139" s="45" t="inlineStr">
        <is>
          <t>cezinha</t>
        </is>
      </c>
      <c r="C139" s="45" t="inlineStr">
        <is>
          <t>Financiou 24% da campanha do deputado</t>
        </is>
      </c>
      <c r="D139" s="45" t="inlineStr">
        <is>
          <t>Documentado</t>
        </is>
      </c>
      <c r="E139" s="45">
        <f>INDEX(Nodes!$B$2:$B$84,MATCH(A139,Nodes!$A$2:$A$84,0))</f>
        <v/>
      </c>
      <c r="F139" s="45">
        <f>INDEX(Nodes!$B$2:$B$84,MATCH(B139,Nodes!$A$2:$A$84,0))</f>
        <v/>
      </c>
    </row>
    <row r="140">
      <c r="A140" s="45" t="inlineStr">
        <is>
          <t>mendonca</t>
        </is>
      </c>
      <c r="B140" s="45" t="inlineStr">
        <is>
          <t>iter</t>
        </is>
      </c>
      <c r="C140" s="45" t="inlineStr">
        <is>
          <t>Fundador</t>
        </is>
      </c>
      <c r="D140" s="45" t="inlineStr">
        <is>
          <t>Documentado</t>
        </is>
      </c>
      <c r="E140" s="45">
        <f>INDEX(Nodes!$B$2:$B$84,MATCH(A140,Nodes!$A$2:$A$84,0))</f>
        <v/>
      </c>
      <c r="F140" s="45">
        <f>INDEX(Nodes!$B$2:$B$84,MATCH(B140,Nodes!$A$2:$A$84,0))</f>
        <v/>
      </c>
    </row>
    <row r="141">
      <c r="A141" s="45" t="inlineStr">
        <is>
          <t>vorcaro</t>
        </is>
      </c>
      <c r="B141" s="45" t="inlineStr">
        <is>
          <t>iter</t>
        </is>
      </c>
      <c r="C141" s="45" t="inlineStr">
        <is>
          <t>Empresa de sócio dele aportou R$ 5,2 mi (jan/2026); Vorcaro foi a coquetéis do instituto</t>
        </is>
      </c>
      <c r="D141" s="45" t="inlineStr">
        <is>
          <t>Alegado ou contestado</t>
        </is>
      </c>
      <c r="E141" s="45">
        <f>INDEX(Nodes!$B$2:$B$84,MATCH(A141,Nodes!$A$2:$A$84,0))</f>
        <v/>
      </c>
      <c r="F141" s="45">
        <f>INDEX(Nodes!$B$2:$B$84,MATCH(B141,Nodes!$A$2:$A$84,0))</f>
        <v/>
      </c>
    </row>
    <row r="142">
      <c r="A142" s="45" t="inlineStr">
        <is>
          <t>mendonca</t>
        </is>
      </c>
      <c r="B142" s="45" t="inlineStr">
        <is>
          <t>master</t>
        </is>
      </c>
      <c r="C142" s="45" t="inlineStr">
        <is>
          <t>Relator do caso Master no STF (sorteado em fev/2026)</t>
        </is>
      </c>
      <c r="D142" s="45" t="inlineStr">
        <is>
          <t>Documentado</t>
        </is>
      </c>
      <c r="E142" s="45">
        <f>INDEX(Nodes!$B$2:$B$84,MATCH(A142,Nodes!$A$2:$A$84,0))</f>
        <v/>
      </c>
      <c r="F142" s="45">
        <f>INDEX(Nodes!$B$2:$B$84,MATCH(B142,Nodes!$A$2:$A$84,0))</f>
        <v/>
      </c>
    </row>
    <row r="143">
      <c r="A143" s="45" t="inlineStr">
        <is>
          <t>mendonca</t>
        </is>
      </c>
      <c r="B143" s="45" t="inlineStr">
        <is>
          <t>pf</t>
        </is>
      </c>
      <c r="C143" s="45" t="inlineStr">
        <is>
          <t>Afastou o diretor-geral sem ouvir a PGR (08/09/2026), alegando monitoramento ilegal; AGU vê usurpação de competência</t>
        </is>
      </c>
      <c r="D143" s="45" t="inlineStr">
        <is>
          <t>Documentado</t>
        </is>
      </c>
      <c r="E143" s="45">
        <f>INDEX(Nodes!$B$2:$B$84,MATCH(A143,Nodes!$A$2:$A$84,0))</f>
        <v/>
      </c>
      <c r="F143" s="45">
        <f>INDEX(Nodes!$B$2:$B$84,MATCH(B143,Nodes!$A$2:$A$84,0))</f>
        <v/>
      </c>
    </row>
    <row r="144">
      <c r="A144" s="45" t="inlineStr">
        <is>
          <t>mendonca</t>
        </is>
      </c>
      <c r="B144" s="45" t="inlineStr">
        <is>
          <t>careca</t>
        </is>
      </c>
      <c r="C144" s="45" t="inlineStr">
        <is>
          <t>Revogou a prisão do filho dele (09/09/2026)</t>
        </is>
      </c>
      <c r="D144" s="45" t="inlineStr">
        <is>
          <t>Documentado</t>
        </is>
      </c>
      <c r="E144" s="45">
        <f>INDEX(Nodes!$B$2:$B$84,MATCH(A144,Nodes!$A$2:$A$84,0))</f>
        <v/>
      </c>
      <c r="F144" s="45">
        <f>INDEX(Nodes!$B$2:$B$84,MATCH(B144,Nodes!$A$2:$A$84,0))</f>
        <v/>
      </c>
    </row>
    <row r="145">
      <c r="A145" s="45" t="inlineStr">
        <is>
          <t>pf</t>
        </is>
      </c>
      <c r="B145" s="45" t="inlineStr">
        <is>
          <t>mendonca</t>
        </is>
      </c>
      <c r="C145" s="45" t="inlineStr">
        <is>
          <t>Relatório aponta diferença de até 8x nos prazos de decisão e demora para rastrear o dinheiro</t>
        </is>
      </c>
      <c r="D145" s="45" t="inlineStr">
        <is>
          <t>Alegado ou contestado</t>
        </is>
      </c>
      <c r="E145" s="45">
        <f>INDEX(Nodes!$B$2:$B$84,MATCH(A145,Nodes!$A$2:$A$84,0))</f>
        <v/>
      </c>
      <c r="F145" s="45">
        <f>INDEX(Nodes!$B$2:$B$84,MATCH(B145,Nodes!$A$2:$A$84,0))</f>
        <v/>
      </c>
    </row>
    <row r="146">
      <c r="A146" s="45" t="inlineStr">
        <is>
          <t>mendonca</t>
        </is>
      </c>
      <c r="B146" s="45" t="inlineStr">
        <is>
          <t>moraes</t>
        </is>
      </c>
      <c r="C146" s="45" t="inlineStr">
        <is>
          <t>PF: pressionou por Moraes; PGR diz que o investigou antes do aval do plenário</t>
        </is>
      </c>
      <c r="D146" s="45" t="inlineStr">
        <is>
          <t>Alegado ou contestado</t>
        </is>
      </c>
      <c r="E146" s="45">
        <f>INDEX(Nodes!$B$2:$B$84,MATCH(A146,Nodes!$A$2:$A$84,0))</f>
        <v/>
      </c>
      <c r="F146" s="45">
        <f>INDEX(Nodes!$B$2:$B$84,MATCH(B146,Nodes!$A$2:$A$84,0))</f>
        <v/>
      </c>
    </row>
    <row r="147">
      <c r="A147" s="45" t="inlineStr">
        <is>
          <t>mendonca</t>
        </is>
      </c>
      <c r="B147" s="45" t="inlineStr">
        <is>
          <t>nunes</t>
        </is>
      </c>
      <c r="C147" s="45" t="inlineStr">
        <is>
          <t>PF: teria poupado Nunes e Toffoli</t>
        </is>
      </c>
      <c r="D147" s="45" t="inlineStr">
        <is>
          <t>Alegado ou contestado</t>
        </is>
      </c>
      <c r="E147" s="45">
        <f>INDEX(Nodes!$B$2:$B$84,MATCH(A147,Nodes!$A$2:$A$84,0))</f>
        <v/>
      </c>
      <c r="F147" s="45">
        <f>INDEX(Nodes!$B$2:$B$84,MATCH(B147,Nodes!$A$2:$A$84,0))</f>
        <v/>
      </c>
    </row>
    <row r="148">
      <c r="A148" s="45" t="inlineStr">
        <is>
          <t>tarcisio</t>
        </is>
      </c>
      <c r="B148" s="45" t="inlineStr">
        <is>
          <t>iter</t>
        </is>
      </c>
      <c r="C148" s="45" t="inlineStr">
        <is>
          <t>Governo de SP contratou o instituto (R$ 1,6 mi, sem licitação)</t>
        </is>
      </c>
      <c r="D148" s="45" t="inlineStr">
        <is>
          <t>Documentado</t>
        </is>
      </c>
      <c r="E148" s="45">
        <f>INDEX(Nodes!$B$2:$B$84,MATCH(A148,Nodes!$A$2:$A$84,0))</f>
        <v/>
      </c>
      <c r="F148" s="45">
        <f>INDEX(Nodes!$B$2:$B$84,MATCH(B148,Nodes!$A$2:$A$84,0))</f>
        <v/>
      </c>
    </row>
    <row r="149">
      <c r="A149" s="45" t="inlineStr">
        <is>
          <t>rnunes</t>
        </is>
      </c>
      <c r="B149" s="45" t="inlineStr">
        <is>
          <t>iter</t>
        </is>
      </c>
      <c r="C149" s="45" t="inlineStr">
        <is>
          <t>Prefeitura de SP contratou o instituto (R$ 380 mil)</t>
        </is>
      </c>
      <c r="D149" s="45" t="inlineStr">
        <is>
          <t>Documentado</t>
        </is>
      </c>
      <c r="E149" s="45">
        <f>INDEX(Nodes!$B$2:$B$84,MATCH(A149,Nodes!$A$2:$A$84,0))</f>
        <v/>
      </c>
      <c r="F149" s="45">
        <f>INDEX(Nodes!$B$2:$B$84,MATCH(B149,Nodes!$A$2:$A$84,0))</f>
        <v/>
      </c>
    </row>
    <row r="150">
      <c r="A150" s="45" t="inlineStr">
        <is>
          <t>rnunes</t>
        </is>
      </c>
      <c r="B150" s="45" t="inlineStr">
        <is>
          <t>mendonca</t>
        </is>
      </c>
      <c r="C150" s="45" t="inlineStr">
        <is>
          <t>Promoveu o irmão do ministro após voto favorável à Prefeitura</t>
        </is>
      </c>
      <c r="D150" s="45" t="inlineStr">
        <is>
          <t>Alegado ou contestado</t>
        </is>
      </c>
      <c r="E150" s="45">
        <f>INDEX(Nodes!$B$2:$B$84,MATCH(A150,Nodes!$A$2:$A$84,0))</f>
        <v/>
      </c>
      <c r="F150" s="45">
        <f>INDEX(Nodes!$B$2:$B$84,MATCH(B150,Nodes!$A$2:$A$84,0))</f>
        <v/>
      </c>
    </row>
    <row r="151">
      <c r="A151" s="45" t="inlineStr">
        <is>
          <t>castro</t>
        </is>
      </c>
      <c r="B151" s="45" t="inlineStr">
        <is>
          <t>iter</t>
        </is>
      </c>
      <c r="C151" s="45" t="inlineStr">
        <is>
          <t>Governo do RJ contratou o instituto (R$ 518 mil)</t>
        </is>
      </c>
      <c r="D151" s="45" t="inlineStr">
        <is>
          <t>Documentado</t>
        </is>
      </c>
      <c r="E151" s="45">
        <f>INDEX(Nodes!$B$2:$B$84,MATCH(A151,Nodes!$A$2:$A$84,0))</f>
        <v/>
      </c>
      <c r="F151" s="45">
        <f>INDEX(Nodes!$B$2:$B$84,MATCH(B151,Nodes!$A$2:$A$84,0))</f>
        <v/>
      </c>
    </row>
    <row r="152">
      <c r="A152" s="45" t="inlineStr">
        <is>
          <t>mendonca</t>
        </is>
      </c>
      <c r="B152" s="45" t="inlineStr">
        <is>
          <t>castro</t>
        </is>
      </c>
      <c r="C152" s="45" t="inlineStr">
        <is>
          <t>Votou a favor dele 4 vezes enquanto o instituto tinha contratos no Rio</t>
        </is>
      </c>
      <c r="D152" s="45" t="inlineStr">
        <is>
          <t>Alegado ou contestado</t>
        </is>
      </c>
      <c r="E152" s="45">
        <f>INDEX(Nodes!$B$2:$B$84,MATCH(A152,Nodes!$A$2:$A$84,0))</f>
        <v/>
      </c>
      <c r="F152" s="45">
        <f>INDEX(Nodes!$B$2:$B$84,MATCH(B152,Nodes!$A$2:$A$84,0))</f>
        <v/>
      </c>
    </row>
    <row r="153">
      <c r="A153" s="45" t="inlineStr">
        <is>
          <t>vorcaro</t>
        </is>
      </c>
      <c r="B153" s="45" t="inlineStr">
        <is>
          <t>ciro</t>
        </is>
      </c>
      <c r="C153" s="45" t="inlineStr">
        <is>
          <t>PF: pagamentos mensais de R$ 300 mil a 500 mil e viagens pagas, incluindo Courchevel (~R$ 2 mi); ele nega ilicitude</t>
        </is>
      </c>
      <c r="D153" s="45" t="inlineStr">
        <is>
          <t>Alegado ou contestado</t>
        </is>
      </c>
      <c r="E153" s="45">
        <f>INDEX(Nodes!$B$2:$B$84,MATCH(A153,Nodes!$A$2:$A$84,0))</f>
        <v/>
      </c>
      <c r="F153" s="45">
        <f>INDEX(Nodes!$B$2:$B$84,MATCH(B153,Nodes!$A$2:$A$84,0))</f>
        <v/>
      </c>
    </row>
    <row r="154">
      <c r="A154" s="45" t="inlineStr">
        <is>
          <t>ciro</t>
        </is>
      </c>
      <c r="B154" s="45" t="inlineStr">
        <is>
          <t>master</t>
        </is>
      </c>
      <c r="C154" s="45" t="inlineStr">
        <is>
          <t>Autor da “Emenda Master” (garantia do FGC de R$ 250 mil para R$ 1 mi)</t>
        </is>
      </c>
      <c r="D154" s="45" t="inlineStr">
        <is>
          <t>Documentado</t>
        </is>
      </c>
      <c r="E154" s="45">
        <f>INDEX(Nodes!$B$2:$B$84,MATCH(A154,Nodes!$A$2:$A$84,0))</f>
        <v/>
      </c>
      <c r="F154" s="45">
        <f>INDEX(Nodes!$B$2:$B$84,MATCH(B154,Nodes!$A$2:$A$84,0))</f>
        <v/>
      </c>
    </row>
    <row r="155">
      <c r="A155" s="45" t="inlineStr">
        <is>
          <t>pf</t>
        </is>
      </c>
      <c r="B155" s="45" t="inlineStr">
        <is>
          <t>ciro</t>
        </is>
      </c>
      <c r="C155" s="45" t="inlineStr">
        <is>
          <t>Alvo da 5ª fase da Operação Compliance Zero</t>
        </is>
      </c>
      <c r="D155" s="45" t="inlineStr">
        <is>
          <t>Documentado</t>
        </is>
      </c>
      <c r="E155" s="45">
        <f>INDEX(Nodes!$B$2:$B$84,MATCH(A155,Nodes!$A$2:$A$84,0))</f>
        <v/>
      </c>
      <c r="F155" s="45">
        <f>INDEX(Nodes!$B$2:$B$84,MATCH(B155,Nodes!$A$2:$A$84,0))</f>
        <v/>
      </c>
    </row>
    <row r="156">
      <c r="A156" s="45" t="inlineStr">
        <is>
          <t>jair</t>
        </is>
      </c>
      <c r="B156" s="45" t="inlineStr">
        <is>
          <t>faria</t>
        </is>
      </c>
      <c r="C156" s="45" t="inlineStr">
        <is>
          <t>Ex-ministro das Comunicações</t>
        </is>
      </c>
      <c r="D156" s="45" t="inlineStr">
        <is>
          <t>Documentado</t>
        </is>
      </c>
      <c r="E156" s="45">
        <f>INDEX(Nodes!$B$2:$B$84,MATCH(A156,Nodes!$A$2:$A$84,0))</f>
        <v/>
      </c>
      <c r="F156" s="45">
        <f>INDEX(Nodes!$B$2:$B$84,MATCH(B156,Nodes!$A$2:$A$84,0))</f>
        <v/>
      </c>
    </row>
    <row r="157">
      <c r="A157" s="45" t="inlineStr">
        <is>
          <t>faria</t>
        </is>
      </c>
      <c r="B157" s="45" t="inlineStr">
        <is>
          <t>vorcaro</t>
        </is>
      </c>
      <c r="C157" s="45" t="inlineStr">
        <is>
          <t>PF: articulador dele em Brasília; Vorcaro pagou R$ 67,5 mi por projeto eólico de Faria, que defende o valor</t>
        </is>
      </c>
      <c r="D157" s="45" t="inlineStr">
        <is>
          <t>Alegado ou contestado</t>
        </is>
      </c>
      <c r="E157" s="45">
        <f>INDEX(Nodes!$B$2:$B$84,MATCH(A157,Nodes!$A$2:$A$84,0))</f>
        <v/>
      </c>
      <c r="F157" s="45">
        <f>INDEX(Nodes!$B$2:$B$84,MATCH(B157,Nodes!$A$2:$A$84,0))</f>
        <v/>
      </c>
    </row>
    <row r="158">
      <c r="A158" s="45" t="inlineStr">
        <is>
          <t>faria</t>
        </is>
      </c>
      <c r="B158" s="45" t="inlineStr">
        <is>
          <t>moraes</t>
        </is>
      </c>
      <c r="C158" s="45" t="inlineStr">
        <is>
          <t>PF: intermediou contatos entre Vorcaro e Moraes</t>
        </is>
      </c>
      <c r="D158" s="45" t="inlineStr">
        <is>
          <t>Alegado ou contestado</t>
        </is>
      </c>
      <c r="E158" s="45">
        <f>INDEX(Nodes!$B$2:$B$84,MATCH(A158,Nodes!$A$2:$A$84,0))</f>
        <v/>
      </c>
      <c r="F158" s="45">
        <f>INDEX(Nodes!$B$2:$B$84,MATCH(B158,Nodes!$A$2:$A$84,0))</f>
        <v/>
      </c>
    </row>
    <row r="159">
      <c r="A159" s="45" t="inlineStr">
        <is>
          <t>motta</t>
        </is>
      </c>
      <c r="B159" s="45" t="inlineStr">
        <is>
          <t>vorcaro</t>
        </is>
      </c>
      <c r="C159" s="45" t="inlineStr">
        <is>
          <t>Grupo de mensagens com Vorcaro, Ciro e Faria para organizar encontros</t>
        </is>
      </c>
      <c r="D159" s="45" t="inlineStr">
        <is>
          <t>Alegado ou contestado</t>
        </is>
      </c>
      <c r="E159" s="45">
        <f>INDEX(Nodes!$B$2:$B$84,MATCH(A159,Nodes!$A$2:$A$84,0))</f>
        <v/>
      </c>
      <c r="F159" s="45">
        <f>INDEX(Nodes!$B$2:$B$84,MATCH(B159,Nodes!$A$2:$A$84,0))</f>
        <v/>
      </c>
    </row>
    <row r="160">
      <c r="A160" s="45" t="inlineStr">
        <is>
          <t>jair</t>
        </is>
      </c>
      <c r="B160" s="45" t="inlineStr">
        <is>
          <t>frias</t>
        </is>
      </c>
      <c r="C160" s="45" t="inlineStr">
        <is>
          <t>Ex-secretário especial de Cultura</t>
        </is>
      </c>
      <c r="D160" s="45" t="inlineStr">
        <is>
          <t>Documentado</t>
        </is>
      </c>
      <c r="E160" s="45">
        <f>INDEX(Nodes!$B$2:$B$84,MATCH(A160,Nodes!$A$2:$A$84,0))</f>
        <v/>
      </c>
      <c r="F160" s="45">
        <f>INDEX(Nodes!$B$2:$B$84,MATCH(B160,Nodes!$A$2:$A$84,0))</f>
        <v/>
      </c>
    </row>
    <row r="161">
      <c r="A161" s="45" t="inlineStr">
        <is>
          <t>frias</t>
        </is>
      </c>
      <c r="B161" s="45" t="inlineStr">
        <is>
          <t>ong</t>
        </is>
      </c>
      <c r="C161" s="45" t="inlineStr">
        <is>
          <t>Produtor-executivo de Dark Horse</t>
        </is>
      </c>
      <c r="D161" s="45" t="inlineStr">
        <is>
          <t>Documentado</t>
        </is>
      </c>
      <c r="E161" s="45">
        <f>INDEX(Nodes!$B$2:$B$84,MATCH(A161,Nodes!$A$2:$A$84,0))</f>
        <v/>
      </c>
      <c r="F161" s="45">
        <f>INDEX(Nodes!$B$2:$B$84,MATCH(B161,Nodes!$A$2:$A$84,0))</f>
        <v/>
      </c>
    </row>
    <row r="162">
      <c r="A162" s="45" t="inlineStr">
        <is>
          <t>frias</t>
        </is>
      </c>
      <c r="B162" s="45" t="inlineStr">
        <is>
          <t>vorcaro</t>
        </is>
      </c>
      <c r="C162" s="45" t="inlineStr">
        <is>
          <t>Áudio agradece o financiamento do filme: “meu irmão”</t>
        </is>
      </c>
      <c r="D162" s="45" t="inlineStr">
        <is>
          <t>Alegado ou contestado</t>
        </is>
      </c>
      <c r="E162" s="45">
        <f>INDEX(Nodes!$B$2:$B$84,MATCH(A162,Nodes!$A$2:$A$84,0))</f>
        <v/>
      </c>
      <c r="F162" s="45">
        <f>INDEX(Nodes!$B$2:$B$84,MATCH(B162,Nodes!$A$2:$A$84,0))</f>
        <v/>
      </c>
    </row>
    <row r="163">
      <c r="A163" s="45" t="inlineStr">
        <is>
          <t>primeu</t>
        </is>
      </c>
      <c r="B163" s="45" t="inlineStr">
        <is>
          <t>marcal</t>
        </is>
      </c>
      <c r="C163" s="45" t="inlineStr">
        <is>
          <t>Pagou voo SP–EUA de R$ 1,17 mi (2025); Marçal confirmou o uso (Valor)</t>
        </is>
      </c>
      <c r="D163" s="45" t="inlineStr">
        <is>
          <t>Documentado</t>
        </is>
      </c>
      <c r="E163" s="45">
        <f>INDEX(Nodes!$B$2:$B$84,MATCH(A163,Nodes!$A$2:$A$84,0))</f>
        <v/>
      </c>
      <c r="F163" s="45">
        <f>INDEX(Nodes!$B$2:$B$84,MATCH(B163,Nodes!$A$2:$A$84,0))</f>
        <v/>
      </c>
    </row>
    <row r="164">
      <c r="A164" s="45" t="inlineStr">
        <is>
          <t>vorcaro</t>
        </is>
      </c>
      <c r="B164" s="45" t="inlineStr">
        <is>
          <t>govlula</t>
        </is>
      </c>
      <c r="C164" s="45" t="inlineStr">
        <is>
          <t>Mensagens: via Haddad como opositor e pediu ajuda para “bloquear” Gleisi e Mercadante</t>
        </is>
      </c>
      <c r="D164" s="45" t="inlineStr">
        <is>
          <t>Alegado ou contestado</t>
        </is>
      </c>
      <c r="E164" s="45">
        <f>INDEX(Nodes!$B$2:$B$84,MATCH(A164,Nodes!$A$2:$A$84,0))</f>
        <v/>
      </c>
      <c r="F164" s="45">
        <f>INDEX(Nodes!$B$2:$B$84,MATCH(B164,Nodes!$A$2:$A$84,0))</f>
        <v/>
      </c>
    </row>
    <row r="165">
      <c r="A165" s="45" t="inlineStr">
        <is>
          <t>gaspar</t>
        </is>
      </c>
      <c r="B165" s="45" t="inlineStr">
        <is>
          <t>flavio</t>
        </is>
      </c>
      <c r="C165" s="45" t="inlineStr">
        <is>
          <t>Vice na chapa</t>
        </is>
      </c>
      <c r="D165" s="45" t="inlineStr">
        <is>
          <t>Documentado</t>
        </is>
      </c>
      <c r="E165" s="45">
        <f>INDEX(Nodes!$B$2:$B$84,MATCH(A165,Nodes!$A$2:$A$84,0))</f>
        <v/>
      </c>
      <c r="F165" s="45">
        <f>INDEX(Nodes!$B$2:$B$84,MATCH(B165,Nodes!$A$2:$A$84,0))</f>
        <v/>
      </c>
    </row>
    <row r="166">
      <c r="A166" s="45" t="inlineStr">
        <is>
          <t>jbcarvalho</t>
        </is>
      </c>
      <c r="B166" s="45" t="inlineStr">
        <is>
          <t>flavio</t>
        </is>
      </c>
      <c r="C166" s="45" t="inlineStr">
        <is>
          <t>Flávio foi batizado na Comunidade das Nações, igreja dele, em jan/2024 (Folha)</t>
        </is>
      </c>
      <c r="D166" s="45" t="inlineStr">
        <is>
          <t>Documentado</t>
        </is>
      </c>
      <c r="E166" s="45">
        <f>INDEX(Nodes!$B$2:$B$84,MATCH(A166,Nodes!$A$2:$A$84,0))</f>
        <v/>
      </c>
      <c r="F166" s="45">
        <f>INDEX(Nodes!$B$2:$B$84,MATCH(B166,Nodes!$A$2:$A$84,0))</f>
        <v/>
      </c>
    </row>
    <row r="167">
      <c r="A167" s="45" t="inlineStr">
        <is>
          <t>kopenhagen</t>
        </is>
      </c>
      <c r="B167" s="45" t="inlineStr">
        <is>
          <t>flavio</t>
        </is>
      </c>
      <c r="C167" s="45" t="inlineStr">
        <is>
          <t>Franquia dele; MP suspeitou de lavagem (1.512 depósitos em espécie)</t>
        </is>
      </c>
      <c r="D167" s="45" t="inlineStr">
        <is>
          <t>Alegado ou contestado</t>
        </is>
      </c>
      <c r="E167" s="45">
        <f>INDEX(Nodes!$B$2:$B$84,MATCH(A167,Nodes!$A$2:$A$84,0))</f>
        <v/>
      </c>
      <c r="F167" s="45">
        <f>INDEX(Nodes!$B$2:$B$84,MATCH(B167,Nodes!$A$2:$A$84,0))</f>
        <v/>
      </c>
    </row>
    <row r="168">
      <c r="A168" s="45" t="inlineStr">
        <is>
          <t>flavio</t>
        </is>
      </c>
      <c r="B168" s="45" t="inlineStr">
        <is>
          <t>nunes</t>
        </is>
      </c>
      <c r="C168" s="45" t="inlineStr">
        <is>
          <t>Ex-sócio cita lobby dele com Nunes em favor de cliente; sem comprovação independente (PlatôBR)</t>
        </is>
      </c>
      <c r="D168" s="45" t="inlineStr">
        <is>
          <t>Alegado ou contestado</t>
        </is>
      </c>
      <c r="E168" s="45">
        <f>INDEX(Nodes!$B$2:$B$84,MATCH(A168,Nodes!$A$2:$A$84,0))</f>
        <v/>
      </c>
      <c r="F168" s="45">
        <f>INDEX(Nodes!$B$2:$B$84,MATCH(B168,Nodes!$A$2:$A$84,0))</f>
        <v/>
      </c>
    </row>
    <row r="169">
      <c r="A169" s="45" t="inlineStr">
        <is>
          <t>adriano</t>
        </is>
      </c>
      <c r="B169" s="45" t="inlineStr">
        <is>
          <t>flavio</t>
        </is>
      </c>
      <c r="C169" s="45" t="inlineStr">
        <is>
          <t>Mãe e mulher empregadas no gabinete; homenageado por Flávio em 2003 e 2005</t>
        </is>
      </c>
      <c r="D169" s="45" t="inlineStr">
        <is>
          <t>Documentado</t>
        </is>
      </c>
      <c r="E169" s="45">
        <f>INDEX(Nodes!$B$2:$B$84,MATCH(A169,Nodes!$A$2:$A$84,0))</f>
        <v/>
      </c>
      <c r="F169" s="45">
        <f>INDEX(Nodes!$B$2:$B$84,MATCH(B169,Nodes!$A$2:$A$84,0))</f>
        <v/>
      </c>
    </row>
    <row r="170">
      <c r="A170" s="45" t="inlineStr">
        <is>
          <t>adriano</t>
        </is>
      </c>
      <c r="B170" s="45" t="inlineStr">
        <is>
          <t>coaf</t>
        </is>
      </c>
      <c r="C170" s="45" t="inlineStr">
        <is>
          <t>MP-RJ: mãe e mulher eram “assessoras fantasmas” e devolviam salário (310 desvios)</t>
        </is>
      </c>
      <c r="D170" s="45" t="inlineStr">
        <is>
          <t>Alegado ou contestado</t>
        </is>
      </c>
      <c r="E170" s="45">
        <f>INDEX(Nodes!$B$2:$B$84,MATCH(A170,Nodes!$A$2:$A$84,0))</f>
        <v/>
      </c>
      <c r="F170" s="45">
        <f>INDEX(Nodes!$B$2:$B$84,MATCH(B170,Nodes!$A$2:$A$84,0))</f>
        <v/>
      </c>
    </row>
    <row r="171">
      <c r="A171" s="45" t="inlineStr">
        <is>
          <t>coaf</t>
        </is>
      </c>
      <c r="B171" s="45" t="inlineStr">
        <is>
          <t>adriano</t>
        </is>
      </c>
      <c r="C171" s="45" t="inlineStr">
        <is>
          <t>Dinheiro da rachadinha teria financiado prédios da milícia (Intercept)</t>
        </is>
      </c>
      <c r="D171" s="45" t="inlineStr">
        <is>
          <t>Alegado ou contestado</t>
        </is>
      </c>
      <c r="E171" s="45">
        <f>INDEX(Nodes!$B$2:$B$84,MATCH(A171,Nodes!$A$2:$A$84,0))</f>
        <v/>
      </c>
      <c r="F171" s="45">
        <f>INDEX(Nodes!$B$2:$B$84,MATCH(B171,Nodes!$A$2:$A$84,0))</f>
        <v/>
      </c>
    </row>
    <row r="172">
      <c r="A172" s="45" t="inlineStr">
        <is>
          <t>flavio</t>
        </is>
      </c>
      <c r="B172" s="45" t="inlineStr">
        <is>
          <t>ronald</t>
        </is>
      </c>
      <c r="C172" s="45" t="inlineStr">
        <is>
          <t>Homenageou em 2004</t>
        </is>
      </c>
      <c r="D172" s="45" t="inlineStr">
        <is>
          <t>Documentado</t>
        </is>
      </c>
      <c r="E172" s="45">
        <f>INDEX(Nodes!$B$2:$B$84,MATCH(A172,Nodes!$A$2:$A$84,0))</f>
        <v/>
      </c>
      <c r="F172" s="45">
        <f>INDEX(Nodes!$B$2:$B$84,MATCH(B172,Nodes!$A$2:$A$84,0))</f>
        <v/>
      </c>
    </row>
    <row r="173">
      <c r="A173" s="45" t="inlineStr">
        <is>
          <t>flavio</t>
        </is>
      </c>
      <c r="B173" s="45" t="inlineStr">
        <is>
          <t>orelha</t>
        </is>
      </c>
      <c r="C173" s="45" t="inlineStr">
        <is>
          <t>Homenageou</t>
        </is>
      </c>
      <c r="D173" s="45" t="inlineStr">
        <is>
          <t>Documentado</t>
        </is>
      </c>
      <c r="E173" s="45">
        <f>INDEX(Nodes!$B$2:$B$84,MATCH(A173,Nodes!$A$2:$A$84,0))</f>
        <v/>
      </c>
      <c r="F173" s="45">
        <f>INDEX(Nodes!$B$2:$B$84,MATCH(B173,Nodes!$A$2:$A$84,0))</f>
        <v/>
      </c>
    </row>
    <row r="174">
      <c r="A174" s="45" t="inlineStr">
        <is>
          <t>adriano</t>
        </is>
      </c>
      <c r="B174" s="45" t="inlineStr">
        <is>
          <t>orelha</t>
        </is>
      </c>
      <c r="C174" s="45" t="inlineStr">
        <is>
          <t>Ligados</t>
        </is>
      </c>
      <c r="D174" s="45" t="inlineStr">
        <is>
          <t>Documentado</t>
        </is>
      </c>
      <c r="E174" s="45">
        <f>INDEX(Nodes!$B$2:$B$84,MATCH(A174,Nodes!$A$2:$A$84,0))</f>
        <v/>
      </c>
      <c r="F174" s="45">
        <f>INDEX(Nodes!$B$2:$B$84,MATCH(B174,Nodes!$A$2:$A$84,0))</f>
        <v/>
      </c>
    </row>
    <row r="175">
      <c r="A175" s="45" t="inlineStr">
        <is>
          <t>flavio</t>
        </is>
      </c>
      <c r="B175" s="45" t="inlineStr">
        <is>
          <t>pms16</t>
        </is>
      </c>
      <c r="C175" s="45" t="inlineStr">
        <is>
          <t>Condecorou</t>
        </is>
      </c>
      <c r="D175" s="45" t="inlineStr">
        <is>
          <t>Documentado</t>
        </is>
      </c>
      <c r="E175" s="45">
        <f>INDEX(Nodes!$B$2:$B$84,MATCH(A175,Nodes!$A$2:$A$84,0))</f>
        <v/>
      </c>
      <c r="F175" s="45">
        <f>INDEX(Nodes!$B$2:$B$84,MATCH(B175,Nodes!$A$2:$A$84,0))</f>
        <v/>
      </c>
    </row>
    <row r="176">
      <c r="A176" s="45" t="inlineStr">
        <is>
          <t>carlos</t>
        </is>
      </c>
      <c r="B176" s="45" t="inlineStr">
        <is>
          <t>pms16</t>
        </is>
      </c>
      <c r="C176" s="45" t="inlineStr">
        <is>
          <t>Condecorou</t>
        </is>
      </c>
      <c r="D176" s="45" t="inlineStr">
        <is>
          <t>Documentado</t>
        </is>
      </c>
      <c r="E176" s="45">
        <f>INDEX(Nodes!$B$2:$B$84,MATCH(A176,Nodes!$A$2:$A$84,0))</f>
        <v/>
      </c>
      <c r="F176" s="45">
        <f>INDEX(Nodes!$B$2:$B$84,MATCH(B176,Nodes!$A$2:$A$84,0))</f>
        <v/>
      </c>
    </row>
    <row r="177">
      <c r="A177" s="45" t="inlineStr">
        <is>
          <t>flavio</t>
        </is>
      </c>
      <c r="B177" s="45" t="inlineStr">
        <is>
          <t>ongbrazao</t>
        </is>
      </c>
      <c r="C177" s="45" t="inlineStr">
        <is>
          <t>Emenda de R$ 199 mil (nov/2023); PF apura. Ele diz que não cabe ao parlamentar auditar o uso</t>
        </is>
      </c>
      <c r="D177" s="45" t="inlineStr">
        <is>
          <t>Alegado ou contestado</t>
        </is>
      </c>
      <c r="E177" s="45">
        <f>INDEX(Nodes!$B$2:$B$84,MATCH(A177,Nodes!$A$2:$A$84,0))</f>
        <v/>
      </c>
      <c r="F177" s="45">
        <f>INDEX(Nodes!$B$2:$B$84,MATCH(B177,Nodes!$A$2:$A$84,0))</f>
        <v/>
      </c>
    </row>
    <row r="178">
      <c r="A178" s="45" t="inlineStr">
        <is>
          <t>peixe</t>
        </is>
      </c>
      <c r="B178" s="45" t="inlineStr">
        <is>
          <t>flavio</t>
        </is>
      </c>
      <c r="C178" s="45" t="inlineStr">
        <is>
          <t>PF: intermediou a emenda com o gabinete dele (O Globo, Estadão)</t>
        </is>
      </c>
      <c r="D178" s="45" t="inlineStr">
        <is>
          <t>Alegado ou contestado</t>
        </is>
      </c>
      <c r="E178" s="45">
        <f>INDEX(Nodes!$B$2:$B$84,MATCH(A178,Nodes!$A$2:$A$84,0))</f>
        <v/>
      </c>
      <c r="F178" s="45">
        <f>INDEX(Nodes!$B$2:$B$84,MATCH(B178,Nodes!$A$2:$A$84,0))</f>
        <v/>
      </c>
    </row>
    <row r="179">
      <c r="A179" s="45" t="inlineStr">
        <is>
          <t>peixe</t>
        </is>
      </c>
      <c r="B179" s="45" t="inlineStr">
        <is>
          <t>ongbrazao</t>
        </is>
      </c>
      <c r="C179" s="45" t="inlineStr">
        <is>
          <t>Ligado ao esquema dos irmãos Brazão</t>
        </is>
      </c>
      <c r="D179" s="45" t="inlineStr">
        <is>
          <t>Alegado ou contestado</t>
        </is>
      </c>
      <c r="E179" s="45">
        <f>INDEX(Nodes!$B$2:$B$84,MATCH(A179,Nodes!$A$2:$A$84,0))</f>
        <v/>
      </c>
      <c r="F179" s="45">
        <f>INDEX(Nodes!$B$2:$B$84,MATCH(B179,Nodes!$A$2:$A$84,0))</f>
        <v/>
      </c>
    </row>
    <row r="180">
      <c r="A180" s="45" t="inlineStr">
        <is>
          <t>flavio</t>
        </is>
      </c>
      <c r="B180" s="45" t="inlineStr">
        <is>
          <t>pmacusado</t>
        </is>
      </c>
      <c r="C180" s="45" t="inlineStr">
        <is>
          <t>Advogado dele no STJ (2024); recurso reverteu a ida a júri popular (coluna no iG)</t>
        </is>
      </c>
      <c r="D180" s="45" t="inlineStr">
        <is>
          <t>Documentado</t>
        </is>
      </c>
      <c r="E180" s="45">
        <f>INDEX(Nodes!$B$2:$B$84,MATCH(A180,Nodes!$A$2:$A$84,0))</f>
        <v/>
      </c>
      <c r="F180" s="45">
        <f>INDEX(Nodes!$B$2:$B$84,MATCH(B180,Nodes!$A$2:$A$84,0))</f>
        <v/>
      </c>
    </row>
    <row r="181">
      <c r="A181" s="45" t="inlineStr">
        <is>
          <t>willer</t>
        </is>
      </c>
      <c r="B181" s="45" t="inlineStr">
        <is>
          <t>angra</t>
        </is>
      </c>
      <c r="C181" s="45" t="inlineStr">
        <is>
          <t>Obteve a posse na Justiça na disputa com Richarlison</t>
        </is>
      </c>
      <c r="D181" s="45" t="inlineStr">
        <is>
          <t>Documentado</t>
        </is>
      </c>
      <c r="E181" s="45">
        <f>INDEX(Nodes!$B$2:$B$84,MATCH(A181,Nodes!$A$2:$A$84,0))</f>
        <v/>
      </c>
      <c r="F181" s="45">
        <f>INDEX(Nodes!$B$2:$B$84,MATCH(B181,Nodes!$A$2:$A$84,0))</f>
        <v/>
      </c>
    </row>
    <row r="182">
      <c r="A182" s="45" t="inlineStr">
        <is>
          <t>jair</t>
        </is>
      </c>
      <c r="B182" s="45" t="inlineStr">
        <is>
          <t>angra</t>
        </is>
      </c>
      <c r="C182" s="45" t="inlineStr">
        <is>
          <t>Governo dele liberou em um dia a transferência do imóvel (ICL)</t>
        </is>
      </c>
      <c r="D182" s="45" t="inlineStr">
        <is>
          <t>Alegado ou contestado</t>
        </is>
      </c>
      <c r="E182" s="45">
        <f>INDEX(Nodes!$B$2:$B$84,MATCH(A182,Nodes!$A$2:$A$84,0))</f>
        <v/>
      </c>
      <c r="F182" s="45">
        <f>INDEX(Nodes!$B$2:$B$84,MATCH(B182,Nodes!$A$2:$A$84,0))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4" min="1" max="1"/>
  </cols>
  <sheetData>
    <row r="1" ht="15" customHeight="1" s="25">
      <c r="A1" s="46" t="inlineStr">
        <is>
          <t>Notes</t>
        </is>
      </c>
    </row>
    <row r="2" ht="15" customHeight="1" s="25">
      <c r="A2" s="45" t="inlineStr">
        <is>
          <t>Source: transcrição do vídeo do canal Revelando (fornecida pela usuária) e reportagens citadas na conversa.</t>
        </is>
      </c>
    </row>
    <row r="3" ht="23.25" customHeight="1" s="25">
      <c r="A3" s="45" t="inlineStr">
        <is>
          <t>Status “Documentado”: o vídeo apresenta como fato ou relatório da PF/imprensa. “Alegado ou contestado”: hipótese, suspeita ou algo que o citado nega.</t>
        </is>
      </c>
    </row>
    <row r="4" ht="15" customHeight="1" s="25">
      <c r="A4" s="45" t="inlineStr">
        <is>
          <t>Todas as pessoas e empresas citadas negam ou contestam irregularidades; nada aqui é condenação.</t>
        </is>
      </c>
    </row>
    <row r="5" ht="15" customHeight="1" s="25">
      <c r="A5" s="45" t="inlineStr">
        <is>
          <t>Alguns nomes vêm de transcrição automática e podem estar grafados de forma imprecisa (ex.: Willer Tomás/Tomaz, Roberta).</t>
        </is>
      </c>
    </row>
    <row r="6" ht="15" customHeight="1" s="25">
      <c r="A6" s="45" t="inlineStr">
        <is>
          <t>“Ciro Nogueira” aparece como “Círio Nogueira” na transcrição; a identificação é inferida do contexto (Folha, 2020).</t>
        </is>
      </c>
    </row>
    <row r="7" ht="15" customHeight="1" s="25">
      <c r="A7" s="45" t="inlineStr">
        <is>
          <t>Valores monetários mensais do promoter e do diretor jurídico estão ilegíveis na transcrição e foram omitidos.</t>
        </is>
      </c>
    </row>
    <row r="8" ht="23.25" customHeight="1" s="25">
      <c r="A8" s="45" t="inlineStr">
        <is>
          <t>Não incluídos por não serem nomeados no vídeo: terceiro cotista do jato, sócio do Careca no exterior, amiga que cobrou Vorcaro, e as mulheres individualmente.</t>
        </is>
      </c>
    </row>
    <row r="9" ht="15" customHeight="1" s="25">
      <c r="A9" s="45" t="inlineStr">
        <is>
          <t>Pronto para importar em ferramentas de grafos: Nodes (Id, Label) e Edges (Source, Target) seguem o padrão do Gephi/Kumu.</t>
        </is>
      </c>
    </row>
    <row r="10" ht="15" customHeight="1" s="25">
      <c r="A10" s="45" t="inlineStr">
        <is>
          <t>Degree (Nodes) e nomes (Edges) são fórmulas; recalculam se você editar as abas.</t>
        </is>
      </c>
    </row>
    <row r="11">
      <c r="A11" s="24" t="inlineStr">
        <is>
          <t>21/10/2026: importados 26 nós, 62 conexões e 4 perfis do acervo a verdade. (https://bolsomaster.site, PDF em https://bolsomaster.site/documento-original.pdf). As fontes de cada item são as do acervo e não foram reverificadas uma a uma.</t>
        </is>
      </c>
    </row>
    <row r="12">
      <c r="A12" s="24" t="inlineStr">
        <is>
          <t>Na importação, foi marcado como “Documentado” só o que é ato público ou fato noticiado sem disputa (indicação, doação registrada, homenagem, decisão judicial, contrato público). Suspeitas, mensagens, relatórios da PF sobre condutas e afirmações de ex-sócios ficaram como “Alegado ou contestado”.</t>
        </is>
      </c>
    </row>
    <row r="13">
      <c r="A13" s="24" t="inlineStr">
        <is>
          <t>Correções do próprio acervo aplicadas: honorários de até R$ 427 mi não são recebimento pessoal de Nunes; o caso do vice Alfredo Gaspar foi arquivado; números do celular de Vorcaro (Piauí × Estadão) não se somam; contratos do ITER são dois levantamentos diferentes.</t>
        </is>
      </c>
    </row>
    <row r="14">
      <c r="A14" s="24" t="inlineStr">
        <is>
          <t>Registros do acervo deixados de fora: registro-3 (comparação retórica do PDF; o próprio acervo diz que não comprova a origem do dinheiro); registro-5 (afirmação de exclusividade não verificada pelo acervo); registro-7 (comparação de valores entre casos diferentes); registro-8 (comparação de valores entre casos diferentes); registro-22 (hipótese do PDF sobre o esquema, com fonte em vídeo); registro-27 (já no mapa (Nunes preside o TSE)); registro-41 (pessoa não identificada com clareza); registro-87 (sem pessoa ou conexão específica); registro-88 (só título de reportagem); registro-91 (projeto de lei sem ligação direta com o mapa); registro-93 (post de Nikolas Ferreira sem ligação com o mapa); registro-126 (padrinho não identificado no texto).</t>
        </is>
      </c>
    </row>
    <row r="15">
      <c r="A15" t="inlineStr">
        <is>
          <t>Checagem final (21/10/2026): 111 links testados (91 abrem; 19 bloqueiam robôs, como UOL, Intercept e Folha; 1 link da CNN quebrado foi trocado por Mais Goiás). Conferidas contra a fonte 22 matérias das conexões mais sensíveis. Corrigidos: Zettel foi o 2º doador de Jair, não o maior; o advogado morto em 2024 representava a WT, não Richarlison; a posse de Willer reconhecida pelo STJ não foi confirmada; Mendonça teve uma reunião reservada confirmada (14/03/2025), não duas; o voo de Marçal foi pago pela Prime You (R$ 1,17 mi). Respostas dos citados foram adicionadas (Flávio sobre o BRB e a emenda, Ciro, Faria, Marçal, Gaspar).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2026-10-21T22:57:23Z</dcterms:modified>
  <cp:revision>0</cp:revision>
</cp:coreProperties>
</file>